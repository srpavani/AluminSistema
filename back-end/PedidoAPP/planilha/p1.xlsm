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D1C537B-E38A-612A-F078-A93A15B4B7F4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V:\Importacao\Do servidor\Processo Importação\Pagamentos Importação\03 - FOEN ╱ CORAL\2024\09 - Setembro\BA 09.2024-C\Pedido do cliente\"/>
    </mc:Choice>
  </mc:AlternateContent>
  <xr:revisionPtr revIDLastSave="0" documentId="13_ncr:1_{0473E337-9603-453D-B94A-212F85CC81AB}" xr6:coauthVersionLast="47" xr6:coauthVersionMax="47" xr10:uidLastSave="{00000000-0000-0000-0000-000000000000}"/>
  <bookViews>
    <workbookView xWindow="-120" yWindow="-120" windowWidth="20640" windowHeight="11310" xr2:uid="{6FF8D323-49C0-49F6-A968-FE32DCA872C4}"/>
  </bookViews>
  <sheets>
    <sheet name="Order" sheetId="1" r:id="rId1"/>
    <sheet name="Internationalization" sheetId="3" r:id="rId2"/>
    <sheet name="Catalogue" sheetId="2" r:id="rId3"/>
  </sheets>
  <definedNames>
    <definedName name="_xlnm._FilterDatabase" localSheetId="2" hidden="1">Catalogue!$A$1:$G$1</definedName>
    <definedName name="_xlnm._FilterDatabase" localSheetId="1" hidden="1">Internationalization!$B$5:$L$2544</definedName>
    <definedName name="_xlnm._FilterDatabase" localSheetId="0" hidden="1">Order!$B$16:$Q$386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87" i="1" l="1"/>
  <c r="K387" i="1"/>
  <c r="L387" i="1"/>
  <c r="M387" i="1"/>
  <c r="N387" i="1"/>
  <c r="O387" i="1"/>
  <c r="P387" i="1"/>
  <c r="J387" i="1"/>
  <c r="Q22" i="1"/>
  <c r="R22" i="1" s="1"/>
  <c r="Q23" i="1"/>
  <c r="R23" i="1" s="1"/>
  <c r="Q25" i="1"/>
  <c r="R25" i="1" s="1"/>
  <c r="Q30" i="1"/>
  <c r="R30" i="1" s="1"/>
  <c r="Q31" i="1"/>
  <c r="R31" i="1" s="1"/>
  <c r="Q33" i="1"/>
  <c r="R33" i="1" s="1"/>
  <c r="Q39" i="1"/>
  <c r="R39" i="1" s="1"/>
  <c r="Q41" i="1"/>
  <c r="R41" i="1" s="1"/>
  <c r="Q47" i="1"/>
  <c r="R47" i="1" s="1"/>
  <c r="Q49" i="1"/>
  <c r="R49" i="1" s="1"/>
  <c r="Q54" i="1"/>
  <c r="R54" i="1" s="1"/>
  <c r="Q55" i="1"/>
  <c r="R55" i="1" s="1"/>
  <c r="Q57" i="1"/>
  <c r="R57" i="1" s="1"/>
  <c r="Q62" i="1"/>
  <c r="R62" i="1" s="1"/>
  <c r="Q63" i="1"/>
  <c r="R63" i="1" s="1"/>
  <c r="Q65" i="1"/>
  <c r="R65" i="1" s="1"/>
  <c r="Q71" i="1"/>
  <c r="R71" i="1" s="1"/>
  <c r="Q73" i="1"/>
  <c r="R73" i="1" s="1"/>
  <c r="Q79" i="1"/>
  <c r="R79" i="1" s="1"/>
  <c r="Q81" i="1"/>
  <c r="R81" i="1" s="1"/>
  <c r="Q86" i="1"/>
  <c r="R86" i="1" s="1"/>
  <c r="Q87" i="1"/>
  <c r="R87" i="1" s="1"/>
  <c r="Q94" i="1"/>
  <c r="R94" i="1" s="1"/>
  <c r="Q95" i="1"/>
  <c r="R95" i="1" s="1"/>
  <c r="Q97" i="1"/>
  <c r="R97" i="1" s="1"/>
  <c r="Q102" i="1"/>
  <c r="R102" i="1" s="1"/>
  <c r="Q103" i="1"/>
  <c r="R103" i="1" s="1"/>
  <c r="Q105" i="1"/>
  <c r="R105" i="1" s="1"/>
  <c r="Q110" i="1"/>
  <c r="R110" i="1" s="1"/>
  <c r="Q113" i="1"/>
  <c r="R113" i="1" s="1"/>
  <c r="Q121" i="1"/>
  <c r="R121" i="1" s="1"/>
  <c r="Q127" i="1"/>
  <c r="R127" i="1" s="1"/>
  <c r="Q129" i="1"/>
  <c r="R129" i="1" s="1"/>
  <c r="Q134" i="1"/>
  <c r="R134" i="1" s="1"/>
  <c r="Q135" i="1"/>
  <c r="R135" i="1" s="1"/>
  <c r="Q137" i="1"/>
  <c r="R137" i="1" s="1"/>
  <c r="Q143" i="1"/>
  <c r="R143" i="1" s="1"/>
  <c r="Q145" i="1"/>
  <c r="R145" i="1" s="1"/>
  <c r="Q151" i="1"/>
  <c r="R151" i="1" s="1"/>
  <c r="Q153" i="1"/>
  <c r="R153" i="1" s="1"/>
  <c r="Q158" i="1"/>
  <c r="R158" i="1" s="1"/>
  <c r="Q159" i="1"/>
  <c r="R159" i="1" s="1"/>
  <c r="Q166" i="1"/>
  <c r="R166" i="1" s="1"/>
  <c r="Q167" i="1"/>
  <c r="R167" i="1" s="1"/>
  <c r="Q169" i="1"/>
  <c r="R169" i="1" s="1"/>
  <c r="Q174" i="1"/>
  <c r="R174" i="1" s="1"/>
  <c r="Q177" i="1"/>
  <c r="R177" i="1" s="1"/>
  <c r="Q183" i="1"/>
  <c r="R183" i="1" s="1"/>
  <c r="Q185" i="1"/>
  <c r="R185" i="1" s="1"/>
  <c r="Q191" i="1"/>
  <c r="R191" i="1" s="1"/>
  <c r="Q193" i="1"/>
  <c r="R193" i="1" s="1"/>
  <c r="Q198" i="1"/>
  <c r="R198" i="1" s="1"/>
  <c r="Q199" i="1"/>
  <c r="R199" i="1" s="1"/>
  <c r="Q201" i="1"/>
  <c r="R201" i="1" s="1"/>
  <c r="Q206" i="1"/>
  <c r="R206" i="1" s="1"/>
  <c r="Q207" i="1"/>
  <c r="R207" i="1" s="1"/>
  <c r="Q209" i="1"/>
  <c r="R209" i="1" s="1"/>
  <c r="Q215" i="1"/>
  <c r="R215" i="1" s="1"/>
  <c r="Q217" i="1"/>
  <c r="R217" i="1" s="1"/>
  <c r="Q223" i="1"/>
  <c r="R223" i="1" s="1"/>
  <c r="Q225" i="1"/>
  <c r="R225" i="1" s="1"/>
  <c r="Q230" i="1"/>
  <c r="R230" i="1" s="1"/>
  <c r="Q231" i="1"/>
  <c r="R231" i="1" s="1"/>
  <c r="Q233" i="1"/>
  <c r="R233" i="1" s="1"/>
  <c r="Q241" i="1"/>
  <c r="R241" i="1" s="1"/>
  <c r="Q247" i="1"/>
  <c r="R247" i="1" s="1"/>
  <c r="Q249" i="1"/>
  <c r="R249" i="1" s="1"/>
  <c r="Q255" i="1"/>
  <c r="R255" i="1" s="1"/>
  <c r="Q257" i="1"/>
  <c r="R257" i="1" s="1"/>
  <c r="Q262" i="1"/>
  <c r="R262" i="1" s="1"/>
  <c r="Q263" i="1"/>
  <c r="R263" i="1" s="1"/>
  <c r="Q265" i="1"/>
  <c r="R265" i="1" s="1"/>
  <c r="Q270" i="1"/>
  <c r="R270" i="1" s="1"/>
  <c r="Q271" i="1"/>
  <c r="R271" i="1" s="1"/>
  <c r="Q273" i="1"/>
  <c r="R273" i="1" s="1"/>
  <c r="Q279" i="1"/>
  <c r="R279" i="1" s="1"/>
  <c r="Q281" i="1"/>
  <c r="R281" i="1" s="1"/>
  <c r="Q287" i="1"/>
  <c r="R287" i="1" s="1"/>
  <c r="Q289" i="1"/>
  <c r="R289" i="1" s="1"/>
  <c r="Q294" i="1"/>
  <c r="R294" i="1" s="1"/>
  <c r="Q295" i="1"/>
  <c r="R295" i="1" s="1"/>
  <c r="Q297" i="1"/>
  <c r="R297" i="1" s="1"/>
  <c r="Q302" i="1"/>
  <c r="R302" i="1" s="1"/>
  <c r="Q303" i="1"/>
  <c r="R303" i="1" s="1"/>
  <c r="Q305" i="1"/>
  <c r="R305" i="1" s="1"/>
  <c r="Q311" i="1"/>
  <c r="R311" i="1" s="1"/>
  <c r="Q313" i="1"/>
  <c r="R313" i="1" s="1"/>
  <c r="Q319" i="1"/>
  <c r="R319" i="1" s="1"/>
  <c r="Q321" i="1"/>
  <c r="R321" i="1" s="1"/>
  <c r="Q326" i="1"/>
  <c r="R326" i="1" s="1"/>
  <c r="Q327" i="1"/>
  <c r="R327" i="1" s="1"/>
  <c r="Q329" i="1"/>
  <c r="R329" i="1" s="1"/>
  <c r="Q334" i="1"/>
  <c r="R334" i="1" s="1"/>
  <c r="Q335" i="1"/>
  <c r="R335" i="1" s="1"/>
  <c r="Q337" i="1"/>
  <c r="R337" i="1" s="1"/>
  <c r="Q343" i="1"/>
  <c r="R343" i="1" s="1"/>
  <c r="Q111" i="1"/>
  <c r="R111" i="1" s="1"/>
  <c r="Q175" i="1"/>
  <c r="R175" i="1" s="1"/>
  <c r="Q17" i="1"/>
  <c r="R17" i="1" s="1"/>
  <c r="Q18" i="1"/>
  <c r="R18" i="1" s="1"/>
  <c r="Q19" i="1"/>
  <c r="R19" i="1" s="1"/>
  <c r="Q20" i="1"/>
  <c r="R20" i="1" s="1"/>
  <c r="Q21" i="1"/>
  <c r="R21" i="1" s="1"/>
  <c r="Q24" i="1"/>
  <c r="R24" i="1" s="1"/>
  <c r="Q26" i="1"/>
  <c r="R26" i="1" s="1"/>
  <c r="Q27" i="1"/>
  <c r="R27" i="1" s="1"/>
  <c r="Q28" i="1"/>
  <c r="R28" i="1" s="1"/>
  <c r="Q29" i="1"/>
  <c r="R29" i="1" s="1"/>
  <c r="Q32" i="1"/>
  <c r="R32" i="1" s="1"/>
  <c r="Q34" i="1"/>
  <c r="R34" i="1" s="1"/>
  <c r="Q35" i="1"/>
  <c r="R35" i="1" s="1"/>
  <c r="Q36" i="1"/>
  <c r="R36" i="1" s="1"/>
  <c r="Q37" i="1"/>
  <c r="R37" i="1" s="1"/>
  <c r="Q38" i="1"/>
  <c r="R38" i="1" s="1"/>
  <c r="Q40" i="1"/>
  <c r="Q42" i="1"/>
  <c r="R42" i="1" s="1"/>
  <c r="Q43" i="1"/>
  <c r="R43" i="1" s="1"/>
  <c r="Q44" i="1"/>
  <c r="R44" i="1" s="1"/>
  <c r="Q45" i="1"/>
  <c r="R45" i="1" s="1"/>
  <c r="Q46" i="1"/>
  <c r="R46" i="1" s="1"/>
  <c r="Q48" i="1"/>
  <c r="R48" i="1" s="1"/>
  <c r="Q50" i="1"/>
  <c r="R50" i="1" s="1"/>
  <c r="Q51" i="1"/>
  <c r="R51" i="1" s="1"/>
  <c r="Q52" i="1"/>
  <c r="R52" i="1" s="1"/>
  <c r="Q53" i="1"/>
  <c r="R53" i="1" s="1"/>
  <c r="Q56" i="1"/>
  <c r="R56" i="1" s="1"/>
  <c r="Q58" i="1"/>
  <c r="R58" i="1" s="1"/>
  <c r="Q59" i="1"/>
  <c r="R59" i="1" s="1"/>
  <c r="Q60" i="1"/>
  <c r="R60" i="1" s="1"/>
  <c r="Q61" i="1"/>
  <c r="R61" i="1" s="1"/>
  <c r="Q64" i="1"/>
  <c r="R64" i="1" s="1"/>
  <c r="Q66" i="1"/>
  <c r="R66" i="1" s="1"/>
  <c r="Q67" i="1"/>
  <c r="R67" i="1" s="1"/>
  <c r="Q68" i="1"/>
  <c r="R68" i="1" s="1"/>
  <c r="Q69" i="1"/>
  <c r="R69" i="1" s="1"/>
  <c r="Q70" i="1"/>
  <c r="R70" i="1" s="1"/>
  <c r="Q72" i="1"/>
  <c r="R72" i="1" s="1"/>
  <c r="Q74" i="1"/>
  <c r="R74" i="1" s="1"/>
  <c r="Q75" i="1"/>
  <c r="R75" i="1" s="1"/>
  <c r="Q76" i="1"/>
  <c r="R76" i="1" s="1"/>
  <c r="Q77" i="1"/>
  <c r="R77" i="1" s="1"/>
  <c r="Q78" i="1"/>
  <c r="R78" i="1" s="1"/>
  <c r="Q80" i="1"/>
  <c r="R80" i="1" s="1"/>
  <c r="Q82" i="1"/>
  <c r="R82" i="1" s="1"/>
  <c r="Q83" i="1"/>
  <c r="R83" i="1" s="1"/>
  <c r="Q84" i="1"/>
  <c r="R84" i="1" s="1"/>
  <c r="Q85" i="1"/>
  <c r="R85" i="1" s="1"/>
  <c r="Q88" i="1"/>
  <c r="R88" i="1" s="1"/>
  <c r="Q89" i="1"/>
  <c r="R89" i="1" s="1"/>
  <c r="Q90" i="1"/>
  <c r="R90" i="1" s="1"/>
  <c r="Q91" i="1"/>
  <c r="R91" i="1" s="1"/>
  <c r="Q92" i="1"/>
  <c r="R92" i="1" s="1"/>
  <c r="Q93" i="1"/>
  <c r="R93" i="1" s="1"/>
  <c r="Q96" i="1"/>
  <c r="R96" i="1" s="1"/>
  <c r="Q98" i="1"/>
  <c r="R98" i="1" s="1"/>
  <c r="Q99" i="1"/>
  <c r="R99" i="1" s="1"/>
  <c r="Q100" i="1"/>
  <c r="R100" i="1" s="1"/>
  <c r="Q101" i="1"/>
  <c r="R101" i="1" s="1"/>
  <c r="Q104" i="1"/>
  <c r="R104" i="1" s="1"/>
  <c r="Q106" i="1"/>
  <c r="R106" i="1" s="1"/>
  <c r="Q107" i="1"/>
  <c r="R107" i="1" s="1"/>
  <c r="Q108" i="1"/>
  <c r="R108" i="1" s="1"/>
  <c r="Q109" i="1"/>
  <c r="R109" i="1" s="1"/>
  <c r="Q112" i="1"/>
  <c r="R112" i="1" s="1"/>
  <c r="Q114" i="1"/>
  <c r="R114" i="1" s="1"/>
  <c r="Q115" i="1"/>
  <c r="R115" i="1" s="1"/>
  <c r="Q116" i="1"/>
  <c r="R116" i="1" s="1"/>
  <c r="Q117" i="1"/>
  <c r="R117" i="1" s="1"/>
  <c r="Q118" i="1"/>
  <c r="R118" i="1" s="1"/>
  <c r="Q119" i="1"/>
  <c r="R119" i="1" s="1"/>
  <c r="Q120" i="1"/>
  <c r="R120" i="1" s="1"/>
  <c r="Q122" i="1"/>
  <c r="R122" i="1" s="1"/>
  <c r="Q123" i="1"/>
  <c r="R123" i="1" s="1"/>
  <c r="Q124" i="1"/>
  <c r="R124" i="1" s="1"/>
  <c r="Q125" i="1"/>
  <c r="R125" i="1" s="1"/>
  <c r="Q126" i="1"/>
  <c r="R126" i="1" s="1"/>
  <c r="Q128" i="1"/>
  <c r="R128" i="1" s="1"/>
  <c r="Q130" i="1"/>
  <c r="R130" i="1" s="1"/>
  <c r="Q131" i="1"/>
  <c r="R131" i="1" s="1"/>
  <c r="Q132" i="1"/>
  <c r="R132" i="1" s="1"/>
  <c r="Q133" i="1"/>
  <c r="R133" i="1" s="1"/>
  <c r="Q136" i="1"/>
  <c r="R136" i="1" s="1"/>
  <c r="Q138" i="1"/>
  <c r="R138" i="1" s="1"/>
  <c r="Q139" i="1"/>
  <c r="R139" i="1" s="1"/>
  <c r="Q140" i="1"/>
  <c r="R140" i="1" s="1"/>
  <c r="Q141" i="1"/>
  <c r="R141" i="1" s="1"/>
  <c r="Q142" i="1"/>
  <c r="R142" i="1" s="1"/>
  <c r="Q144" i="1"/>
  <c r="R144" i="1" s="1"/>
  <c r="Q146" i="1"/>
  <c r="R146" i="1" s="1"/>
  <c r="Q147" i="1"/>
  <c r="R147" i="1" s="1"/>
  <c r="Q148" i="1"/>
  <c r="R148" i="1" s="1"/>
  <c r="Q149" i="1"/>
  <c r="R149" i="1" s="1"/>
  <c r="Q150" i="1"/>
  <c r="R150" i="1" s="1"/>
  <c r="Q152" i="1"/>
  <c r="R152" i="1" s="1"/>
  <c r="Q154" i="1"/>
  <c r="R154" i="1" s="1"/>
  <c r="Q155" i="1"/>
  <c r="R155" i="1" s="1"/>
  <c r="Q156" i="1"/>
  <c r="R156" i="1" s="1"/>
  <c r="Q157" i="1"/>
  <c r="R157" i="1" s="1"/>
  <c r="Q160" i="1"/>
  <c r="R160" i="1" s="1"/>
  <c r="Q161" i="1"/>
  <c r="R161" i="1" s="1"/>
  <c r="Q162" i="1"/>
  <c r="R162" i="1" s="1"/>
  <c r="Q163" i="1"/>
  <c r="R163" i="1" s="1"/>
  <c r="Q164" i="1"/>
  <c r="R164" i="1" s="1"/>
  <c r="Q165" i="1"/>
  <c r="R165" i="1" s="1"/>
  <c r="Q168" i="1"/>
  <c r="R168" i="1" s="1"/>
  <c r="Q170" i="1"/>
  <c r="R170" i="1" s="1"/>
  <c r="Q171" i="1"/>
  <c r="R171" i="1" s="1"/>
  <c r="Q172" i="1"/>
  <c r="R172" i="1" s="1"/>
  <c r="Q173" i="1"/>
  <c r="R173" i="1" s="1"/>
  <c r="Q176" i="1"/>
  <c r="R176" i="1" s="1"/>
  <c r="Q178" i="1"/>
  <c r="R178" i="1" s="1"/>
  <c r="Q179" i="1"/>
  <c r="R179" i="1" s="1"/>
  <c r="Q180" i="1"/>
  <c r="R180" i="1" s="1"/>
  <c r="Q181" i="1"/>
  <c r="R181" i="1" s="1"/>
  <c r="Q182" i="1"/>
  <c r="R182" i="1" s="1"/>
  <c r="Q184" i="1"/>
  <c r="R184" i="1" s="1"/>
  <c r="Q186" i="1"/>
  <c r="R186" i="1" s="1"/>
  <c r="Q187" i="1"/>
  <c r="R187" i="1" s="1"/>
  <c r="Q188" i="1"/>
  <c r="R188" i="1" s="1"/>
  <c r="Q189" i="1"/>
  <c r="R189" i="1" s="1"/>
  <c r="Q190" i="1"/>
  <c r="R190" i="1" s="1"/>
  <c r="Q192" i="1"/>
  <c r="R192" i="1" s="1"/>
  <c r="Q194" i="1"/>
  <c r="R194" i="1" s="1"/>
  <c r="Q195" i="1"/>
  <c r="R195" i="1" s="1"/>
  <c r="Q196" i="1"/>
  <c r="R196" i="1" s="1"/>
  <c r="Q197" i="1"/>
  <c r="R197" i="1" s="1"/>
  <c r="Q200" i="1"/>
  <c r="R200" i="1" s="1"/>
  <c r="Q202" i="1"/>
  <c r="R202" i="1" s="1"/>
  <c r="Q203" i="1"/>
  <c r="R203" i="1" s="1"/>
  <c r="Q204" i="1"/>
  <c r="R204" i="1" s="1"/>
  <c r="Q205" i="1"/>
  <c r="R205" i="1" s="1"/>
  <c r="Q208" i="1"/>
  <c r="R208" i="1" s="1"/>
  <c r="Q210" i="1"/>
  <c r="R210" i="1" s="1"/>
  <c r="Q211" i="1"/>
  <c r="R211" i="1" s="1"/>
  <c r="Q212" i="1"/>
  <c r="R212" i="1" s="1"/>
  <c r="Q213" i="1"/>
  <c r="R213" i="1" s="1"/>
  <c r="Q214" i="1"/>
  <c r="R214" i="1" s="1"/>
  <c r="Q216" i="1"/>
  <c r="R216" i="1" s="1"/>
  <c r="Q218" i="1"/>
  <c r="R218" i="1" s="1"/>
  <c r="Q219" i="1"/>
  <c r="R219" i="1" s="1"/>
  <c r="Q220" i="1"/>
  <c r="R220" i="1" s="1"/>
  <c r="Q221" i="1"/>
  <c r="R221" i="1" s="1"/>
  <c r="Q222" i="1"/>
  <c r="R222" i="1" s="1"/>
  <c r="Q224" i="1"/>
  <c r="R224" i="1" s="1"/>
  <c r="Q226" i="1"/>
  <c r="R226" i="1" s="1"/>
  <c r="Q227" i="1"/>
  <c r="R227" i="1" s="1"/>
  <c r="Q228" i="1"/>
  <c r="R228" i="1" s="1"/>
  <c r="Q229" i="1"/>
  <c r="R229" i="1" s="1"/>
  <c r="Q232" i="1"/>
  <c r="R232" i="1" s="1"/>
  <c r="Q234" i="1"/>
  <c r="R234" i="1" s="1"/>
  <c r="Q235" i="1"/>
  <c r="R235" i="1" s="1"/>
  <c r="Q236" i="1"/>
  <c r="R236" i="1" s="1"/>
  <c r="Q237" i="1"/>
  <c r="R237" i="1" s="1"/>
  <c r="Q238" i="1"/>
  <c r="R238" i="1" s="1"/>
  <c r="Q239" i="1"/>
  <c r="R239" i="1" s="1"/>
  <c r="Q240" i="1"/>
  <c r="R240" i="1" s="1"/>
  <c r="Q242" i="1"/>
  <c r="R242" i="1" s="1"/>
  <c r="Q243" i="1"/>
  <c r="R243" i="1" s="1"/>
  <c r="Q244" i="1"/>
  <c r="R244" i="1" s="1"/>
  <c r="Q245" i="1"/>
  <c r="R245" i="1" s="1"/>
  <c r="Q246" i="1"/>
  <c r="R246" i="1" s="1"/>
  <c r="Q248" i="1"/>
  <c r="R248" i="1" s="1"/>
  <c r="Q250" i="1"/>
  <c r="R250" i="1" s="1"/>
  <c r="Q251" i="1"/>
  <c r="R251" i="1" s="1"/>
  <c r="Q252" i="1"/>
  <c r="R252" i="1" s="1"/>
  <c r="Q253" i="1"/>
  <c r="R253" i="1" s="1"/>
  <c r="Q254" i="1"/>
  <c r="R254" i="1" s="1"/>
  <c r="Q256" i="1"/>
  <c r="R256" i="1" s="1"/>
  <c r="Q258" i="1"/>
  <c r="R258" i="1" s="1"/>
  <c r="Q259" i="1"/>
  <c r="R259" i="1" s="1"/>
  <c r="Q260" i="1"/>
  <c r="R260" i="1" s="1"/>
  <c r="Q261" i="1"/>
  <c r="R261" i="1" s="1"/>
  <c r="Q264" i="1"/>
  <c r="R264" i="1" s="1"/>
  <c r="Q266" i="1"/>
  <c r="R266" i="1" s="1"/>
  <c r="Q267" i="1"/>
  <c r="R267" i="1" s="1"/>
  <c r="Q268" i="1"/>
  <c r="R268" i="1" s="1"/>
  <c r="Q269" i="1"/>
  <c r="R269" i="1" s="1"/>
  <c r="Q272" i="1"/>
  <c r="R272" i="1" s="1"/>
  <c r="Q274" i="1"/>
  <c r="R274" i="1" s="1"/>
  <c r="Q275" i="1"/>
  <c r="R275" i="1" s="1"/>
  <c r="Q276" i="1"/>
  <c r="R276" i="1" s="1"/>
  <c r="Q277" i="1"/>
  <c r="R277" i="1" s="1"/>
  <c r="Q278" i="1"/>
  <c r="R278" i="1" s="1"/>
  <c r="Q280" i="1"/>
  <c r="R280" i="1" s="1"/>
  <c r="Q282" i="1"/>
  <c r="R282" i="1" s="1"/>
  <c r="Q283" i="1"/>
  <c r="R283" i="1" s="1"/>
  <c r="Q284" i="1"/>
  <c r="R284" i="1" s="1"/>
  <c r="Q285" i="1"/>
  <c r="R285" i="1" s="1"/>
  <c r="Q286" i="1"/>
  <c r="R286" i="1" s="1"/>
  <c r="Q288" i="1"/>
  <c r="R288" i="1" s="1"/>
  <c r="Q290" i="1"/>
  <c r="R290" i="1" s="1"/>
  <c r="Q291" i="1"/>
  <c r="R291" i="1" s="1"/>
  <c r="Q292" i="1"/>
  <c r="R292" i="1" s="1"/>
  <c r="Q293" i="1"/>
  <c r="R293" i="1" s="1"/>
  <c r="Q296" i="1"/>
  <c r="R296" i="1" s="1"/>
  <c r="Q298" i="1"/>
  <c r="R298" i="1" s="1"/>
  <c r="Q299" i="1"/>
  <c r="R299" i="1" s="1"/>
  <c r="Q300" i="1"/>
  <c r="R300" i="1" s="1"/>
  <c r="Q301" i="1"/>
  <c r="R301" i="1" s="1"/>
  <c r="Q304" i="1"/>
  <c r="R304" i="1" s="1"/>
  <c r="Q306" i="1"/>
  <c r="R306" i="1" s="1"/>
  <c r="Q307" i="1"/>
  <c r="R307" i="1" s="1"/>
  <c r="Q308" i="1"/>
  <c r="R308" i="1" s="1"/>
  <c r="Q309" i="1"/>
  <c r="R309" i="1" s="1"/>
  <c r="Q310" i="1"/>
  <c r="R310" i="1" s="1"/>
  <c r="Q312" i="1"/>
  <c r="R312" i="1" s="1"/>
  <c r="Q314" i="1"/>
  <c r="R314" i="1" s="1"/>
  <c r="Q315" i="1"/>
  <c r="R315" i="1" s="1"/>
  <c r="Q316" i="1"/>
  <c r="R316" i="1" s="1"/>
  <c r="Q317" i="1"/>
  <c r="R317" i="1" s="1"/>
  <c r="Q318" i="1"/>
  <c r="R318" i="1" s="1"/>
  <c r="Q320" i="1"/>
  <c r="R320" i="1" s="1"/>
  <c r="Q322" i="1"/>
  <c r="R322" i="1" s="1"/>
  <c r="Q323" i="1"/>
  <c r="R323" i="1" s="1"/>
  <c r="Q324" i="1"/>
  <c r="R324" i="1" s="1"/>
  <c r="Q325" i="1"/>
  <c r="R325" i="1" s="1"/>
  <c r="Q328" i="1"/>
  <c r="R328" i="1" s="1"/>
  <c r="Q330" i="1"/>
  <c r="R330" i="1" s="1"/>
  <c r="Q331" i="1"/>
  <c r="R331" i="1" s="1"/>
  <c r="Q332" i="1"/>
  <c r="R332" i="1" s="1"/>
  <c r="Q333" i="1"/>
  <c r="R333" i="1" s="1"/>
  <c r="Q336" i="1"/>
  <c r="R336" i="1" s="1"/>
  <c r="Q338" i="1"/>
  <c r="R338" i="1" s="1"/>
  <c r="Q339" i="1"/>
  <c r="R339" i="1" s="1"/>
  <c r="Q340" i="1"/>
  <c r="R340" i="1" s="1"/>
  <c r="Q341" i="1"/>
  <c r="R341" i="1" s="1"/>
  <c r="Q342" i="1"/>
  <c r="R342" i="1" s="1"/>
  <c r="Q344" i="1"/>
  <c r="R344" i="1" s="1"/>
  <c r="Q345" i="1"/>
  <c r="R345" i="1" s="1"/>
  <c r="Q346" i="1"/>
  <c r="R346" i="1" s="1"/>
  <c r="Q347" i="1"/>
  <c r="R347" i="1" s="1"/>
  <c r="Q348" i="1"/>
  <c r="R348" i="1" s="1"/>
  <c r="Q349" i="1"/>
  <c r="R349" i="1" s="1"/>
  <c r="Q350" i="1"/>
  <c r="R350" i="1" s="1"/>
  <c r="Q351" i="1"/>
  <c r="R351" i="1" s="1"/>
  <c r="Q352" i="1"/>
  <c r="R352" i="1" s="1"/>
  <c r="Q353" i="1"/>
  <c r="R353" i="1" s="1"/>
  <c r="Q354" i="1"/>
  <c r="R354" i="1" s="1"/>
  <c r="Q355" i="1"/>
  <c r="R355" i="1" s="1"/>
  <c r="Q356" i="1"/>
  <c r="R356" i="1" s="1"/>
  <c r="Q357" i="1"/>
  <c r="R357" i="1" s="1"/>
  <c r="Q358" i="1"/>
  <c r="R358" i="1" s="1"/>
  <c r="Q359" i="1"/>
  <c r="R359" i="1" s="1"/>
  <c r="Q360" i="1"/>
  <c r="R360" i="1" s="1"/>
  <c r="Q361" i="1"/>
  <c r="R361" i="1" s="1"/>
  <c r="Q362" i="1"/>
  <c r="R362" i="1" s="1"/>
  <c r="Q363" i="1"/>
  <c r="R363" i="1" s="1"/>
  <c r="Q364" i="1"/>
  <c r="R364" i="1" s="1"/>
  <c r="Q365" i="1"/>
  <c r="R365" i="1" s="1"/>
  <c r="Q366" i="1"/>
  <c r="R366" i="1" s="1"/>
  <c r="Q367" i="1"/>
  <c r="R367" i="1" s="1"/>
  <c r="Q368" i="1"/>
  <c r="R368" i="1" s="1"/>
  <c r="Q369" i="1"/>
  <c r="R369" i="1" s="1"/>
  <c r="Q370" i="1"/>
  <c r="R370" i="1" s="1"/>
  <c r="Q371" i="1"/>
  <c r="R371" i="1" s="1"/>
  <c r="Q372" i="1"/>
  <c r="R372" i="1" s="1"/>
  <c r="Q373" i="1"/>
  <c r="R373" i="1" s="1"/>
  <c r="Q374" i="1"/>
  <c r="R374" i="1" s="1"/>
  <c r="Q375" i="1"/>
  <c r="R375" i="1" s="1"/>
  <c r="Q376" i="1"/>
  <c r="R376" i="1" s="1"/>
  <c r="Q377" i="1"/>
  <c r="R377" i="1" s="1"/>
  <c r="Q378" i="1"/>
  <c r="R378" i="1" s="1"/>
  <c r="Q379" i="1"/>
  <c r="R379" i="1" s="1"/>
  <c r="Q380" i="1"/>
  <c r="R380" i="1" s="1"/>
  <c r="Q381" i="1"/>
  <c r="R381" i="1" s="1"/>
  <c r="Q382" i="1"/>
  <c r="R382" i="1" s="1"/>
  <c r="Q383" i="1"/>
  <c r="R383" i="1" s="1"/>
  <c r="Q384" i="1"/>
  <c r="R384" i="1" s="1"/>
  <c r="Q385" i="1"/>
  <c r="R385" i="1" s="1"/>
  <c r="Q386" i="1"/>
  <c r="R386" i="1" s="1"/>
  <c r="R40" i="1"/>
  <c r="C2544" i="3"/>
  <c r="J2544" i="3" s="1"/>
  <c r="C2543" i="3"/>
  <c r="I2543" i="3" s="1"/>
  <c r="C2542" i="3"/>
  <c r="F2542" i="3" s="1"/>
  <c r="C2541" i="3"/>
  <c r="K2541" i="3" s="1"/>
  <c r="C2540" i="3"/>
  <c r="L2540" i="3" s="1"/>
  <c r="C2539" i="3"/>
  <c r="E2539" i="3" s="1"/>
  <c r="C2538" i="3"/>
  <c r="F2538" i="3" s="1"/>
  <c r="C2537" i="3"/>
  <c r="F2537" i="3" s="1"/>
  <c r="C2536" i="3"/>
  <c r="L2536" i="3" s="1"/>
  <c r="C2535" i="3"/>
  <c r="C2534" i="3"/>
  <c r="F2534" i="3" s="1"/>
  <c r="C2533" i="3"/>
  <c r="J2533" i="3" s="1"/>
  <c r="C2532" i="3"/>
  <c r="I2532" i="3" s="1"/>
  <c r="C2531" i="3"/>
  <c r="G2531" i="3" s="1"/>
  <c r="C2530" i="3"/>
  <c r="F2530" i="3" s="1"/>
  <c r="C2529" i="3"/>
  <c r="I2529" i="3" s="1"/>
  <c r="C2528" i="3"/>
  <c r="C2527" i="3"/>
  <c r="K2527" i="3" s="1"/>
  <c r="C2526" i="3"/>
  <c r="C2525" i="3"/>
  <c r="I2525" i="3" s="1"/>
  <c r="C2524" i="3"/>
  <c r="J2524" i="3" s="1"/>
  <c r="C2523" i="3"/>
  <c r="H2523" i="3" s="1"/>
  <c r="C2522" i="3"/>
  <c r="C2521" i="3"/>
  <c r="C2520" i="3"/>
  <c r="I2520" i="3" s="1"/>
  <c r="C2519" i="3"/>
  <c r="C2518" i="3"/>
  <c r="C2517" i="3"/>
  <c r="J2517" i="3" s="1"/>
  <c r="C2516" i="3"/>
  <c r="C2515" i="3"/>
  <c r="C2514" i="3"/>
  <c r="J2514" i="3" s="1"/>
  <c r="C2513" i="3"/>
  <c r="G2513" i="3" s="1"/>
  <c r="C2512" i="3"/>
  <c r="C2511" i="3"/>
  <c r="C2510" i="3"/>
  <c r="C2509" i="3"/>
  <c r="J2509" i="3" s="1"/>
  <c r="C2508" i="3"/>
  <c r="K2508" i="3" s="1"/>
  <c r="C2507" i="3"/>
  <c r="C2506" i="3"/>
  <c r="I2506" i="3" s="1"/>
  <c r="C2505" i="3"/>
  <c r="K2505" i="3" s="1"/>
  <c r="C2504" i="3"/>
  <c r="J2504" i="3" s="1"/>
  <c r="C2503" i="3"/>
  <c r="J2503" i="3" s="1"/>
  <c r="C2502" i="3"/>
  <c r="C2501" i="3"/>
  <c r="G2501" i="3" s="1"/>
  <c r="C2500" i="3"/>
  <c r="G2500" i="3" s="1"/>
  <c r="C2499" i="3"/>
  <c r="K2499" i="3" s="1"/>
  <c r="C2498" i="3"/>
  <c r="G2498" i="3" s="1"/>
  <c r="C2497" i="3"/>
  <c r="C2496" i="3"/>
  <c r="J2496" i="3" s="1"/>
  <c r="C2495" i="3"/>
  <c r="C2494" i="3"/>
  <c r="D2494" i="3" s="1"/>
  <c r="C2493" i="3"/>
  <c r="F2493" i="3" s="1"/>
  <c r="C2492" i="3"/>
  <c r="D2492" i="3" s="1"/>
  <c r="C2491" i="3"/>
  <c r="K2491" i="3" s="1"/>
  <c r="C2490" i="3"/>
  <c r="C2489" i="3"/>
  <c r="C2488" i="3"/>
  <c r="D2488" i="3" s="1"/>
  <c r="C2487" i="3"/>
  <c r="F2487" i="3" s="1"/>
  <c r="C2486" i="3"/>
  <c r="E2486" i="3" s="1"/>
  <c r="C2485" i="3"/>
  <c r="G2485" i="3" s="1"/>
  <c r="C2484" i="3"/>
  <c r="C2483" i="3"/>
  <c r="F2483" i="3" s="1"/>
  <c r="C2482" i="3"/>
  <c r="I2482" i="3" s="1"/>
  <c r="C2481" i="3"/>
  <c r="C2480" i="3"/>
  <c r="I2480" i="3" s="1"/>
  <c r="C2479" i="3"/>
  <c r="I2479" i="3" s="1"/>
  <c r="C2478" i="3"/>
  <c r="L2478" i="3" s="1"/>
  <c r="C2477" i="3"/>
  <c r="C2476" i="3"/>
  <c r="J2476" i="3" s="1"/>
  <c r="C2475" i="3"/>
  <c r="G2475" i="3" s="1"/>
  <c r="C2474" i="3"/>
  <c r="I2474" i="3" s="1"/>
  <c r="C2473" i="3"/>
  <c r="C2472" i="3"/>
  <c r="I2472" i="3" s="1"/>
  <c r="C2471" i="3"/>
  <c r="I2471" i="3" s="1"/>
  <c r="C2470" i="3"/>
  <c r="G2470" i="3" s="1"/>
  <c r="C2469" i="3"/>
  <c r="I2469" i="3" s="1"/>
  <c r="C2468" i="3"/>
  <c r="I2468" i="3" s="1"/>
  <c r="C2467" i="3"/>
  <c r="E2467" i="3" s="1"/>
  <c r="C2466" i="3"/>
  <c r="G2466" i="3" s="1"/>
  <c r="C2465" i="3"/>
  <c r="C2464" i="3"/>
  <c r="I2464" i="3" s="1"/>
  <c r="C2463" i="3"/>
  <c r="E2463" i="3" s="1"/>
  <c r="C2462" i="3"/>
  <c r="J2462" i="3" s="1"/>
  <c r="C2461" i="3"/>
  <c r="H2461" i="3" s="1"/>
  <c r="C2460" i="3"/>
  <c r="C2459" i="3"/>
  <c r="C2458" i="3"/>
  <c r="J2458" i="3" s="1"/>
  <c r="C2457" i="3"/>
  <c r="J2457" i="3" s="1"/>
  <c r="C2456" i="3"/>
  <c r="C2455" i="3"/>
  <c r="I2455" i="3" s="1"/>
  <c r="C2454" i="3"/>
  <c r="I2454" i="3" s="1"/>
  <c r="C2453" i="3"/>
  <c r="C2452" i="3"/>
  <c r="C2451" i="3"/>
  <c r="I2451" i="3" s="1"/>
  <c r="C2450" i="3"/>
  <c r="C2449" i="3"/>
  <c r="I2449" i="3" s="1"/>
  <c r="C2448" i="3"/>
  <c r="K2448" i="3" s="1"/>
  <c r="C2447" i="3"/>
  <c r="G2447" i="3" s="1"/>
  <c r="C2446" i="3"/>
  <c r="J2446" i="3" s="1"/>
  <c r="C2445" i="3"/>
  <c r="I2445" i="3" s="1"/>
  <c r="C2444" i="3"/>
  <c r="C2443" i="3"/>
  <c r="J2443" i="3" s="1"/>
  <c r="C2442" i="3"/>
  <c r="C2441" i="3"/>
  <c r="J2441" i="3" s="1"/>
  <c r="C2440" i="3"/>
  <c r="C2439" i="3"/>
  <c r="C2438" i="3"/>
  <c r="I2438" i="3" s="1"/>
  <c r="C2437" i="3"/>
  <c r="I2437" i="3" s="1"/>
  <c r="C2436" i="3"/>
  <c r="E2436" i="3" s="1"/>
  <c r="C2435" i="3"/>
  <c r="C2434" i="3"/>
  <c r="K2434" i="3" s="1"/>
  <c r="C2433" i="3"/>
  <c r="F2433" i="3" s="1"/>
  <c r="C2432" i="3"/>
  <c r="H2432" i="3" s="1"/>
  <c r="C2431" i="3"/>
  <c r="K2431" i="3" s="1"/>
  <c r="C2430" i="3"/>
  <c r="I2430" i="3" s="1"/>
  <c r="C2429" i="3"/>
  <c r="H2429" i="3" s="1"/>
  <c r="C2428" i="3"/>
  <c r="H2428" i="3" s="1"/>
  <c r="C2427" i="3"/>
  <c r="G2427" i="3" s="1"/>
  <c r="C2426" i="3"/>
  <c r="G2426" i="3" s="1"/>
  <c r="C2425" i="3"/>
  <c r="J2425" i="3" s="1"/>
  <c r="C2424" i="3"/>
  <c r="K2424" i="3" s="1"/>
  <c r="C2423" i="3"/>
  <c r="J2423" i="3" s="1"/>
  <c r="C2422" i="3"/>
  <c r="H2422" i="3" s="1"/>
  <c r="C2421" i="3"/>
  <c r="K2421" i="3" s="1"/>
  <c r="P13" i="1"/>
  <c r="C3" i="3"/>
  <c r="C2420" i="3"/>
  <c r="J2420" i="3" s="1"/>
  <c r="C2419" i="3"/>
  <c r="J2419" i="3" s="1"/>
  <c r="C2418" i="3"/>
  <c r="J2418" i="3" s="1"/>
  <c r="C2417" i="3"/>
  <c r="J2417" i="3" s="1"/>
  <c r="C2416" i="3"/>
  <c r="J2416" i="3" s="1"/>
  <c r="C2415" i="3"/>
  <c r="C2414" i="3"/>
  <c r="J2414" i="3" s="1"/>
  <c r="C2413" i="3"/>
  <c r="C2412" i="3"/>
  <c r="J2412" i="3" s="1"/>
  <c r="C2411" i="3"/>
  <c r="J2411" i="3" s="1"/>
  <c r="C2410" i="3"/>
  <c r="J2410" i="3" s="1"/>
  <c r="C2409" i="3"/>
  <c r="J2409" i="3" s="1"/>
  <c r="C2408" i="3"/>
  <c r="J2408" i="3" s="1"/>
  <c r="C2407" i="3"/>
  <c r="J2407" i="3" s="1"/>
  <c r="C2406" i="3"/>
  <c r="C2405" i="3"/>
  <c r="J2405" i="3" s="1"/>
  <c r="C2404" i="3"/>
  <c r="J2404" i="3" s="1"/>
  <c r="C2403" i="3"/>
  <c r="J2403" i="3" s="1"/>
  <c r="C2402" i="3"/>
  <c r="J2402" i="3" s="1"/>
  <c r="C2401" i="3"/>
  <c r="J2401" i="3" s="1"/>
  <c r="C2400" i="3"/>
  <c r="J2400" i="3" s="1"/>
  <c r="C2399" i="3"/>
  <c r="J2399" i="3" s="1"/>
  <c r="C2398" i="3"/>
  <c r="J2398" i="3" s="1"/>
  <c r="C2397" i="3"/>
  <c r="J2397" i="3" s="1"/>
  <c r="C2396" i="3"/>
  <c r="J2396" i="3" s="1"/>
  <c r="C2395" i="3"/>
  <c r="J2395" i="3" s="1"/>
  <c r="C2394" i="3"/>
  <c r="J2394" i="3" s="1"/>
  <c r="C2393" i="3"/>
  <c r="J2393" i="3" s="1"/>
  <c r="C2392" i="3"/>
  <c r="J2392" i="3" s="1"/>
  <c r="C2391" i="3"/>
  <c r="J2391" i="3" s="1"/>
  <c r="C2390" i="3"/>
  <c r="J2390" i="3" s="1"/>
  <c r="C2389" i="3"/>
  <c r="J2389" i="3" s="1"/>
  <c r="C2388" i="3"/>
  <c r="J2388" i="3" s="1"/>
  <c r="C2387" i="3"/>
  <c r="J2387" i="3" s="1"/>
  <c r="C2386" i="3"/>
  <c r="J2386" i="3" s="1"/>
  <c r="C2385" i="3"/>
  <c r="J2385" i="3" s="1"/>
  <c r="C2384" i="3"/>
  <c r="J2384" i="3" s="1"/>
  <c r="C2383" i="3"/>
  <c r="J2383" i="3" s="1"/>
  <c r="C2382" i="3"/>
  <c r="J2382" i="3" s="1"/>
  <c r="C2381" i="3"/>
  <c r="J2381" i="3" s="1"/>
  <c r="C2380" i="3"/>
  <c r="J2380" i="3" s="1"/>
  <c r="C2379" i="3"/>
  <c r="J2379" i="3" s="1"/>
  <c r="C2378" i="3"/>
  <c r="J2378" i="3" s="1"/>
  <c r="C2377" i="3"/>
  <c r="J2377" i="3" s="1"/>
  <c r="C2376" i="3"/>
  <c r="J2376" i="3" s="1"/>
  <c r="C2375" i="3"/>
  <c r="J2375" i="3" s="1"/>
  <c r="C2374" i="3"/>
  <c r="J2374" i="3" s="1"/>
  <c r="C2373" i="3"/>
  <c r="J2373" i="3" s="1"/>
  <c r="C2372" i="3"/>
  <c r="J2372" i="3" s="1"/>
  <c r="C2371" i="3"/>
  <c r="J2371" i="3" s="1"/>
  <c r="C2370" i="3"/>
  <c r="J2370" i="3" s="1"/>
  <c r="C2369" i="3"/>
  <c r="J2369" i="3" s="1"/>
  <c r="C2368" i="3"/>
  <c r="J2368" i="3" s="1"/>
  <c r="C2367" i="3"/>
  <c r="J2367" i="3" s="1"/>
  <c r="C2366" i="3"/>
  <c r="J2366" i="3" s="1"/>
  <c r="C2365" i="3"/>
  <c r="J2365" i="3" s="1"/>
  <c r="C2364" i="3"/>
  <c r="J2364" i="3" s="1"/>
  <c r="C2363" i="3"/>
  <c r="J2363" i="3" s="1"/>
  <c r="C2362" i="3"/>
  <c r="J2362" i="3" s="1"/>
  <c r="C2361" i="3"/>
  <c r="J2361" i="3" s="1"/>
  <c r="C2360" i="3"/>
  <c r="J2360" i="3" s="1"/>
  <c r="C2359" i="3"/>
  <c r="J2359" i="3" s="1"/>
  <c r="C2358" i="3"/>
  <c r="J2358" i="3" s="1"/>
  <c r="C2357" i="3"/>
  <c r="J2357" i="3" s="1"/>
  <c r="C2356" i="3"/>
  <c r="J2356" i="3" s="1"/>
  <c r="C2355" i="3"/>
  <c r="J2355" i="3" s="1"/>
  <c r="C2354" i="3"/>
  <c r="J2354" i="3" s="1"/>
  <c r="C2353" i="3"/>
  <c r="J2353" i="3" s="1"/>
  <c r="C2352" i="3"/>
  <c r="J2352" i="3" s="1"/>
  <c r="C2351" i="3"/>
  <c r="J2351" i="3" s="1"/>
  <c r="C2350" i="3"/>
  <c r="J2350" i="3" s="1"/>
  <c r="C2349" i="3"/>
  <c r="J2349" i="3" s="1"/>
  <c r="C2348" i="3"/>
  <c r="J2348" i="3" s="1"/>
  <c r="C2347" i="3"/>
  <c r="J2347" i="3" s="1"/>
  <c r="C2346" i="3"/>
  <c r="J2346" i="3" s="1"/>
  <c r="C2345" i="3"/>
  <c r="J2345" i="3" s="1"/>
  <c r="C2344" i="3"/>
  <c r="J2344" i="3" s="1"/>
  <c r="C2343" i="3"/>
  <c r="J2343" i="3" s="1"/>
  <c r="C2342" i="3"/>
  <c r="J2342" i="3" s="1"/>
  <c r="C2341" i="3"/>
  <c r="J2341" i="3" s="1"/>
  <c r="C2340" i="3"/>
  <c r="J2340" i="3" s="1"/>
  <c r="C2339" i="3"/>
  <c r="J2339" i="3" s="1"/>
  <c r="C2338" i="3"/>
  <c r="J2338" i="3" s="1"/>
  <c r="C2337" i="3"/>
  <c r="J2337" i="3" s="1"/>
  <c r="C2336" i="3"/>
  <c r="J2336" i="3" s="1"/>
  <c r="C2335" i="3"/>
  <c r="J2335" i="3" s="1"/>
  <c r="C2334" i="3"/>
  <c r="J2334" i="3" s="1"/>
  <c r="C2333" i="3"/>
  <c r="J2333" i="3" s="1"/>
  <c r="C2332" i="3"/>
  <c r="J2332" i="3" s="1"/>
  <c r="C2331" i="3"/>
  <c r="J2331" i="3" s="1"/>
  <c r="C2330" i="3"/>
  <c r="J2330" i="3" s="1"/>
  <c r="C2329" i="3"/>
  <c r="J2329" i="3" s="1"/>
  <c r="C2328" i="3"/>
  <c r="J2328" i="3" s="1"/>
  <c r="C2327" i="3"/>
  <c r="J2327" i="3" s="1"/>
  <c r="C2326" i="3"/>
  <c r="J2326" i="3" s="1"/>
  <c r="C2325" i="3"/>
  <c r="J2325" i="3" s="1"/>
  <c r="C2324" i="3"/>
  <c r="J2324" i="3" s="1"/>
  <c r="C2323" i="3"/>
  <c r="J2323" i="3" s="1"/>
  <c r="C2322" i="3"/>
  <c r="J2322" i="3" s="1"/>
  <c r="C2321" i="3"/>
  <c r="J2321" i="3" s="1"/>
  <c r="C2320" i="3"/>
  <c r="J2320" i="3" s="1"/>
  <c r="C2319" i="3"/>
  <c r="J2319" i="3" s="1"/>
  <c r="C2318" i="3"/>
  <c r="J2318" i="3" s="1"/>
  <c r="C2317" i="3"/>
  <c r="J2317" i="3" s="1"/>
  <c r="C2316" i="3"/>
  <c r="J2316" i="3" s="1"/>
  <c r="C2315" i="3"/>
  <c r="J2315" i="3" s="1"/>
  <c r="C2314" i="3"/>
  <c r="J2314" i="3" s="1"/>
  <c r="C2313" i="3"/>
  <c r="J2313" i="3" s="1"/>
  <c r="C2312" i="3"/>
  <c r="J2312" i="3" s="1"/>
  <c r="C2311" i="3"/>
  <c r="J2311" i="3" s="1"/>
  <c r="C2310" i="3"/>
  <c r="J2310" i="3" s="1"/>
  <c r="C2309" i="3"/>
  <c r="J2309" i="3" s="1"/>
  <c r="C2308" i="3"/>
  <c r="J2308" i="3" s="1"/>
  <c r="C2307" i="3"/>
  <c r="J2307" i="3" s="1"/>
  <c r="C2306" i="3"/>
  <c r="J2306" i="3" s="1"/>
  <c r="C2305" i="3"/>
  <c r="J2305" i="3" s="1"/>
  <c r="C2304" i="3"/>
  <c r="J2304" i="3" s="1"/>
  <c r="C2303" i="3"/>
  <c r="J2303" i="3" s="1"/>
  <c r="C2302" i="3"/>
  <c r="J2302" i="3" s="1"/>
  <c r="C2301" i="3"/>
  <c r="J2301" i="3" s="1"/>
  <c r="C2300" i="3"/>
  <c r="J2300" i="3" s="1"/>
  <c r="C2299" i="3"/>
  <c r="J2299" i="3" s="1"/>
  <c r="C2298" i="3"/>
  <c r="J2298" i="3" s="1"/>
  <c r="C2297" i="3"/>
  <c r="J2297" i="3" s="1"/>
  <c r="C2296" i="3"/>
  <c r="J2296" i="3" s="1"/>
  <c r="C2295" i="3"/>
  <c r="J2295" i="3" s="1"/>
  <c r="C2294" i="3"/>
  <c r="J2294" i="3" s="1"/>
  <c r="C2293" i="3"/>
  <c r="J2293" i="3" s="1"/>
  <c r="C2292" i="3"/>
  <c r="J2292" i="3" s="1"/>
  <c r="C2291" i="3"/>
  <c r="J2291" i="3" s="1"/>
  <c r="C2290" i="3"/>
  <c r="J2290" i="3" s="1"/>
  <c r="C2289" i="3"/>
  <c r="J2289" i="3" s="1"/>
  <c r="C2288" i="3"/>
  <c r="J2288" i="3" s="1"/>
  <c r="C2287" i="3"/>
  <c r="J2287" i="3" s="1"/>
  <c r="C2286" i="3"/>
  <c r="J2286" i="3" s="1"/>
  <c r="C2285" i="3"/>
  <c r="J2285" i="3" s="1"/>
  <c r="C2284" i="3"/>
  <c r="J2284" i="3" s="1"/>
  <c r="C2283" i="3"/>
  <c r="J2283" i="3" s="1"/>
  <c r="C2282" i="3"/>
  <c r="J2282" i="3" s="1"/>
  <c r="C2281" i="3"/>
  <c r="J2281" i="3" s="1"/>
  <c r="C2280" i="3"/>
  <c r="J2280" i="3" s="1"/>
  <c r="C2279" i="3"/>
  <c r="J2279" i="3" s="1"/>
  <c r="C2278" i="3"/>
  <c r="J2278" i="3" s="1"/>
  <c r="C2277" i="3"/>
  <c r="J2277" i="3" s="1"/>
  <c r="C2276" i="3"/>
  <c r="J2276" i="3" s="1"/>
  <c r="C2275" i="3"/>
  <c r="J2275" i="3" s="1"/>
  <c r="C2274" i="3"/>
  <c r="J2274" i="3" s="1"/>
  <c r="C2273" i="3"/>
  <c r="J2273" i="3" s="1"/>
  <c r="C2272" i="3"/>
  <c r="J2272" i="3" s="1"/>
  <c r="C2271" i="3"/>
  <c r="J2271" i="3" s="1"/>
  <c r="C2270" i="3"/>
  <c r="J2270" i="3" s="1"/>
  <c r="C2269" i="3"/>
  <c r="J2269" i="3" s="1"/>
  <c r="C2268" i="3"/>
  <c r="J2268" i="3" s="1"/>
  <c r="C2267" i="3"/>
  <c r="J2267" i="3" s="1"/>
  <c r="C2266" i="3"/>
  <c r="J2266" i="3" s="1"/>
  <c r="C2265" i="3"/>
  <c r="J2265" i="3" s="1"/>
  <c r="C2264" i="3"/>
  <c r="J2264" i="3" s="1"/>
  <c r="C2263" i="3"/>
  <c r="J2263" i="3" s="1"/>
  <c r="C2262" i="3"/>
  <c r="J2262" i="3" s="1"/>
  <c r="C2261" i="3"/>
  <c r="J2261" i="3" s="1"/>
  <c r="C2260" i="3"/>
  <c r="J2260" i="3" s="1"/>
  <c r="C2259" i="3"/>
  <c r="J2259" i="3" s="1"/>
  <c r="C2258" i="3"/>
  <c r="J2258" i="3" s="1"/>
  <c r="C2257" i="3"/>
  <c r="J2257" i="3" s="1"/>
  <c r="C2256" i="3"/>
  <c r="J2256" i="3" s="1"/>
  <c r="C2255" i="3"/>
  <c r="J2255" i="3" s="1"/>
  <c r="C2254" i="3"/>
  <c r="J2254" i="3" s="1"/>
  <c r="C2253" i="3"/>
  <c r="J2253" i="3" s="1"/>
  <c r="C2252" i="3"/>
  <c r="J2252" i="3" s="1"/>
  <c r="C2251" i="3"/>
  <c r="J2251" i="3" s="1"/>
  <c r="C2250" i="3"/>
  <c r="J2250" i="3" s="1"/>
  <c r="C2249" i="3"/>
  <c r="J2249" i="3" s="1"/>
  <c r="C2248" i="3"/>
  <c r="J2248" i="3" s="1"/>
  <c r="C2247" i="3"/>
  <c r="J2247" i="3" s="1"/>
  <c r="C2246" i="3"/>
  <c r="J2246" i="3" s="1"/>
  <c r="C2245" i="3"/>
  <c r="J2245" i="3" s="1"/>
  <c r="C2244" i="3"/>
  <c r="J2244" i="3" s="1"/>
  <c r="C2243" i="3"/>
  <c r="J2243" i="3" s="1"/>
  <c r="C2242" i="3"/>
  <c r="J2242" i="3" s="1"/>
  <c r="C2241" i="3"/>
  <c r="J2241" i="3" s="1"/>
  <c r="C2240" i="3"/>
  <c r="J2240" i="3" s="1"/>
  <c r="C2239" i="3"/>
  <c r="J2239" i="3" s="1"/>
  <c r="C2238" i="3"/>
  <c r="J2238" i="3" s="1"/>
  <c r="C2237" i="3"/>
  <c r="J2237" i="3" s="1"/>
  <c r="C2236" i="3"/>
  <c r="J2236" i="3" s="1"/>
  <c r="C2235" i="3"/>
  <c r="J2235" i="3" s="1"/>
  <c r="C2234" i="3"/>
  <c r="J2234" i="3" s="1"/>
  <c r="C2233" i="3"/>
  <c r="J2233" i="3" s="1"/>
  <c r="C2232" i="3"/>
  <c r="J2232" i="3" s="1"/>
  <c r="C2231" i="3"/>
  <c r="J2231" i="3" s="1"/>
  <c r="C2230" i="3"/>
  <c r="J2230" i="3" s="1"/>
  <c r="C2229" i="3"/>
  <c r="J2229" i="3" s="1"/>
  <c r="C2228" i="3"/>
  <c r="J2228" i="3" s="1"/>
  <c r="C2227" i="3"/>
  <c r="J2227" i="3" s="1"/>
  <c r="C2226" i="3"/>
  <c r="J2226" i="3" s="1"/>
  <c r="C2225" i="3"/>
  <c r="J2225" i="3" s="1"/>
  <c r="C2224" i="3"/>
  <c r="J2224" i="3" s="1"/>
  <c r="C2223" i="3"/>
  <c r="J2223" i="3" s="1"/>
  <c r="C2222" i="3"/>
  <c r="J2222" i="3" s="1"/>
  <c r="C2221" i="3"/>
  <c r="J2221" i="3" s="1"/>
  <c r="C2220" i="3"/>
  <c r="J2220" i="3" s="1"/>
  <c r="C2219" i="3"/>
  <c r="J2219" i="3" s="1"/>
  <c r="C2218" i="3"/>
  <c r="J2218" i="3" s="1"/>
  <c r="C2217" i="3"/>
  <c r="J2217" i="3" s="1"/>
  <c r="C2216" i="3"/>
  <c r="J2216" i="3" s="1"/>
  <c r="C2215" i="3"/>
  <c r="J2215" i="3" s="1"/>
  <c r="C2214" i="3"/>
  <c r="J2214" i="3" s="1"/>
  <c r="C2213" i="3"/>
  <c r="J2213" i="3" s="1"/>
  <c r="C2212" i="3"/>
  <c r="J2212" i="3" s="1"/>
  <c r="C2211" i="3"/>
  <c r="J2211" i="3" s="1"/>
  <c r="C2210" i="3"/>
  <c r="J2210" i="3" s="1"/>
  <c r="C2209" i="3"/>
  <c r="J2209" i="3" s="1"/>
  <c r="C2208" i="3"/>
  <c r="J2208" i="3" s="1"/>
  <c r="C2207" i="3"/>
  <c r="J2207" i="3" s="1"/>
  <c r="C2206" i="3"/>
  <c r="J2206" i="3" s="1"/>
  <c r="C2205" i="3"/>
  <c r="J2205" i="3" s="1"/>
  <c r="C2204" i="3"/>
  <c r="J2204" i="3" s="1"/>
  <c r="C2203" i="3"/>
  <c r="J2203" i="3" s="1"/>
  <c r="C2202" i="3"/>
  <c r="J2202" i="3" s="1"/>
  <c r="C2201" i="3"/>
  <c r="J2201" i="3" s="1"/>
  <c r="C2200" i="3"/>
  <c r="J2200" i="3" s="1"/>
  <c r="C2199" i="3"/>
  <c r="J2199" i="3" s="1"/>
  <c r="C2198" i="3"/>
  <c r="J2198" i="3" s="1"/>
  <c r="C2197" i="3"/>
  <c r="J2197" i="3" s="1"/>
  <c r="C2196" i="3"/>
  <c r="J2196" i="3" s="1"/>
  <c r="C2195" i="3"/>
  <c r="J2195" i="3" s="1"/>
  <c r="C2194" i="3"/>
  <c r="J2194" i="3" s="1"/>
  <c r="C2193" i="3"/>
  <c r="J2193" i="3" s="1"/>
  <c r="C2192" i="3"/>
  <c r="J2192" i="3" s="1"/>
  <c r="C2191" i="3"/>
  <c r="J2191" i="3" s="1"/>
  <c r="C2190" i="3"/>
  <c r="J2190" i="3" s="1"/>
  <c r="C2189" i="3"/>
  <c r="J2189" i="3" s="1"/>
  <c r="C2188" i="3"/>
  <c r="J2188" i="3" s="1"/>
  <c r="C2187" i="3"/>
  <c r="J2187" i="3" s="1"/>
  <c r="C2186" i="3"/>
  <c r="J2186" i="3" s="1"/>
  <c r="C2185" i="3"/>
  <c r="J2185" i="3" s="1"/>
  <c r="C2184" i="3"/>
  <c r="J2184" i="3" s="1"/>
  <c r="C2183" i="3"/>
  <c r="J2183" i="3" s="1"/>
  <c r="C2182" i="3"/>
  <c r="J2182" i="3" s="1"/>
  <c r="C2181" i="3"/>
  <c r="J2181" i="3" s="1"/>
  <c r="C2180" i="3"/>
  <c r="J2180" i="3" s="1"/>
  <c r="C2179" i="3"/>
  <c r="J2179" i="3" s="1"/>
  <c r="C2178" i="3"/>
  <c r="J2178" i="3" s="1"/>
  <c r="C2177" i="3"/>
  <c r="J2177" i="3" s="1"/>
  <c r="C2176" i="3"/>
  <c r="J2176" i="3" s="1"/>
  <c r="C2175" i="3"/>
  <c r="J2175" i="3" s="1"/>
  <c r="C2174" i="3"/>
  <c r="J2174" i="3" s="1"/>
  <c r="C2173" i="3"/>
  <c r="J2173" i="3" s="1"/>
  <c r="C2172" i="3"/>
  <c r="J2172" i="3" s="1"/>
  <c r="C2171" i="3"/>
  <c r="J2171" i="3" s="1"/>
  <c r="C2170" i="3"/>
  <c r="J2170" i="3" s="1"/>
  <c r="C2169" i="3"/>
  <c r="J2169" i="3" s="1"/>
  <c r="C2168" i="3"/>
  <c r="J2168" i="3" s="1"/>
  <c r="C2167" i="3"/>
  <c r="J2167" i="3" s="1"/>
  <c r="C2166" i="3"/>
  <c r="J2166" i="3" s="1"/>
  <c r="C2165" i="3"/>
  <c r="J2165" i="3" s="1"/>
  <c r="C2164" i="3"/>
  <c r="J2164" i="3" s="1"/>
  <c r="C2163" i="3"/>
  <c r="J2163" i="3" s="1"/>
  <c r="C2162" i="3"/>
  <c r="J2162" i="3" s="1"/>
  <c r="C2161" i="3"/>
  <c r="J2161" i="3" s="1"/>
  <c r="C2160" i="3"/>
  <c r="J2160" i="3" s="1"/>
  <c r="C2159" i="3"/>
  <c r="J2159" i="3" s="1"/>
  <c r="C2158" i="3"/>
  <c r="J2158" i="3" s="1"/>
  <c r="C2157" i="3"/>
  <c r="J2157" i="3" s="1"/>
  <c r="C2156" i="3"/>
  <c r="J2156" i="3" s="1"/>
  <c r="C2155" i="3"/>
  <c r="J2155" i="3" s="1"/>
  <c r="C2154" i="3"/>
  <c r="J2154" i="3" s="1"/>
  <c r="C2153" i="3"/>
  <c r="J2153" i="3" s="1"/>
  <c r="C2152" i="3"/>
  <c r="J2152" i="3" s="1"/>
  <c r="C2151" i="3"/>
  <c r="J2151" i="3" s="1"/>
  <c r="C2150" i="3"/>
  <c r="J2150" i="3" s="1"/>
  <c r="C2149" i="3"/>
  <c r="J2149" i="3" s="1"/>
  <c r="C2148" i="3"/>
  <c r="J2148" i="3" s="1"/>
  <c r="C2147" i="3"/>
  <c r="J2147" i="3" s="1"/>
  <c r="C2146" i="3"/>
  <c r="J2146" i="3" s="1"/>
  <c r="C2145" i="3"/>
  <c r="J2145" i="3" s="1"/>
  <c r="C2144" i="3"/>
  <c r="J2144" i="3" s="1"/>
  <c r="C2143" i="3"/>
  <c r="J2143" i="3" s="1"/>
  <c r="C2142" i="3"/>
  <c r="J2142" i="3" s="1"/>
  <c r="C2141" i="3"/>
  <c r="J2141" i="3" s="1"/>
  <c r="C2140" i="3"/>
  <c r="J2140" i="3" s="1"/>
  <c r="C2139" i="3"/>
  <c r="J2139" i="3" s="1"/>
  <c r="C2138" i="3"/>
  <c r="J2138" i="3" s="1"/>
  <c r="C2137" i="3"/>
  <c r="J2137" i="3" s="1"/>
  <c r="C2136" i="3"/>
  <c r="J2136" i="3" s="1"/>
  <c r="C2135" i="3"/>
  <c r="J2135" i="3" s="1"/>
  <c r="C2134" i="3"/>
  <c r="J2134" i="3" s="1"/>
  <c r="C2133" i="3"/>
  <c r="J2133" i="3" s="1"/>
  <c r="C2132" i="3"/>
  <c r="J2132" i="3" s="1"/>
  <c r="C2131" i="3"/>
  <c r="J2131" i="3" s="1"/>
  <c r="C2130" i="3"/>
  <c r="J2130" i="3" s="1"/>
  <c r="C2129" i="3"/>
  <c r="J2129" i="3" s="1"/>
  <c r="C2128" i="3"/>
  <c r="J2128" i="3" s="1"/>
  <c r="C2127" i="3"/>
  <c r="J2127" i="3" s="1"/>
  <c r="C2126" i="3"/>
  <c r="J2126" i="3" s="1"/>
  <c r="C2125" i="3"/>
  <c r="J2125" i="3" s="1"/>
  <c r="C2124" i="3"/>
  <c r="J2124" i="3" s="1"/>
  <c r="C2123" i="3"/>
  <c r="J2123" i="3" s="1"/>
  <c r="C2122" i="3"/>
  <c r="J2122" i="3" s="1"/>
  <c r="C2121" i="3"/>
  <c r="J2121" i="3" s="1"/>
  <c r="C2120" i="3"/>
  <c r="J2120" i="3" s="1"/>
  <c r="C2119" i="3"/>
  <c r="J2119" i="3" s="1"/>
  <c r="C2118" i="3"/>
  <c r="J2118" i="3" s="1"/>
  <c r="C2117" i="3"/>
  <c r="J2117" i="3" s="1"/>
  <c r="C2116" i="3"/>
  <c r="J2116" i="3" s="1"/>
  <c r="C2115" i="3"/>
  <c r="J2115" i="3" s="1"/>
  <c r="C2114" i="3"/>
  <c r="J2114" i="3" s="1"/>
  <c r="C2113" i="3"/>
  <c r="J2113" i="3" s="1"/>
  <c r="C2112" i="3"/>
  <c r="J2112" i="3" s="1"/>
  <c r="C2111" i="3"/>
  <c r="J2111" i="3" s="1"/>
  <c r="C2110" i="3"/>
  <c r="J2110" i="3" s="1"/>
  <c r="C2109" i="3"/>
  <c r="J2109" i="3" s="1"/>
  <c r="C2108" i="3"/>
  <c r="J2108" i="3" s="1"/>
  <c r="C2107" i="3"/>
  <c r="J2107" i="3" s="1"/>
  <c r="C2106" i="3"/>
  <c r="J2106" i="3" s="1"/>
  <c r="C2105" i="3"/>
  <c r="J2105" i="3" s="1"/>
  <c r="C2104" i="3"/>
  <c r="J2104" i="3" s="1"/>
  <c r="C2103" i="3"/>
  <c r="J2103" i="3" s="1"/>
  <c r="C2102" i="3"/>
  <c r="J2102" i="3" s="1"/>
  <c r="C2101" i="3"/>
  <c r="J2101" i="3" s="1"/>
  <c r="C2100" i="3"/>
  <c r="J2100" i="3" s="1"/>
  <c r="C2099" i="3"/>
  <c r="J2099" i="3" s="1"/>
  <c r="C2098" i="3"/>
  <c r="J2098" i="3" s="1"/>
  <c r="C2097" i="3"/>
  <c r="J2097" i="3" s="1"/>
  <c r="C2096" i="3"/>
  <c r="J2096" i="3" s="1"/>
  <c r="C2095" i="3"/>
  <c r="J2095" i="3" s="1"/>
  <c r="C2094" i="3"/>
  <c r="J2094" i="3" s="1"/>
  <c r="C2093" i="3"/>
  <c r="J2093" i="3" s="1"/>
  <c r="C2092" i="3"/>
  <c r="J2092" i="3" s="1"/>
  <c r="C2091" i="3"/>
  <c r="J2091" i="3" s="1"/>
  <c r="C2090" i="3"/>
  <c r="J2090" i="3" s="1"/>
  <c r="C2089" i="3"/>
  <c r="J2089" i="3" s="1"/>
  <c r="C2088" i="3"/>
  <c r="J2088" i="3" s="1"/>
  <c r="C2087" i="3"/>
  <c r="J2087" i="3" s="1"/>
  <c r="C2086" i="3"/>
  <c r="J2086" i="3" s="1"/>
  <c r="C2085" i="3"/>
  <c r="J2085" i="3" s="1"/>
  <c r="C2084" i="3"/>
  <c r="J2084" i="3" s="1"/>
  <c r="C2083" i="3"/>
  <c r="J2083" i="3" s="1"/>
  <c r="C2082" i="3"/>
  <c r="J2082" i="3" s="1"/>
  <c r="C2081" i="3"/>
  <c r="J2081" i="3" s="1"/>
  <c r="C2080" i="3"/>
  <c r="J2080" i="3" s="1"/>
  <c r="C2079" i="3"/>
  <c r="J2079" i="3" s="1"/>
  <c r="C2078" i="3"/>
  <c r="J2078" i="3" s="1"/>
  <c r="C2077" i="3"/>
  <c r="J2077" i="3" s="1"/>
  <c r="C2076" i="3"/>
  <c r="J2076" i="3" s="1"/>
  <c r="C2075" i="3"/>
  <c r="C2074" i="3"/>
  <c r="J2074" i="3" s="1"/>
  <c r="C2073" i="3"/>
  <c r="C2072" i="3"/>
  <c r="J2072" i="3" s="1"/>
  <c r="C2071" i="3"/>
  <c r="J2071" i="3" s="1"/>
  <c r="C2070" i="3"/>
  <c r="C2069" i="3"/>
  <c r="J2069" i="3" s="1"/>
  <c r="C2068" i="3"/>
  <c r="C2067" i="3"/>
  <c r="C2066" i="3"/>
  <c r="J2066" i="3" s="1"/>
  <c r="C2065" i="3"/>
  <c r="J2065" i="3" s="1"/>
  <c r="C2064" i="3"/>
  <c r="J2064" i="3" s="1"/>
  <c r="C2063" i="3"/>
  <c r="C2062" i="3"/>
  <c r="J2062" i="3" s="1"/>
  <c r="C2061" i="3"/>
  <c r="C2060" i="3"/>
  <c r="C2059" i="3"/>
  <c r="J2059" i="3" s="1"/>
  <c r="C2058" i="3"/>
  <c r="J2058" i="3" s="1"/>
  <c r="C2057" i="3"/>
  <c r="J2057" i="3" s="1"/>
  <c r="C2056" i="3"/>
  <c r="J2056" i="3" s="1"/>
  <c r="C2055" i="3"/>
  <c r="J2055" i="3" s="1"/>
  <c r="C2054" i="3"/>
  <c r="J2054" i="3" s="1"/>
  <c r="C2053" i="3"/>
  <c r="J2053" i="3" s="1"/>
  <c r="C2052" i="3"/>
  <c r="J2052" i="3" s="1"/>
  <c r="C2051" i="3"/>
  <c r="J2051" i="3" s="1"/>
  <c r="C2050" i="3"/>
  <c r="J2050" i="3" s="1"/>
  <c r="C2049" i="3"/>
  <c r="J2049" i="3" s="1"/>
  <c r="C2048" i="3"/>
  <c r="J2048" i="3" s="1"/>
  <c r="C2047" i="3"/>
  <c r="J2047" i="3" s="1"/>
  <c r="C2046" i="3"/>
  <c r="J2046" i="3" s="1"/>
  <c r="C2045" i="3"/>
  <c r="J2045" i="3" s="1"/>
  <c r="C2044" i="3"/>
  <c r="J2044" i="3" s="1"/>
  <c r="C2043" i="3"/>
  <c r="J2043" i="3" s="1"/>
  <c r="C2042" i="3"/>
  <c r="J2042" i="3" s="1"/>
  <c r="C2041" i="3"/>
  <c r="J2041" i="3" s="1"/>
  <c r="C2040" i="3"/>
  <c r="J2040" i="3" s="1"/>
  <c r="C2039" i="3"/>
  <c r="J2039" i="3" s="1"/>
  <c r="C2038" i="3"/>
  <c r="J2038" i="3" s="1"/>
  <c r="C2037" i="3"/>
  <c r="J2037" i="3" s="1"/>
  <c r="C2036" i="3"/>
  <c r="J2036" i="3" s="1"/>
  <c r="C2035" i="3"/>
  <c r="J2035" i="3" s="1"/>
  <c r="C2034" i="3"/>
  <c r="J2034" i="3" s="1"/>
  <c r="C2033" i="3"/>
  <c r="J2033" i="3" s="1"/>
  <c r="C2032" i="3"/>
  <c r="J2032" i="3" s="1"/>
  <c r="C2031" i="3"/>
  <c r="J2031" i="3" s="1"/>
  <c r="C2030" i="3"/>
  <c r="J2030" i="3" s="1"/>
  <c r="C2029" i="3"/>
  <c r="J2029" i="3" s="1"/>
  <c r="C2028" i="3"/>
  <c r="J2028" i="3" s="1"/>
  <c r="C2027" i="3"/>
  <c r="J2027" i="3" s="1"/>
  <c r="C2026" i="3"/>
  <c r="J2026" i="3" s="1"/>
  <c r="C2025" i="3"/>
  <c r="J2025" i="3" s="1"/>
  <c r="C2024" i="3"/>
  <c r="J2024" i="3" s="1"/>
  <c r="C2023" i="3"/>
  <c r="J2023" i="3" s="1"/>
  <c r="C2022" i="3"/>
  <c r="J2022" i="3" s="1"/>
  <c r="C2021" i="3"/>
  <c r="J2021" i="3" s="1"/>
  <c r="C2020" i="3"/>
  <c r="J2020" i="3" s="1"/>
  <c r="C2019" i="3"/>
  <c r="J2019" i="3" s="1"/>
  <c r="C2018" i="3"/>
  <c r="J2018" i="3" s="1"/>
  <c r="C2017" i="3"/>
  <c r="J2017" i="3" s="1"/>
  <c r="C2016" i="3"/>
  <c r="J2016" i="3" s="1"/>
  <c r="C2015" i="3"/>
  <c r="J2015" i="3" s="1"/>
  <c r="C2014" i="3"/>
  <c r="J2014" i="3" s="1"/>
  <c r="C2013" i="3"/>
  <c r="J2013" i="3" s="1"/>
  <c r="C2012" i="3"/>
  <c r="J2012" i="3" s="1"/>
  <c r="C2011" i="3"/>
  <c r="J2011" i="3" s="1"/>
  <c r="C2010" i="3"/>
  <c r="J2010" i="3" s="1"/>
  <c r="C2009" i="3"/>
  <c r="J2009" i="3" s="1"/>
  <c r="C2008" i="3"/>
  <c r="J2008" i="3" s="1"/>
  <c r="C2007" i="3"/>
  <c r="J2007" i="3" s="1"/>
  <c r="C2006" i="3"/>
  <c r="J2006" i="3" s="1"/>
  <c r="C2005" i="3"/>
  <c r="J2005" i="3" s="1"/>
  <c r="C2004" i="3"/>
  <c r="J2004" i="3" s="1"/>
  <c r="C2003" i="3"/>
  <c r="J2003" i="3" s="1"/>
  <c r="C2002" i="3"/>
  <c r="J2002" i="3" s="1"/>
  <c r="C2001" i="3"/>
  <c r="J2001" i="3" s="1"/>
  <c r="C2000" i="3"/>
  <c r="J2000" i="3" s="1"/>
  <c r="C1999" i="3"/>
  <c r="J1999" i="3" s="1"/>
  <c r="C1998" i="3"/>
  <c r="J1998" i="3" s="1"/>
  <c r="C1997" i="3"/>
  <c r="J1997" i="3" s="1"/>
  <c r="C1996" i="3"/>
  <c r="J1996" i="3" s="1"/>
  <c r="C1995" i="3"/>
  <c r="J1995" i="3" s="1"/>
  <c r="C1994" i="3"/>
  <c r="J1994" i="3" s="1"/>
  <c r="C1993" i="3"/>
  <c r="J1993" i="3" s="1"/>
  <c r="C1992" i="3"/>
  <c r="J1992" i="3" s="1"/>
  <c r="C1991" i="3"/>
  <c r="J1991" i="3" s="1"/>
  <c r="C1990" i="3"/>
  <c r="J1990" i="3" s="1"/>
  <c r="C1989" i="3"/>
  <c r="J1989" i="3" s="1"/>
  <c r="C1988" i="3"/>
  <c r="J1988" i="3" s="1"/>
  <c r="C1987" i="3"/>
  <c r="J1987" i="3" s="1"/>
  <c r="C1986" i="3"/>
  <c r="J1986" i="3" s="1"/>
  <c r="C1985" i="3"/>
  <c r="J1985" i="3" s="1"/>
  <c r="C1984" i="3"/>
  <c r="J1984" i="3" s="1"/>
  <c r="C1983" i="3"/>
  <c r="J1983" i="3" s="1"/>
  <c r="C1982" i="3"/>
  <c r="J1982" i="3" s="1"/>
  <c r="C1981" i="3"/>
  <c r="J1981" i="3" s="1"/>
  <c r="C1980" i="3"/>
  <c r="J1980" i="3" s="1"/>
  <c r="C1979" i="3"/>
  <c r="J1979" i="3" s="1"/>
  <c r="C1978" i="3"/>
  <c r="J1978" i="3" s="1"/>
  <c r="C1977" i="3"/>
  <c r="J1977" i="3" s="1"/>
  <c r="C1976" i="3"/>
  <c r="J1976" i="3" s="1"/>
  <c r="C1975" i="3"/>
  <c r="J1975" i="3" s="1"/>
  <c r="C1974" i="3"/>
  <c r="J1974" i="3" s="1"/>
  <c r="C1973" i="3"/>
  <c r="J1973" i="3" s="1"/>
  <c r="C1972" i="3"/>
  <c r="J1972" i="3" s="1"/>
  <c r="C1971" i="3"/>
  <c r="J1971" i="3" s="1"/>
  <c r="C1970" i="3"/>
  <c r="J1970" i="3" s="1"/>
  <c r="C1969" i="3"/>
  <c r="J1969" i="3" s="1"/>
  <c r="C1968" i="3"/>
  <c r="J1968" i="3" s="1"/>
  <c r="C1967" i="3"/>
  <c r="J1967" i="3" s="1"/>
  <c r="C1966" i="3"/>
  <c r="J1966" i="3" s="1"/>
  <c r="C1965" i="3"/>
  <c r="J1965" i="3" s="1"/>
  <c r="C1964" i="3"/>
  <c r="J1964" i="3" s="1"/>
  <c r="C1963" i="3"/>
  <c r="J1963" i="3" s="1"/>
  <c r="C1962" i="3"/>
  <c r="J1962" i="3" s="1"/>
  <c r="C1961" i="3"/>
  <c r="J1961" i="3" s="1"/>
  <c r="C1960" i="3"/>
  <c r="J1960" i="3" s="1"/>
  <c r="C1959" i="3"/>
  <c r="J1959" i="3" s="1"/>
  <c r="C1958" i="3"/>
  <c r="J1958" i="3" s="1"/>
  <c r="C1957" i="3"/>
  <c r="J1957" i="3" s="1"/>
  <c r="C1956" i="3"/>
  <c r="J1956" i="3" s="1"/>
  <c r="C1955" i="3"/>
  <c r="J1955" i="3" s="1"/>
  <c r="C1954" i="3"/>
  <c r="J1954" i="3" s="1"/>
  <c r="C1953" i="3"/>
  <c r="J1953" i="3" s="1"/>
  <c r="C1952" i="3"/>
  <c r="J1952" i="3" s="1"/>
  <c r="C1951" i="3"/>
  <c r="J1951" i="3" s="1"/>
  <c r="C1950" i="3"/>
  <c r="J1950" i="3" s="1"/>
  <c r="C1949" i="3"/>
  <c r="J1949" i="3" s="1"/>
  <c r="C1948" i="3"/>
  <c r="J1948" i="3" s="1"/>
  <c r="C1947" i="3"/>
  <c r="J1947" i="3" s="1"/>
  <c r="C1946" i="3"/>
  <c r="J1946" i="3" s="1"/>
  <c r="C1945" i="3"/>
  <c r="J1945" i="3" s="1"/>
  <c r="C1944" i="3"/>
  <c r="J1944" i="3" s="1"/>
  <c r="C1943" i="3"/>
  <c r="J1943" i="3" s="1"/>
  <c r="C1942" i="3"/>
  <c r="J1942" i="3" s="1"/>
  <c r="C1941" i="3"/>
  <c r="J1941" i="3" s="1"/>
  <c r="C1940" i="3"/>
  <c r="J1940" i="3" s="1"/>
  <c r="C1939" i="3"/>
  <c r="J1939" i="3" s="1"/>
  <c r="C1938" i="3"/>
  <c r="J1938" i="3" s="1"/>
  <c r="C1937" i="3"/>
  <c r="J1937" i="3" s="1"/>
  <c r="C1936" i="3"/>
  <c r="J1936" i="3" s="1"/>
  <c r="C1935" i="3"/>
  <c r="J1935" i="3" s="1"/>
  <c r="C1934" i="3"/>
  <c r="J1934" i="3" s="1"/>
  <c r="C1933" i="3"/>
  <c r="J1933" i="3" s="1"/>
  <c r="C1932" i="3"/>
  <c r="J1932" i="3" s="1"/>
  <c r="C1931" i="3"/>
  <c r="J1931" i="3" s="1"/>
  <c r="C1930" i="3"/>
  <c r="J1930" i="3" s="1"/>
  <c r="C1929" i="3"/>
  <c r="J1929" i="3" s="1"/>
  <c r="C1928" i="3"/>
  <c r="J1928" i="3" s="1"/>
  <c r="C1927" i="3"/>
  <c r="J1927" i="3" s="1"/>
  <c r="C1926" i="3"/>
  <c r="J1926" i="3" s="1"/>
  <c r="C1925" i="3"/>
  <c r="J1925" i="3" s="1"/>
  <c r="C1924" i="3"/>
  <c r="J1924" i="3" s="1"/>
  <c r="C1923" i="3"/>
  <c r="J1923" i="3" s="1"/>
  <c r="C1922" i="3"/>
  <c r="J1922" i="3" s="1"/>
  <c r="C1921" i="3"/>
  <c r="J1921" i="3" s="1"/>
  <c r="C1920" i="3"/>
  <c r="J1920" i="3" s="1"/>
  <c r="C1919" i="3"/>
  <c r="J1919" i="3" s="1"/>
  <c r="C1918" i="3"/>
  <c r="J1918" i="3" s="1"/>
  <c r="C1917" i="3"/>
  <c r="J1917" i="3" s="1"/>
  <c r="C1916" i="3"/>
  <c r="J1916" i="3" s="1"/>
  <c r="C1915" i="3"/>
  <c r="J1915" i="3" s="1"/>
  <c r="C1914" i="3"/>
  <c r="J1914" i="3" s="1"/>
  <c r="C1913" i="3"/>
  <c r="J1913" i="3" s="1"/>
  <c r="C1912" i="3"/>
  <c r="J1912" i="3" s="1"/>
  <c r="C1911" i="3"/>
  <c r="J1911" i="3" s="1"/>
  <c r="C1910" i="3"/>
  <c r="J1910" i="3" s="1"/>
  <c r="C1909" i="3"/>
  <c r="J1909" i="3" s="1"/>
  <c r="C1908" i="3"/>
  <c r="J1908" i="3" s="1"/>
  <c r="C1907" i="3"/>
  <c r="J1907" i="3" s="1"/>
  <c r="C1906" i="3"/>
  <c r="J1906" i="3" s="1"/>
  <c r="C1905" i="3"/>
  <c r="J1905" i="3" s="1"/>
  <c r="C1904" i="3"/>
  <c r="J1904" i="3" s="1"/>
  <c r="C1903" i="3"/>
  <c r="J1903" i="3" s="1"/>
  <c r="C1902" i="3"/>
  <c r="J1902" i="3" s="1"/>
  <c r="C1901" i="3"/>
  <c r="J1901" i="3" s="1"/>
  <c r="C1900" i="3"/>
  <c r="J1900" i="3" s="1"/>
  <c r="C1899" i="3"/>
  <c r="J1899" i="3" s="1"/>
  <c r="C1898" i="3"/>
  <c r="J1898" i="3" s="1"/>
  <c r="C1897" i="3"/>
  <c r="J1897" i="3" s="1"/>
  <c r="C1896" i="3"/>
  <c r="J1896" i="3" s="1"/>
  <c r="C1895" i="3"/>
  <c r="J1895" i="3" s="1"/>
  <c r="C1894" i="3"/>
  <c r="J1894" i="3" s="1"/>
  <c r="C1893" i="3"/>
  <c r="J1893" i="3" s="1"/>
  <c r="C1892" i="3"/>
  <c r="J1892" i="3" s="1"/>
  <c r="C1891" i="3"/>
  <c r="J1891" i="3" s="1"/>
  <c r="C1890" i="3"/>
  <c r="J1890" i="3" s="1"/>
  <c r="C1889" i="3"/>
  <c r="J1889" i="3" s="1"/>
  <c r="C1888" i="3"/>
  <c r="J1888" i="3" s="1"/>
  <c r="C1887" i="3"/>
  <c r="J1887" i="3" s="1"/>
  <c r="C1886" i="3"/>
  <c r="J1886" i="3" s="1"/>
  <c r="C1885" i="3"/>
  <c r="J1885" i="3" s="1"/>
  <c r="C1884" i="3"/>
  <c r="J1884" i="3" s="1"/>
  <c r="C1883" i="3"/>
  <c r="J1883" i="3" s="1"/>
  <c r="C1882" i="3"/>
  <c r="J1882" i="3" s="1"/>
  <c r="C1881" i="3"/>
  <c r="J1881" i="3" s="1"/>
  <c r="C1880" i="3"/>
  <c r="J1880" i="3" s="1"/>
  <c r="C1879" i="3"/>
  <c r="J1879" i="3" s="1"/>
  <c r="C1878" i="3"/>
  <c r="J1878" i="3" s="1"/>
  <c r="C1877" i="3"/>
  <c r="J1877" i="3" s="1"/>
  <c r="C1876" i="3"/>
  <c r="J1876" i="3" s="1"/>
  <c r="C1875" i="3"/>
  <c r="J1875" i="3" s="1"/>
  <c r="C1874" i="3"/>
  <c r="J1874" i="3" s="1"/>
  <c r="C1873" i="3"/>
  <c r="J1873" i="3" s="1"/>
  <c r="C1872" i="3"/>
  <c r="J1872" i="3" s="1"/>
  <c r="C1871" i="3"/>
  <c r="J1871" i="3" s="1"/>
  <c r="C1870" i="3"/>
  <c r="J1870" i="3" s="1"/>
  <c r="C1869" i="3"/>
  <c r="J1869" i="3" s="1"/>
  <c r="C1868" i="3"/>
  <c r="J1868" i="3" s="1"/>
  <c r="C1867" i="3"/>
  <c r="J1867" i="3" s="1"/>
  <c r="C1866" i="3"/>
  <c r="J1866" i="3" s="1"/>
  <c r="C1865" i="3"/>
  <c r="J1865" i="3" s="1"/>
  <c r="C1864" i="3"/>
  <c r="J1864" i="3" s="1"/>
  <c r="C1863" i="3"/>
  <c r="J1863" i="3" s="1"/>
  <c r="C1862" i="3"/>
  <c r="J1862" i="3" s="1"/>
  <c r="C1861" i="3"/>
  <c r="J1861" i="3" s="1"/>
  <c r="C1860" i="3"/>
  <c r="J1860" i="3" s="1"/>
  <c r="C1859" i="3"/>
  <c r="J1859" i="3" s="1"/>
  <c r="C1858" i="3"/>
  <c r="J1858" i="3" s="1"/>
  <c r="C1857" i="3"/>
  <c r="J1857" i="3" s="1"/>
  <c r="C1856" i="3"/>
  <c r="J1856" i="3" s="1"/>
  <c r="C1855" i="3"/>
  <c r="J1855" i="3" s="1"/>
  <c r="C1854" i="3"/>
  <c r="J1854" i="3" s="1"/>
  <c r="C1853" i="3"/>
  <c r="J1853" i="3" s="1"/>
  <c r="C1852" i="3"/>
  <c r="J1852" i="3" s="1"/>
  <c r="C1851" i="3"/>
  <c r="J1851" i="3" s="1"/>
  <c r="C1850" i="3"/>
  <c r="J1850" i="3" s="1"/>
  <c r="C1849" i="3"/>
  <c r="J1849" i="3" s="1"/>
  <c r="C1848" i="3"/>
  <c r="J1848" i="3" s="1"/>
  <c r="C1847" i="3"/>
  <c r="J1847" i="3" s="1"/>
  <c r="C1846" i="3"/>
  <c r="J1846" i="3" s="1"/>
  <c r="C1845" i="3"/>
  <c r="J1845" i="3" s="1"/>
  <c r="C1844" i="3"/>
  <c r="J1844" i="3" s="1"/>
  <c r="C1843" i="3"/>
  <c r="J1843" i="3" s="1"/>
  <c r="C1842" i="3"/>
  <c r="J1842" i="3" s="1"/>
  <c r="C1841" i="3"/>
  <c r="J1841" i="3" s="1"/>
  <c r="C1840" i="3"/>
  <c r="J1840" i="3" s="1"/>
  <c r="C1839" i="3"/>
  <c r="J1839" i="3" s="1"/>
  <c r="C1838" i="3"/>
  <c r="J1838" i="3" s="1"/>
  <c r="C1837" i="3"/>
  <c r="J1837" i="3" s="1"/>
  <c r="C1836" i="3"/>
  <c r="J1836" i="3" s="1"/>
  <c r="C1835" i="3"/>
  <c r="J1835" i="3" s="1"/>
  <c r="C1834" i="3"/>
  <c r="J1834" i="3" s="1"/>
  <c r="C1833" i="3"/>
  <c r="J1833" i="3" s="1"/>
  <c r="C1832" i="3"/>
  <c r="J1832" i="3" s="1"/>
  <c r="C1831" i="3"/>
  <c r="J1831" i="3" s="1"/>
  <c r="C1830" i="3"/>
  <c r="J1830" i="3" s="1"/>
  <c r="C1829" i="3"/>
  <c r="J1829" i="3" s="1"/>
  <c r="C1828" i="3"/>
  <c r="J1828" i="3" s="1"/>
  <c r="C1827" i="3"/>
  <c r="J1827" i="3" s="1"/>
  <c r="C1826" i="3"/>
  <c r="J1826" i="3" s="1"/>
  <c r="C1825" i="3"/>
  <c r="J1825" i="3" s="1"/>
  <c r="C1824" i="3"/>
  <c r="J1824" i="3" s="1"/>
  <c r="C1823" i="3"/>
  <c r="J1823" i="3" s="1"/>
  <c r="C1822" i="3"/>
  <c r="J1822" i="3" s="1"/>
  <c r="C1821" i="3"/>
  <c r="J1821" i="3" s="1"/>
  <c r="C1820" i="3"/>
  <c r="J1820" i="3" s="1"/>
  <c r="C1819" i="3"/>
  <c r="J1819" i="3" s="1"/>
  <c r="C1818" i="3"/>
  <c r="J1818" i="3" s="1"/>
  <c r="C1817" i="3"/>
  <c r="J1817" i="3" s="1"/>
  <c r="C1816" i="3"/>
  <c r="J1816" i="3" s="1"/>
  <c r="C1815" i="3"/>
  <c r="J1815" i="3" s="1"/>
  <c r="C1814" i="3"/>
  <c r="J1814" i="3" s="1"/>
  <c r="C1813" i="3"/>
  <c r="J1813" i="3" s="1"/>
  <c r="C1812" i="3"/>
  <c r="J1812" i="3" s="1"/>
  <c r="C1811" i="3"/>
  <c r="J1811" i="3" s="1"/>
  <c r="C1810" i="3"/>
  <c r="J1810" i="3" s="1"/>
  <c r="C1809" i="3"/>
  <c r="J1809" i="3" s="1"/>
  <c r="C1808" i="3"/>
  <c r="J1808" i="3" s="1"/>
  <c r="C1807" i="3"/>
  <c r="J1807" i="3" s="1"/>
  <c r="C1806" i="3"/>
  <c r="J1806" i="3" s="1"/>
  <c r="C1805" i="3"/>
  <c r="J1805" i="3" s="1"/>
  <c r="C1804" i="3"/>
  <c r="J1804" i="3" s="1"/>
  <c r="C1803" i="3"/>
  <c r="J1803" i="3" s="1"/>
  <c r="C1802" i="3"/>
  <c r="J1802" i="3" s="1"/>
  <c r="C1801" i="3"/>
  <c r="J1801" i="3" s="1"/>
  <c r="C1800" i="3"/>
  <c r="J1800" i="3" s="1"/>
  <c r="C1799" i="3"/>
  <c r="J1799" i="3" s="1"/>
  <c r="C1798" i="3"/>
  <c r="J1798" i="3" s="1"/>
  <c r="C1797" i="3"/>
  <c r="J1797" i="3" s="1"/>
  <c r="C1796" i="3"/>
  <c r="J1796" i="3" s="1"/>
  <c r="C1795" i="3"/>
  <c r="J1795" i="3" s="1"/>
  <c r="C1794" i="3"/>
  <c r="J1794" i="3" s="1"/>
  <c r="C1793" i="3"/>
  <c r="J1793" i="3" s="1"/>
  <c r="C1792" i="3"/>
  <c r="J1792" i="3" s="1"/>
  <c r="C1791" i="3"/>
  <c r="J1791" i="3" s="1"/>
  <c r="C1790" i="3"/>
  <c r="J1790" i="3" s="1"/>
  <c r="C1789" i="3"/>
  <c r="J1789" i="3" s="1"/>
  <c r="C1788" i="3"/>
  <c r="J1788" i="3" s="1"/>
  <c r="C1787" i="3"/>
  <c r="J1787" i="3" s="1"/>
  <c r="C1786" i="3"/>
  <c r="J1786" i="3" s="1"/>
  <c r="C1785" i="3"/>
  <c r="J1785" i="3" s="1"/>
  <c r="C1784" i="3"/>
  <c r="J1784" i="3" s="1"/>
  <c r="C1783" i="3"/>
  <c r="J1783" i="3" s="1"/>
  <c r="C1782" i="3"/>
  <c r="J1782" i="3" s="1"/>
  <c r="C1781" i="3"/>
  <c r="J1781" i="3" s="1"/>
  <c r="C1780" i="3"/>
  <c r="J1780" i="3" s="1"/>
  <c r="C1779" i="3"/>
  <c r="J1779" i="3" s="1"/>
  <c r="C1778" i="3"/>
  <c r="J1778" i="3" s="1"/>
  <c r="C1777" i="3"/>
  <c r="J1777" i="3" s="1"/>
  <c r="C1776" i="3"/>
  <c r="J1776" i="3" s="1"/>
  <c r="C1775" i="3"/>
  <c r="J1775" i="3" s="1"/>
  <c r="C1774" i="3"/>
  <c r="J1774" i="3" s="1"/>
  <c r="C1773" i="3"/>
  <c r="J1773" i="3" s="1"/>
  <c r="C1772" i="3"/>
  <c r="J1772" i="3" s="1"/>
  <c r="C1771" i="3"/>
  <c r="J1771" i="3" s="1"/>
  <c r="C1770" i="3"/>
  <c r="J1770" i="3" s="1"/>
  <c r="C1769" i="3"/>
  <c r="J1769" i="3" s="1"/>
  <c r="C1768" i="3"/>
  <c r="J1768" i="3" s="1"/>
  <c r="C1767" i="3"/>
  <c r="J1767" i="3" s="1"/>
  <c r="C1766" i="3"/>
  <c r="J1766" i="3" s="1"/>
  <c r="C1765" i="3"/>
  <c r="J1765" i="3" s="1"/>
  <c r="C1764" i="3"/>
  <c r="J1764" i="3" s="1"/>
  <c r="C1763" i="3"/>
  <c r="J1763" i="3" s="1"/>
  <c r="C1762" i="3"/>
  <c r="J1762" i="3" s="1"/>
  <c r="C1761" i="3"/>
  <c r="J1761" i="3" s="1"/>
  <c r="C1760" i="3"/>
  <c r="J1760" i="3" s="1"/>
  <c r="C1759" i="3"/>
  <c r="J1759" i="3" s="1"/>
  <c r="C1758" i="3"/>
  <c r="J1758" i="3" s="1"/>
  <c r="C1757" i="3"/>
  <c r="J1757" i="3" s="1"/>
  <c r="C1756" i="3"/>
  <c r="J1756" i="3" s="1"/>
  <c r="C1755" i="3"/>
  <c r="J1755" i="3" s="1"/>
  <c r="C1754" i="3"/>
  <c r="J1754" i="3" s="1"/>
  <c r="C1753" i="3"/>
  <c r="J1753" i="3" s="1"/>
  <c r="C1752" i="3"/>
  <c r="J1752" i="3" s="1"/>
  <c r="C1751" i="3"/>
  <c r="J1751" i="3" s="1"/>
  <c r="C1750" i="3"/>
  <c r="J1750" i="3" s="1"/>
  <c r="C1749" i="3"/>
  <c r="J1749" i="3" s="1"/>
  <c r="C1748" i="3"/>
  <c r="J1748" i="3" s="1"/>
  <c r="C1747" i="3"/>
  <c r="J1747" i="3" s="1"/>
  <c r="C1746" i="3"/>
  <c r="J1746" i="3" s="1"/>
  <c r="C1745" i="3"/>
  <c r="J1745" i="3" s="1"/>
  <c r="C1744" i="3"/>
  <c r="J1744" i="3" s="1"/>
  <c r="C1743" i="3"/>
  <c r="J1743" i="3" s="1"/>
  <c r="C1742" i="3"/>
  <c r="J1742" i="3" s="1"/>
  <c r="C1741" i="3"/>
  <c r="J1741" i="3" s="1"/>
  <c r="C1740" i="3"/>
  <c r="J1740" i="3" s="1"/>
  <c r="C1739" i="3"/>
  <c r="J1739" i="3" s="1"/>
  <c r="C1738" i="3"/>
  <c r="J1738" i="3" s="1"/>
  <c r="C1737" i="3"/>
  <c r="J1737" i="3" s="1"/>
  <c r="C1736" i="3"/>
  <c r="J1736" i="3" s="1"/>
  <c r="C1735" i="3"/>
  <c r="J1735" i="3" s="1"/>
  <c r="C1734" i="3"/>
  <c r="J1734" i="3" s="1"/>
  <c r="C1733" i="3"/>
  <c r="J1733" i="3" s="1"/>
  <c r="C1732" i="3"/>
  <c r="J1732" i="3" s="1"/>
  <c r="C1731" i="3"/>
  <c r="J1731" i="3" s="1"/>
  <c r="C1730" i="3"/>
  <c r="J1730" i="3" s="1"/>
  <c r="C1729" i="3"/>
  <c r="C1728" i="3"/>
  <c r="J1728" i="3" s="1"/>
  <c r="C1727" i="3"/>
  <c r="C1726" i="3"/>
  <c r="C1725" i="3"/>
  <c r="J1725" i="3" s="1"/>
  <c r="C1724" i="3"/>
  <c r="C1723" i="3"/>
  <c r="C1722" i="3"/>
  <c r="J1722" i="3" s="1"/>
  <c r="C1721" i="3"/>
  <c r="J1721" i="3" s="1"/>
  <c r="C1720" i="3"/>
  <c r="J1720" i="3" s="1"/>
  <c r="C1719" i="3"/>
  <c r="J1719" i="3" s="1"/>
  <c r="C1718" i="3"/>
  <c r="C1717" i="3"/>
  <c r="I1717" i="3" s="1"/>
  <c r="C1716" i="3"/>
  <c r="C1715" i="3"/>
  <c r="J1715" i="3" s="1"/>
  <c r="C1714" i="3"/>
  <c r="J1714" i="3" s="1"/>
  <c r="C1713" i="3"/>
  <c r="J1713" i="3" s="1"/>
  <c r="C1712" i="3"/>
  <c r="J1712" i="3" s="1"/>
  <c r="C1711" i="3"/>
  <c r="J1711" i="3" s="1"/>
  <c r="C1710" i="3"/>
  <c r="J1710" i="3" s="1"/>
  <c r="C1709" i="3"/>
  <c r="J1709" i="3" s="1"/>
  <c r="C1708" i="3"/>
  <c r="J1708" i="3" s="1"/>
  <c r="C1707" i="3"/>
  <c r="J1707" i="3" s="1"/>
  <c r="C1706" i="3"/>
  <c r="J1706" i="3" s="1"/>
  <c r="C1705" i="3"/>
  <c r="J1705" i="3" s="1"/>
  <c r="C1704" i="3"/>
  <c r="J1704" i="3" s="1"/>
  <c r="C1703" i="3"/>
  <c r="J1703" i="3" s="1"/>
  <c r="C1702" i="3"/>
  <c r="J1702" i="3" s="1"/>
  <c r="C1701" i="3"/>
  <c r="J1701" i="3" s="1"/>
  <c r="C1700" i="3"/>
  <c r="J1700" i="3" s="1"/>
  <c r="C1699" i="3"/>
  <c r="J1699" i="3" s="1"/>
  <c r="C1698" i="3"/>
  <c r="J1698" i="3" s="1"/>
  <c r="C1697" i="3"/>
  <c r="J1697" i="3" s="1"/>
  <c r="C1696" i="3"/>
  <c r="J1696" i="3" s="1"/>
  <c r="C1695" i="3"/>
  <c r="J1695" i="3" s="1"/>
  <c r="C1694" i="3"/>
  <c r="J1694" i="3" s="1"/>
  <c r="C1693" i="3"/>
  <c r="J1693" i="3" s="1"/>
  <c r="C1692" i="3"/>
  <c r="J1692" i="3" s="1"/>
  <c r="C1691" i="3"/>
  <c r="J1691" i="3" s="1"/>
  <c r="C1690" i="3"/>
  <c r="J1690" i="3" s="1"/>
  <c r="C1689" i="3"/>
  <c r="J1689" i="3" s="1"/>
  <c r="C1688" i="3"/>
  <c r="J1688" i="3" s="1"/>
  <c r="C1687" i="3"/>
  <c r="J1687" i="3" s="1"/>
  <c r="C1686" i="3"/>
  <c r="J1686" i="3" s="1"/>
  <c r="C1685" i="3"/>
  <c r="J1685" i="3" s="1"/>
  <c r="C1684" i="3"/>
  <c r="J1684" i="3" s="1"/>
  <c r="C1683" i="3"/>
  <c r="J1683" i="3" s="1"/>
  <c r="C1682" i="3"/>
  <c r="J1682" i="3" s="1"/>
  <c r="C1681" i="3"/>
  <c r="J1681" i="3" s="1"/>
  <c r="C1680" i="3"/>
  <c r="J1680" i="3" s="1"/>
  <c r="C1679" i="3"/>
  <c r="J1679" i="3" s="1"/>
  <c r="C1678" i="3"/>
  <c r="J1678" i="3" s="1"/>
  <c r="C1677" i="3"/>
  <c r="J1677" i="3" s="1"/>
  <c r="C1676" i="3"/>
  <c r="J1676" i="3" s="1"/>
  <c r="C1675" i="3"/>
  <c r="J1675" i="3" s="1"/>
  <c r="C1674" i="3"/>
  <c r="J1674" i="3" s="1"/>
  <c r="C1673" i="3"/>
  <c r="J1673" i="3" s="1"/>
  <c r="C1672" i="3"/>
  <c r="J1672" i="3" s="1"/>
  <c r="C1671" i="3"/>
  <c r="J1671" i="3" s="1"/>
  <c r="C1670" i="3"/>
  <c r="J1670" i="3" s="1"/>
  <c r="C1669" i="3"/>
  <c r="J1669" i="3" s="1"/>
  <c r="C1668" i="3"/>
  <c r="J1668" i="3" s="1"/>
  <c r="C1667" i="3"/>
  <c r="J1667" i="3" s="1"/>
  <c r="C1666" i="3"/>
  <c r="J1666" i="3" s="1"/>
  <c r="C1665" i="3"/>
  <c r="J1665" i="3" s="1"/>
  <c r="C1664" i="3"/>
  <c r="J1664" i="3" s="1"/>
  <c r="C1663" i="3"/>
  <c r="J1663" i="3" s="1"/>
  <c r="C1662" i="3"/>
  <c r="J1662" i="3" s="1"/>
  <c r="C1661" i="3"/>
  <c r="J1661" i="3" s="1"/>
  <c r="C1660" i="3"/>
  <c r="J1660" i="3" s="1"/>
  <c r="C1659" i="3"/>
  <c r="J1659" i="3" s="1"/>
  <c r="C1658" i="3"/>
  <c r="J1658" i="3" s="1"/>
  <c r="C1657" i="3"/>
  <c r="J1657" i="3" s="1"/>
  <c r="C1656" i="3"/>
  <c r="J1656" i="3" s="1"/>
  <c r="C1655" i="3"/>
  <c r="J1655" i="3" s="1"/>
  <c r="C1654" i="3"/>
  <c r="J1654" i="3" s="1"/>
  <c r="C1653" i="3"/>
  <c r="J1653" i="3" s="1"/>
  <c r="C1652" i="3"/>
  <c r="J1652" i="3" s="1"/>
  <c r="C1651" i="3"/>
  <c r="J1651" i="3" s="1"/>
  <c r="C1650" i="3"/>
  <c r="J1650" i="3" s="1"/>
  <c r="C1649" i="3"/>
  <c r="J1649" i="3" s="1"/>
  <c r="C1648" i="3"/>
  <c r="J1648" i="3" s="1"/>
  <c r="C1647" i="3"/>
  <c r="J1647" i="3" s="1"/>
  <c r="C1646" i="3"/>
  <c r="J1646" i="3" s="1"/>
  <c r="C1645" i="3"/>
  <c r="J1645" i="3" s="1"/>
  <c r="C1644" i="3"/>
  <c r="J1644" i="3" s="1"/>
  <c r="C1643" i="3"/>
  <c r="J1643" i="3" s="1"/>
  <c r="C1642" i="3"/>
  <c r="J1642" i="3" s="1"/>
  <c r="C1641" i="3"/>
  <c r="J1641" i="3" s="1"/>
  <c r="C1640" i="3"/>
  <c r="J1640" i="3" s="1"/>
  <c r="C1639" i="3"/>
  <c r="J1639" i="3" s="1"/>
  <c r="C1638" i="3"/>
  <c r="J1638" i="3" s="1"/>
  <c r="C1637" i="3"/>
  <c r="J1637" i="3" s="1"/>
  <c r="C1636" i="3"/>
  <c r="J1636" i="3" s="1"/>
  <c r="C1635" i="3"/>
  <c r="J1635" i="3" s="1"/>
  <c r="C1634" i="3"/>
  <c r="J1634" i="3" s="1"/>
  <c r="C1633" i="3"/>
  <c r="J1633" i="3" s="1"/>
  <c r="C1632" i="3"/>
  <c r="J1632" i="3" s="1"/>
  <c r="C1631" i="3"/>
  <c r="J1631" i="3" s="1"/>
  <c r="C1630" i="3"/>
  <c r="J1630" i="3" s="1"/>
  <c r="C1629" i="3"/>
  <c r="J1629" i="3" s="1"/>
  <c r="C1628" i="3"/>
  <c r="J1628" i="3" s="1"/>
  <c r="C1627" i="3"/>
  <c r="J1627" i="3" s="1"/>
  <c r="C1626" i="3"/>
  <c r="J1626" i="3" s="1"/>
  <c r="C1625" i="3"/>
  <c r="J1625" i="3" s="1"/>
  <c r="C1624" i="3"/>
  <c r="J1624" i="3" s="1"/>
  <c r="C1623" i="3"/>
  <c r="J1623" i="3" s="1"/>
  <c r="C1622" i="3"/>
  <c r="J1622" i="3" s="1"/>
  <c r="C1621" i="3"/>
  <c r="J1621" i="3" s="1"/>
  <c r="C1620" i="3"/>
  <c r="J1620" i="3" s="1"/>
  <c r="C1619" i="3"/>
  <c r="J1619" i="3" s="1"/>
  <c r="C1618" i="3"/>
  <c r="J1618" i="3" s="1"/>
  <c r="C1617" i="3"/>
  <c r="J1617" i="3" s="1"/>
  <c r="C1616" i="3"/>
  <c r="J1616" i="3" s="1"/>
  <c r="C1615" i="3"/>
  <c r="J1615" i="3" s="1"/>
  <c r="C1614" i="3"/>
  <c r="J1614" i="3" s="1"/>
  <c r="C1613" i="3"/>
  <c r="J1613" i="3" s="1"/>
  <c r="C1612" i="3"/>
  <c r="J1612" i="3" s="1"/>
  <c r="C1611" i="3"/>
  <c r="J1611" i="3" s="1"/>
  <c r="C1610" i="3"/>
  <c r="J1610" i="3" s="1"/>
  <c r="C1609" i="3"/>
  <c r="J1609" i="3" s="1"/>
  <c r="C1608" i="3"/>
  <c r="J1608" i="3" s="1"/>
  <c r="C1607" i="3"/>
  <c r="J1607" i="3" s="1"/>
  <c r="C1606" i="3"/>
  <c r="J1606" i="3" s="1"/>
  <c r="C1605" i="3"/>
  <c r="J1605" i="3" s="1"/>
  <c r="C1604" i="3"/>
  <c r="J1604" i="3" s="1"/>
  <c r="C1603" i="3"/>
  <c r="J1603" i="3" s="1"/>
  <c r="C1602" i="3"/>
  <c r="J1602" i="3" s="1"/>
  <c r="C1601" i="3"/>
  <c r="J1601" i="3" s="1"/>
  <c r="C1600" i="3"/>
  <c r="J1600" i="3" s="1"/>
  <c r="C1599" i="3"/>
  <c r="J1599" i="3" s="1"/>
  <c r="C1598" i="3"/>
  <c r="J1598" i="3" s="1"/>
  <c r="C1597" i="3"/>
  <c r="J1597" i="3" s="1"/>
  <c r="C1596" i="3"/>
  <c r="J1596" i="3" s="1"/>
  <c r="C1595" i="3"/>
  <c r="J1595" i="3" s="1"/>
  <c r="C1594" i="3"/>
  <c r="J1594" i="3" s="1"/>
  <c r="C1593" i="3"/>
  <c r="J1593" i="3" s="1"/>
  <c r="C1592" i="3"/>
  <c r="J1592" i="3" s="1"/>
  <c r="C1591" i="3"/>
  <c r="J1591" i="3" s="1"/>
  <c r="C1590" i="3"/>
  <c r="J1590" i="3" s="1"/>
  <c r="C1589" i="3"/>
  <c r="J1589" i="3" s="1"/>
  <c r="C1588" i="3"/>
  <c r="J1588" i="3" s="1"/>
  <c r="C1587" i="3"/>
  <c r="J1587" i="3" s="1"/>
  <c r="C1586" i="3"/>
  <c r="J1586" i="3" s="1"/>
  <c r="C1585" i="3"/>
  <c r="J1585" i="3" s="1"/>
  <c r="C1584" i="3"/>
  <c r="J1584" i="3" s="1"/>
  <c r="C1583" i="3"/>
  <c r="J1583" i="3" s="1"/>
  <c r="C1582" i="3"/>
  <c r="J1582" i="3" s="1"/>
  <c r="C1581" i="3"/>
  <c r="J1581" i="3" s="1"/>
  <c r="C1580" i="3"/>
  <c r="J1580" i="3" s="1"/>
  <c r="C1579" i="3"/>
  <c r="J1579" i="3" s="1"/>
  <c r="C1578" i="3"/>
  <c r="J1578" i="3" s="1"/>
  <c r="C1577" i="3"/>
  <c r="J1577" i="3" s="1"/>
  <c r="C1576" i="3"/>
  <c r="J1576" i="3" s="1"/>
  <c r="C1575" i="3"/>
  <c r="J1575" i="3" s="1"/>
  <c r="C1574" i="3"/>
  <c r="J1574" i="3" s="1"/>
  <c r="C1573" i="3"/>
  <c r="J1573" i="3" s="1"/>
  <c r="C1572" i="3"/>
  <c r="J1572" i="3" s="1"/>
  <c r="C1571" i="3"/>
  <c r="J1571" i="3" s="1"/>
  <c r="C1570" i="3"/>
  <c r="J1570" i="3" s="1"/>
  <c r="C1569" i="3"/>
  <c r="J1569" i="3" s="1"/>
  <c r="C1568" i="3"/>
  <c r="J1568" i="3" s="1"/>
  <c r="C1567" i="3"/>
  <c r="J1567" i="3" s="1"/>
  <c r="C1566" i="3"/>
  <c r="J1566" i="3" s="1"/>
  <c r="C1565" i="3"/>
  <c r="J1565" i="3" s="1"/>
  <c r="C1564" i="3"/>
  <c r="J1564" i="3" s="1"/>
  <c r="C1563" i="3"/>
  <c r="J1563" i="3" s="1"/>
  <c r="C1562" i="3"/>
  <c r="J1562" i="3" s="1"/>
  <c r="C1561" i="3"/>
  <c r="J1561" i="3" s="1"/>
  <c r="C1560" i="3"/>
  <c r="J1560" i="3" s="1"/>
  <c r="C1559" i="3"/>
  <c r="J1559" i="3" s="1"/>
  <c r="C1558" i="3"/>
  <c r="J1558" i="3" s="1"/>
  <c r="C1557" i="3"/>
  <c r="J1557" i="3" s="1"/>
  <c r="C1556" i="3"/>
  <c r="J1556" i="3" s="1"/>
  <c r="C1555" i="3"/>
  <c r="J1555" i="3" s="1"/>
  <c r="C1554" i="3"/>
  <c r="J1554" i="3" s="1"/>
  <c r="C1553" i="3"/>
  <c r="J1553" i="3" s="1"/>
  <c r="C1552" i="3"/>
  <c r="J1552" i="3" s="1"/>
  <c r="C1551" i="3"/>
  <c r="J1551" i="3" s="1"/>
  <c r="C1550" i="3"/>
  <c r="J1550" i="3" s="1"/>
  <c r="C1549" i="3"/>
  <c r="J1549" i="3" s="1"/>
  <c r="C1548" i="3"/>
  <c r="J1548" i="3" s="1"/>
  <c r="C1547" i="3"/>
  <c r="J1547" i="3" s="1"/>
  <c r="C1546" i="3"/>
  <c r="J1546" i="3" s="1"/>
  <c r="C1545" i="3"/>
  <c r="J1545" i="3" s="1"/>
  <c r="C1544" i="3"/>
  <c r="J1544" i="3" s="1"/>
  <c r="C1543" i="3"/>
  <c r="J1543" i="3" s="1"/>
  <c r="C1542" i="3"/>
  <c r="J1542" i="3" s="1"/>
  <c r="C1541" i="3"/>
  <c r="J1541" i="3" s="1"/>
  <c r="C1540" i="3"/>
  <c r="J1540" i="3" s="1"/>
  <c r="C1539" i="3"/>
  <c r="J1539" i="3" s="1"/>
  <c r="C1538" i="3"/>
  <c r="J1538" i="3" s="1"/>
  <c r="C1537" i="3"/>
  <c r="J1537" i="3" s="1"/>
  <c r="C1536" i="3"/>
  <c r="J1536" i="3" s="1"/>
  <c r="C1535" i="3"/>
  <c r="J1535" i="3" s="1"/>
  <c r="C1534" i="3"/>
  <c r="J1534" i="3" s="1"/>
  <c r="C1533" i="3"/>
  <c r="J1533" i="3" s="1"/>
  <c r="C1532" i="3"/>
  <c r="J1532" i="3" s="1"/>
  <c r="C1531" i="3"/>
  <c r="J1531" i="3" s="1"/>
  <c r="C1530" i="3"/>
  <c r="J1530" i="3" s="1"/>
  <c r="C1529" i="3"/>
  <c r="J1529" i="3" s="1"/>
  <c r="C1528" i="3"/>
  <c r="J1528" i="3" s="1"/>
  <c r="C1527" i="3"/>
  <c r="J1527" i="3" s="1"/>
  <c r="C1526" i="3"/>
  <c r="J1526" i="3" s="1"/>
  <c r="C1525" i="3"/>
  <c r="J1525" i="3" s="1"/>
  <c r="C1524" i="3"/>
  <c r="J1524" i="3" s="1"/>
  <c r="C1523" i="3"/>
  <c r="J1523" i="3" s="1"/>
  <c r="C1522" i="3"/>
  <c r="J1522" i="3" s="1"/>
  <c r="C1521" i="3"/>
  <c r="J1521" i="3" s="1"/>
  <c r="C1520" i="3"/>
  <c r="J1520" i="3" s="1"/>
  <c r="C1519" i="3"/>
  <c r="J1519" i="3" s="1"/>
  <c r="C1518" i="3"/>
  <c r="J1518" i="3" s="1"/>
  <c r="C1517" i="3"/>
  <c r="J1517" i="3" s="1"/>
  <c r="C1516" i="3"/>
  <c r="J1516" i="3" s="1"/>
  <c r="C1515" i="3"/>
  <c r="J1515" i="3" s="1"/>
  <c r="C1514" i="3"/>
  <c r="J1514" i="3" s="1"/>
  <c r="C1513" i="3"/>
  <c r="J1513" i="3" s="1"/>
  <c r="C1512" i="3"/>
  <c r="J1512" i="3" s="1"/>
  <c r="C1511" i="3"/>
  <c r="J1511" i="3" s="1"/>
  <c r="C1510" i="3"/>
  <c r="J1510" i="3" s="1"/>
  <c r="C1509" i="3"/>
  <c r="J1509" i="3" s="1"/>
  <c r="C1508" i="3"/>
  <c r="J1508" i="3" s="1"/>
  <c r="C1507" i="3"/>
  <c r="J1507" i="3" s="1"/>
  <c r="C1506" i="3"/>
  <c r="J1506" i="3" s="1"/>
  <c r="C1505" i="3"/>
  <c r="J1505" i="3" s="1"/>
  <c r="C1504" i="3"/>
  <c r="J1504" i="3" s="1"/>
  <c r="C1503" i="3"/>
  <c r="J1503" i="3" s="1"/>
  <c r="C1502" i="3"/>
  <c r="J1502" i="3" s="1"/>
  <c r="C1501" i="3"/>
  <c r="J1501" i="3" s="1"/>
  <c r="C1500" i="3"/>
  <c r="J1500" i="3" s="1"/>
  <c r="C1499" i="3"/>
  <c r="J1499" i="3" s="1"/>
  <c r="C1498" i="3"/>
  <c r="J1498" i="3" s="1"/>
  <c r="C1497" i="3"/>
  <c r="J1497" i="3" s="1"/>
  <c r="C1496" i="3"/>
  <c r="J1496" i="3" s="1"/>
  <c r="C1495" i="3"/>
  <c r="J1495" i="3" s="1"/>
  <c r="C1494" i="3"/>
  <c r="J1494" i="3" s="1"/>
  <c r="C1493" i="3"/>
  <c r="J1493" i="3" s="1"/>
  <c r="C1492" i="3"/>
  <c r="J1492" i="3" s="1"/>
  <c r="C1491" i="3"/>
  <c r="J1491" i="3" s="1"/>
  <c r="C1490" i="3"/>
  <c r="J1490" i="3" s="1"/>
  <c r="C1489" i="3"/>
  <c r="J1489" i="3" s="1"/>
  <c r="C1488" i="3"/>
  <c r="J1488" i="3" s="1"/>
  <c r="C1487" i="3"/>
  <c r="J1487" i="3" s="1"/>
  <c r="C1486" i="3"/>
  <c r="J1486" i="3" s="1"/>
  <c r="C1485" i="3"/>
  <c r="J1485" i="3" s="1"/>
  <c r="C1484" i="3"/>
  <c r="J1484" i="3" s="1"/>
  <c r="C1483" i="3"/>
  <c r="J1483" i="3" s="1"/>
  <c r="C1482" i="3"/>
  <c r="J1482" i="3" s="1"/>
  <c r="C1481" i="3"/>
  <c r="J1481" i="3" s="1"/>
  <c r="C1480" i="3"/>
  <c r="J1480" i="3" s="1"/>
  <c r="C1479" i="3"/>
  <c r="J1479" i="3" s="1"/>
  <c r="C1478" i="3"/>
  <c r="J1478" i="3" s="1"/>
  <c r="C1477" i="3"/>
  <c r="J1477" i="3" s="1"/>
  <c r="C1476" i="3"/>
  <c r="J1476" i="3" s="1"/>
  <c r="C1475" i="3"/>
  <c r="J1475" i="3" s="1"/>
  <c r="C1474" i="3"/>
  <c r="J1474" i="3" s="1"/>
  <c r="C1473" i="3"/>
  <c r="J1473" i="3" s="1"/>
  <c r="C1472" i="3"/>
  <c r="J1472" i="3" s="1"/>
  <c r="C1471" i="3"/>
  <c r="J1471" i="3" s="1"/>
  <c r="C1470" i="3"/>
  <c r="J1470" i="3" s="1"/>
  <c r="C1469" i="3"/>
  <c r="J1469" i="3" s="1"/>
  <c r="C1468" i="3"/>
  <c r="J1468" i="3" s="1"/>
  <c r="C1467" i="3"/>
  <c r="J1467" i="3" s="1"/>
  <c r="C1466" i="3"/>
  <c r="J1466" i="3" s="1"/>
  <c r="C1465" i="3"/>
  <c r="J1465" i="3" s="1"/>
  <c r="C1464" i="3"/>
  <c r="J1464" i="3" s="1"/>
  <c r="C1463" i="3"/>
  <c r="J1463" i="3" s="1"/>
  <c r="C1462" i="3"/>
  <c r="J1462" i="3" s="1"/>
  <c r="C1461" i="3"/>
  <c r="J1461" i="3" s="1"/>
  <c r="C1460" i="3"/>
  <c r="J1460" i="3" s="1"/>
  <c r="C1459" i="3"/>
  <c r="J1459" i="3" s="1"/>
  <c r="C1458" i="3"/>
  <c r="J1458" i="3" s="1"/>
  <c r="C1457" i="3"/>
  <c r="J1457" i="3" s="1"/>
  <c r="C1456" i="3"/>
  <c r="J1456" i="3" s="1"/>
  <c r="C1455" i="3"/>
  <c r="J1455" i="3" s="1"/>
  <c r="C1454" i="3"/>
  <c r="J1454" i="3" s="1"/>
  <c r="C1453" i="3"/>
  <c r="J1453" i="3" s="1"/>
  <c r="C1452" i="3"/>
  <c r="J1452" i="3" s="1"/>
  <c r="C1451" i="3"/>
  <c r="J1451" i="3" s="1"/>
  <c r="C1450" i="3"/>
  <c r="J1450" i="3" s="1"/>
  <c r="C1449" i="3"/>
  <c r="J1449" i="3" s="1"/>
  <c r="C1448" i="3"/>
  <c r="J1448" i="3" s="1"/>
  <c r="C1447" i="3"/>
  <c r="J1447" i="3" s="1"/>
  <c r="C1446" i="3"/>
  <c r="J1446" i="3" s="1"/>
  <c r="C1445" i="3"/>
  <c r="J1445" i="3" s="1"/>
  <c r="C1444" i="3"/>
  <c r="J1444" i="3" s="1"/>
  <c r="C1443" i="3"/>
  <c r="J1443" i="3" s="1"/>
  <c r="C1442" i="3"/>
  <c r="J1442" i="3" s="1"/>
  <c r="C1441" i="3"/>
  <c r="J1441" i="3" s="1"/>
  <c r="C1440" i="3"/>
  <c r="J1440" i="3" s="1"/>
  <c r="C1439" i="3"/>
  <c r="J1439" i="3" s="1"/>
  <c r="C1438" i="3"/>
  <c r="J1438" i="3" s="1"/>
  <c r="C1437" i="3"/>
  <c r="J1437" i="3" s="1"/>
  <c r="C1436" i="3"/>
  <c r="J1436" i="3" s="1"/>
  <c r="C1435" i="3"/>
  <c r="J1435" i="3" s="1"/>
  <c r="C1434" i="3"/>
  <c r="J1434" i="3" s="1"/>
  <c r="C1433" i="3"/>
  <c r="J1433" i="3" s="1"/>
  <c r="C1432" i="3"/>
  <c r="J1432" i="3" s="1"/>
  <c r="C1431" i="3"/>
  <c r="J1431" i="3" s="1"/>
  <c r="C1430" i="3"/>
  <c r="J1430" i="3" s="1"/>
  <c r="C1429" i="3"/>
  <c r="J1429" i="3" s="1"/>
  <c r="C1428" i="3"/>
  <c r="J1428" i="3" s="1"/>
  <c r="C1427" i="3"/>
  <c r="J1427" i="3" s="1"/>
  <c r="C1426" i="3"/>
  <c r="J1426" i="3" s="1"/>
  <c r="C1425" i="3"/>
  <c r="J1425" i="3" s="1"/>
  <c r="C1424" i="3"/>
  <c r="J1424" i="3" s="1"/>
  <c r="C1423" i="3"/>
  <c r="J1423" i="3" s="1"/>
  <c r="C1422" i="3"/>
  <c r="J1422" i="3" s="1"/>
  <c r="C1421" i="3"/>
  <c r="J1421" i="3" s="1"/>
  <c r="C1420" i="3"/>
  <c r="J1420" i="3" s="1"/>
  <c r="C1419" i="3"/>
  <c r="J1419" i="3" s="1"/>
  <c r="C1418" i="3"/>
  <c r="J1418" i="3" s="1"/>
  <c r="C1417" i="3"/>
  <c r="J1417" i="3" s="1"/>
  <c r="C1416" i="3"/>
  <c r="J1416" i="3" s="1"/>
  <c r="C1415" i="3"/>
  <c r="J1415" i="3" s="1"/>
  <c r="C1414" i="3"/>
  <c r="J1414" i="3" s="1"/>
  <c r="C1413" i="3"/>
  <c r="J1413" i="3" s="1"/>
  <c r="C1412" i="3"/>
  <c r="J1412" i="3" s="1"/>
  <c r="C1411" i="3"/>
  <c r="J1411" i="3" s="1"/>
  <c r="C1410" i="3"/>
  <c r="J1410" i="3" s="1"/>
  <c r="C1409" i="3"/>
  <c r="J1409" i="3" s="1"/>
  <c r="C1408" i="3"/>
  <c r="J1408" i="3" s="1"/>
  <c r="C1407" i="3"/>
  <c r="J1407" i="3" s="1"/>
  <c r="C1406" i="3"/>
  <c r="J1406" i="3" s="1"/>
  <c r="C1405" i="3"/>
  <c r="J1405" i="3" s="1"/>
  <c r="C1404" i="3"/>
  <c r="J1404" i="3" s="1"/>
  <c r="C1403" i="3"/>
  <c r="J1403" i="3" s="1"/>
  <c r="C1402" i="3"/>
  <c r="J1402" i="3" s="1"/>
  <c r="C1401" i="3"/>
  <c r="J1401" i="3" s="1"/>
  <c r="C1400" i="3"/>
  <c r="J1400" i="3" s="1"/>
  <c r="C1399" i="3"/>
  <c r="J1399" i="3" s="1"/>
  <c r="C1398" i="3"/>
  <c r="J1398" i="3" s="1"/>
  <c r="C1397" i="3"/>
  <c r="J1397" i="3" s="1"/>
  <c r="C1396" i="3"/>
  <c r="J1396" i="3" s="1"/>
  <c r="C1395" i="3"/>
  <c r="J1395" i="3" s="1"/>
  <c r="C1394" i="3"/>
  <c r="J1394" i="3" s="1"/>
  <c r="C1393" i="3"/>
  <c r="J1393" i="3" s="1"/>
  <c r="C1392" i="3"/>
  <c r="J1392" i="3" s="1"/>
  <c r="C1391" i="3"/>
  <c r="J1391" i="3" s="1"/>
  <c r="C1390" i="3"/>
  <c r="J1390" i="3" s="1"/>
  <c r="C1389" i="3"/>
  <c r="J1389" i="3" s="1"/>
  <c r="C1388" i="3"/>
  <c r="J1388" i="3" s="1"/>
  <c r="C1387" i="3"/>
  <c r="J1387" i="3" s="1"/>
  <c r="C1386" i="3"/>
  <c r="J1386" i="3" s="1"/>
  <c r="C1385" i="3"/>
  <c r="J1385" i="3" s="1"/>
  <c r="C1384" i="3"/>
  <c r="J1384" i="3" s="1"/>
  <c r="C1383" i="3"/>
  <c r="C1382" i="3"/>
  <c r="C1381" i="3"/>
  <c r="J1381" i="3" s="1"/>
  <c r="C1380" i="3"/>
  <c r="C1379" i="3"/>
  <c r="J1379" i="3" s="1"/>
  <c r="C1378" i="3"/>
  <c r="C1377" i="3"/>
  <c r="C1376" i="3"/>
  <c r="J1376" i="3" s="1"/>
  <c r="C1375" i="3"/>
  <c r="C1374" i="3"/>
  <c r="C1373" i="3"/>
  <c r="C1372" i="3"/>
  <c r="J1372" i="3" s="1"/>
  <c r="C1371" i="3"/>
  <c r="J1371" i="3" s="1"/>
  <c r="C1370" i="3"/>
  <c r="J1370" i="3" s="1"/>
  <c r="C1369" i="3"/>
  <c r="C1368" i="3"/>
  <c r="J1368" i="3" s="1"/>
  <c r="C1367" i="3"/>
  <c r="C1366" i="3"/>
  <c r="J1366" i="3" s="1"/>
  <c r="C1365" i="3"/>
  <c r="J1365" i="3" s="1"/>
  <c r="C1364" i="3"/>
  <c r="J1364" i="3" s="1"/>
  <c r="C1363" i="3"/>
  <c r="J1363" i="3" s="1"/>
  <c r="C1362" i="3"/>
  <c r="J1362" i="3" s="1"/>
  <c r="C1361" i="3"/>
  <c r="J1361" i="3" s="1"/>
  <c r="C1360" i="3"/>
  <c r="J1360" i="3" s="1"/>
  <c r="C1359" i="3"/>
  <c r="J1359" i="3" s="1"/>
  <c r="C1358" i="3"/>
  <c r="J1358" i="3" s="1"/>
  <c r="C1357" i="3"/>
  <c r="J1357" i="3" s="1"/>
  <c r="C1356" i="3"/>
  <c r="J1356" i="3" s="1"/>
  <c r="C1355" i="3"/>
  <c r="J1355" i="3" s="1"/>
  <c r="C1354" i="3"/>
  <c r="J1354" i="3" s="1"/>
  <c r="C1353" i="3"/>
  <c r="J1353" i="3" s="1"/>
  <c r="C1352" i="3"/>
  <c r="J1352" i="3" s="1"/>
  <c r="C1351" i="3"/>
  <c r="J1351" i="3" s="1"/>
  <c r="C1350" i="3"/>
  <c r="J1350" i="3" s="1"/>
  <c r="C1349" i="3"/>
  <c r="J1349" i="3" s="1"/>
  <c r="C1348" i="3"/>
  <c r="J1348" i="3" s="1"/>
  <c r="C1347" i="3"/>
  <c r="J1347" i="3" s="1"/>
  <c r="C1346" i="3"/>
  <c r="J1346" i="3" s="1"/>
  <c r="C1345" i="3"/>
  <c r="J1345" i="3" s="1"/>
  <c r="C1344" i="3"/>
  <c r="J1344" i="3" s="1"/>
  <c r="C1343" i="3"/>
  <c r="J1343" i="3" s="1"/>
  <c r="C1342" i="3"/>
  <c r="J1342" i="3" s="1"/>
  <c r="C1341" i="3"/>
  <c r="J1341" i="3" s="1"/>
  <c r="C1340" i="3"/>
  <c r="J1340" i="3" s="1"/>
  <c r="C1339" i="3"/>
  <c r="J1339" i="3" s="1"/>
  <c r="C1338" i="3"/>
  <c r="J1338" i="3" s="1"/>
  <c r="C1337" i="3"/>
  <c r="J1337" i="3" s="1"/>
  <c r="C1336" i="3"/>
  <c r="J1336" i="3" s="1"/>
  <c r="C1335" i="3"/>
  <c r="J1335" i="3" s="1"/>
  <c r="C1334" i="3"/>
  <c r="J1334" i="3" s="1"/>
  <c r="C1333" i="3"/>
  <c r="J1333" i="3" s="1"/>
  <c r="C1332" i="3"/>
  <c r="J1332" i="3" s="1"/>
  <c r="C1331" i="3"/>
  <c r="J1331" i="3" s="1"/>
  <c r="C1330" i="3"/>
  <c r="J1330" i="3" s="1"/>
  <c r="C1329" i="3"/>
  <c r="J1329" i="3" s="1"/>
  <c r="C1328" i="3"/>
  <c r="J1328" i="3" s="1"/>
  <c r="C1327" i="3"/>
  <c r="J1327" i="3" s="1"/>
  <c r="C1326" i="3"/>
  <c r="J1326" i="3" s="1"/>
  <c r="C1325" i="3"/>
  <c r="J1325" i="3" s="1"/>
  <c r="C1324" i="3"/>
  <c r="J1324" i="3" s="1"/>
  <c r="C1323" i="3"/>
  <c r="J1323" i="3" s="1"/>
  <c r="C1322" i="3"/>
  <c r="J1322" i="3" s="1"/>
  <c r="C1321" i="3"/>
  <c r="J1321" i="3" s="1"/>
  <c r="C1320" i="3"/>
  <c r="J1320" i="3" s="1"/>
  <c r="C1319" i="3"/>
  <c r="J1319" i="3" s="1"/>
  <c r="C1318" i="3"/>
  <c r="J1318" i="3" s="1"/>
  <c r="C1317" i="3"/>
  <c r="J1317" i="3" s="1"/>
  <c r="C1316" i="3"/>
  <c r="J1316" i="3" s="1"/>
  <c r="C1315" i="3"/>
  <c r="J1315" i="3" s="1"/>
  <c r="C1314" i="3"/>
  <c r="J1314" i="3" s="1"/>
  <c r="C1313" i="3"/>
  <c r="J1313" i="3" s="1"/>
  <c r="C1312" i="3"/>
  <c r="J1312" i="3" s="1"/>
  <c r="C1311" i="3"/>
  <c r="J1311" i="3" s="1"/>
  <c r="C1310" i="3"/>
  <c r="J1310" i="3" s="1"/>
  <c r="C1309" i="3"/>
  <c r="J1309" i="3" s="1"/>
  <c r="C1308" i="3"/>
  <c r="J1308" i="3" s="1"/>
  <c r="C1307" i="3"/>
  <c r="J1307" i="3" s="1"/>
  <c r="C1306" i="3"/>
  <c r="J1306" i="3" s="1"/>
  <c r="C1305" i="3"/>
  <c r="J1305" i="3" s="1"/>
  <c r="C1304" i="3"/>
  <c r="J1304" i="3" s="1"/>
  <c r="C1303" i="3"/>
  <c r="J1303" i="3" s="1"/>
  <c r="C1302" i="3"/>
  <c r="J1302" i="3" s="1"/>
  <c r="C1301" i="3"/>
  <c r="J1301" i="3" s="1"/>
  <c r="C1300" i="3"/>
  <c r="J1300" i="3" s="1"/>
  <c r="C1299" i="3"/>
  <c r="J1299" i="3" s="1"/>
  <c r="C1298" i="3"/>
  <c r="J1298" i="3" s="1"/>
  <c r="C1297" i="3"/>
  <c r="J1297" i="3" s="1"/>
  <c r="C1296" i="3"/>
  <c r="J1296" i="3" s="1"/>
  <c r="C1295" i="3"/>
  <c r="J1295" i="3" s="1"/>
  <c r="C1294" i="3"/>
  <c r="J1294" i="3" s="1"/>
  <c r="C1293" i="3"/>
  <c r="J1293" i="3" s="1"/>
  <c r="C1292" i="3"/>
  <c r="J1292" i="3" s="1"/>
  <c r="C1291" i="3"/>
  <c r="J1291" i="3" s="1"/>
  <c r="C1290" i="3"/>
  <c r="J1290" i="3" s="1"/>
  <c r="C1289" i="3"/>
  <c r="J1289" i="3" s="1"/>
  <c r="C1288" i="3"/>
  <c r="J1288" i="3" s="1"/>
  <c r="C1287" i="3"/>
  <c r="J1287" i="3" s="1"/>
  <c r="C1286" i="3"/>
  <c r="J1286" i="3" s="1"/>
  <c r="C1285" i="3"/>
  <c r="J1285" i="3" s="1"/>
  <c r="C1284" i="3"/>
  <c r="J1284" i="3" s="1"/>
  <c r="C1283" i="3"/>
  <c r="J1283" i="3" s="1"/>
  <c r="C1282" i="3"/>
  <c r="J1282" i="3" s="1"/>
  <c r="C1281" i="3"/>
  <c r="J1281" i="3" s="1"/>
  <c r="C1280" i="3"/>
  <c r="J1280" i="3" s="1"/>
  <c r="C1279" i="3"/>
  <c r="J1279" i="3" s="1"/>
  <c r="C1278" i="3"/>
  <c r="J1278" i="3" s="1"/>
  <c r="C1277" i="3"/>
  <c r="J1277" i="3" s="1"/>
  <c r="C1276" i="3"/>
  <c r="J1276" i="3" s="1"/>
  <c r="C1275" i="3"/>
  <c r="J1275" i="3" s="1"/>
  <c r="C1274" i="3"/>
  <c r="J1274" i="3" s="1"/>
  <c r="C1273" i="3"/>
  <c r="J1273" i="3" s="1"/>
  <c r="C1272" i="3"/>
  <c r="J1272" i="3" s="1"/>
  <c r="C1271" i="3"/>
  <c r="J1271" i="3" s="1"/>
  <c r="C1270" i="3"/>
  <c r="J1270" i="3" s="1"/>
  <c r="C1269" i="3"/>
  <c r="J1269" i="3" s="1"/>
  <c r="C1268" i="3"/>
  <c r="J1268" i="3" s="1"/>
  <c r="C1267" i="3"/>
  <c r="J1267" i="3" s="1"/>
  <c r="C1266" i="3"/>
  <c r="J1266" i="3" s="1"/>
  <c r="C1265" i="3"/>
  <c r="J1265" i="3" s="1"/>
  <c r="C1264" i="3"/>
  <c r="J1264" i="3" s="1"/>
  <c r="C1263" i="3"/>
  <c r="J1263" i="3" s="1"/>
  <c r="C1262" i="3"/>
  <c r="J1262" i="3" s="1"/>
  <c r="C1261" i="3"/>
  <c r="J1261" i="3" s="1"/>
  <c r="C1260" i="3"/>
  <c r="J1260" i="3" s="1"/>
  <c r="C1259" i="3"/>
  <c r="J1259" i="3" s="1"/>
  <c r="C1258" i="3"/>
  <c r="J1258" i="3" s="1"/>
  <c r="C1257" i="3"/>
  <c r="J1257" i="3" s="1"/>
  <c r="C1256" i="3"/>
  <c r="J1256" i="3" s="1"/>
  <c r="C1255" i="3"/>
  <c r="J1255" i="3" s="1"/>
  <c r="C1254" i="3"/>
  <c r="J1254" i="3" s="1"/>
  <c r="C1253" i="3"/>
  <c r="J1253" i="3" s="1"/>
  <c r="C1252" i="3"/>
  <c r="J1252" i="3" s="1"/>
  <c r="C1251" i="3"/>
  <c r="J1251" i="3" s="1"/>
  <c r="C1250" i="3"/>
  <c r="J1250" i="3" s="1"/>
  <c r="C1249" i="3"/>
  <c r="J1249" i="3" s="1"/>
  <c r="C1248" i="3"/>
  <c r="J1248" i="3" s="1"/>
  <c r="C1247" i="3"/>
  <c r="J1247" i="3" s="1"/>
  <c r="C1246" i="3"/>
  <c r="J1246" i="3" s="1"/>
  <c r="C1245" i="3"/>
  <c r="J1245" i="3" s="1"/>
  <c r="C1244" i="3"/>
  <c r="J1244" i="3" s="1"/>
  <c r="C1243" i="3"/>
  <c r="J1243" i="3" s="1"/>
  <c r="C1242" i="3"/>
  <c r="J1242" i="3" s="1"/>
  <c r="C1241" i="3"/>
  <c r="J1241" i="3" s="1"/>
  <c r="C1240" i="3"/>
  <c r="J1240" i="3" s="1"/>
  <c r="C1239" i="3"/>
  <c r="J1239" i="3" s="1"/>
  <c r="C1238" i="3"/>
  <c r="J1238" i="3" s="1"/>
  <c r="C1237" i="3"/>
  <c r="J1237" i="3" s="1"/>
  <c r="C1236" i="3"/>
  <c r="J1236" i="3" s="1"/>
  <c r="C1235" i="3"/>
  <c r="J1235" i="3" s="1"/>
  <c r="C1234" i="3"/>
  <c r="J1234" i="3" s="1"/>
  <c r="C1233" i="3"/>
  <c r="J1233" i="3" s="1"/>
  <c r="C1232" i="3"/>
  <c r="J1232" i="3" s="1"/>
  <c r="C1231" i="3"/>
  <c r="J1231" i="3" s="1"/>
  <c r="C1230" i="3"/>
  <c r="J1230" i="3" s="1"/>
  <c r="C1229" i="3"/>
  <c r="J1229" i="3" s="1"/>
  <c r="C1228" i="3"/>
  <c r="J1228" i="3" s="1"/>
  <c r="C1227" i="3"/>
  <c r="J1227" i="3" s="1"/>
  <c r="C1226" i="3"/>
  <c r="J1226" i="3" s="1"/>
  <c r="C1225" i="3"/>
  <c r="J1225" i="3" s="1"/>
  <c r="C1224" i="3"/>
  <c r="J1224" i="3" s="1"/>
  <c r="C1223" i="3"/>
  <c r="J1223" i="3" s="1"/>
  <c r="C1222" i="3"/>
  <c r="J1222" i="3" s="1"/>
  <c r="C1221" i="3"/>
  <c r="J1221" i="3" s="1"/>
  <c r="C1220" i="3"/>
  <c r="J1220" i="3" s="1"/>
  <c r="C1219" i="3"/>
  <c r="J1219" i="3" s="1"/>
  <c r="C1218" i="3"/>
  <c r="J1218" i="3" s="1"/>
  <c r="C1217" i="3"/>
  <c r="J1217" i="3" s="1"/>
  <c r="C1216" i="3"/>
  <c r="J1216" i="3" s="1"/>
  <c r="C1215" i="3"/>
  <c r="J1215" i="3" s="1"/>
  <c r="C1214" i="3"/>
  <c r="J1214" i="3" s="1"/>
  <c r="C1213" i="3"/>
  <c r="J1213" i="3" s="1"/>
  <c r="C1212" i="3"/>
  <c r="J1212" i="3" s="1"/>
  <c r="C1211" i="3"/>
  <c r="J1211" i="3" s="1"/>
  <c r="C1210" i="3"/>
  <c r="J1210" i="3" s="1"/>
  <c r="C1209" i="3"/>
  <c r="J1209" i="3" s="1"/>
  <c r="C1208" i="3"/>
  <c r="J1208" i="3" s="1"/>
  <c r="C1207" i="3"/>
  <c r="J1207" i="3" s="1"/>
  <c r="C1206" i="3"/>
  <c r="J1206" i="3" s="1"/>
  <c r="C1205" i="3"/>
  <c r="J1205" i="3" s="1"/>
  <c r="C1204" i="3"/>
  <c r="J1204" i="3" s="1"/>
  <c r="C1203" i="3"/>
  <c r="J1203" i="3" s="1"/>
  <c r="C1202" i="3"/>
  <c r="J1202" i="3" s="1"/>
  <c r="C1201" i="3"/>
  <c r="J1201" i="3" s="1"/>
  <c r="C1200" i="3"/>
  <c r="J1200" i="3" s="1"/>
  <c r="C1199" i="3"/>
  <c r="J1199" i="3" s="1"/>
  <c r="C1198" i="3"/>
  <c r="J1198" i="3" s="1"/>
  <c r="C1197" i="3"/>
  <c r="J1197" i="3" s="1"/>
  <c r="C1196" i="3"/>
  <c r="J1196" i="3" s="1"/>
  <c r="C1195" i="3"/>
  <c r="J1195" i="3" s="1"/>
  <c r="C1194" i="3"/>
  <c r="J1194" i="3" s="1"/>
  <c r="C1193" i="3"/>
  <c r="J1193" i="3" s="1"/>
  <c r="C1192" i="3"/>
  <c r="J1192" i="3" s="1"/>
  <c r="C1191" i="3"/>
  <c r="J1191" i="3" s="1"/>
  <c r="C1190" i="3"/>
  <c r="J1190" i="3" s="1"/>
  <c r="C1189" i="3"/>
  <c r="J1189" i="3" s="1"/>
  <c r="C1188" i="3"/>
  <c r="J1188" i="3" s="1"/>
  <c r="C1187" i="3"/>
  <c r="J1187" i="3" s="1"/>
  <c r="C1186" i="3"/>
  <c r="J1186" i="3" s="1"/>
  <c r="C1185" i="3"/>
  <c r="J1185" i="3" s="1"/>
  <c r="C1184" i="3"/>
  <c r="J1184" i="3" s="1"/>
  <c r="C1183" i="3"/>
  <c r="J1183" i="3" s="1"/>
  <c r="C1182" i="3"/>
  <c r="J1182" i="3" s="1"/>
  <c r="C1181" i="3"/>
  <c r="J1181" i="3" s="1"/>
  <c r="C1180" i="3"/>
  <c r="J1180" i="3" s="1"/>
  <c r="C1179" i="3"/>
  <c r="J1179" i="3" s="1"/>
  <c r="C1178" i="3"/>
  <c r="J1178" i="3" s="1"/>
  <c r="C1177" i="3"/>
  <c r="J1177" i="3" s="1"/>
  <c r="C1176" i="3"/>
  <c r="J1176" i="3" s="1"/>
  <c r="C1175" i="3"/>
  <c r="J1175" i="3" s="1"/>
  <c r="C1174" i="3"/>
  <c r="J1174" i="3" s="1"/>
  <c r="C1173" i="3"/>
  <c r="J1173" i="3" s="1"/>
  <c r="C1172" i="3"/>
  <c r="J1172" i="3" s="1"/>
  <c r="C1171" i="3"/>
  <c r="J1171" i="3" s="1"/>
  <c r="C1170" i="3"/>
  <c r="J1170" i="3" s="1"/>
  <c r="C1169" i="3"/>
  <c r="J1169" i="3" s="1"/>
  <c r="C1168" i="3"/>
  <c r="J1168" i="3" s="1"/>
  <c r="C1167" i="3"/>
  <c r="J1167" i="3" s="1"/>
  <c r="C1166" i="3"/>
  <c r="J1166" i="3" s="1"/>
  <c r="C1165" i="3"/>
  <c r="J1165" i="3" s="1"/>
  <c r="C1164" i="3"/>
  <c r="J1164" i="3" s="1"/>
  <c r="C1163" i="3"/>
  <c r="J1163" i="3" s="1"/>
  <c r="C1162" i="3"/>
  <c r="J1162" i="3" s="1"/>
  <c r="C1161" i="3"/>
  <c r="J1161" i="3" s="1"/>
  <c r="C1160" i="3"/>
  <c r="J1160" i="3" s="1"/>
  <c r="C1159" i="3"/>
  <c r="J1159" i="3" s="1"/>
  <c r="C1158" i="3"/>
  <c r="J1158" i="3" s="1"/>
  <c r="C1157" i="3"/>
  <c r="J1157" i="3" s="1"/>
  <c r="C1156" i="3"/>
  <c r="J1156" i="3" s="1"/>
  <c r="C1155" i="3"/>
  <c r="J1155" i="3" s="1"/>
  <c r="C1154" i="3"/>
  <c r="J1154" i="3" s="1"/>
  <c r="C1153" i="3"/>
  <c r="J1153" i="3" s="1"/>
  <c r="C1152" i="3"/>
  <c r="J1152" i="3" s="1"/>
  <c r="C1151" i="3"/>
  <c r="J1151" i="3" s="1"/>
  <c r="C1150" i="3"/>
  <c r="J1150" i="3" s="1"/>
  <c r="C1149" i="3"/>
  <c r="J1149" i="3" s="1"/>
  <c r="C1148" i="3"/>
  <c r="J1148" i="3" s="1"/>
  <c r="C1147" i="3"/>
  <c r="J1147" i="3" s="1"/>
  <c r="C1146" i="3"/>
  <c r="J1146" i="3" s="1"/>
  <c r="C1145" i="3"/>
  <c r="J1145" i="3" s="1"/>
  <c r="C1144" i="3"/>
  <c r="J1144" i="3" s="1"/>
  <c r="C1143" i="3"/>
  <c r="J1143" i="3" s="1"/>
  <c r="C1142" i="3"/>
  <c r="J1142" i="3" s="1"/>
  <c r="C1141" i="3"/>
  <c r="J1141" i="3" s="1"/>
  <c r="C1140" i="3"/>
  <c r="J1140" i="3" s="1"/>
  <c r="C1139" i="3"/>
  <c r="J1139" i="3" s="1"/>
  <c r="C1138" i="3"/>
  <c r="J1138" i="3" s="1"/>
  <c r="C1137" i="3"/>
  <c r="J1137" i="3" s="1"/>
  <c r="C1136" i="3"/>
  <c r="J1136" i="3" s="1"/>
  <c r="C1135" i="3"/>
  <c r="J1135" i="3" s="1"/>
  <c r="C1134" i="3"/>
  <c r="J1134" i="3" s="1"/>
  <c r="C1133" i="3"/>
  <c r="J1133" i="3" s="1"/>
  <c r="C1132" i="3"/>
  <c r="J1132" i="3" s="1"/>
  <c r="C1131" i="3"/>
  <c r="J1131" i="3" s="1"/>
  <c r="C1130" i="3"/>
  <c r="J1130" i="3" s="1"/>
  <c r="C1129" i="3"/>
  <c r="J1129" i="3" s="1"/>
  <c r="C1128" i="3"/>
  <c r="J1128" i="3" s="1"/>
  <c r="C1127" i="3"/>
  <c r="J1127" i="3" s="1"/>
  <c r="C1126" i="3"/>
  <c r="J1126" i="3" s="1"/>
  <c r="C1125" i="3"/>
  <c r="J1125" i="3" s="1"/>
  <c r="C1124" i="3"/>
  <c r="J1124" i="3" s="1"/>
  <c r="C1123" i="3"/>
  <c r="J1123" i="3" s="1"/>
  <c r="C1122" i="3"/>
  <c r="J1122" i="3" s="1"/>
  <c r="C1121" i="3"/>
  <c r="J1121" i="3" s="1"/>
  <c r="C1120" i="3"/>
  <c r="J1120" i="3" s="1"/>
  <c r="C1119" i="3"/>
  <c r="J1119" i="3" s="1"/>
  <c r="C1118" i="3"/>
  <c r="J1118" i="3" s="1"/>
  <c r="C1117" i="3"/>
  <c r="J1117" i="3" s="1"/>
  <c r="C1116" i="3"/>
  <c r="J1116" i="3" s="1"/>
  <c r="C1115" i="3"/>
  <c r="J1115" i="3" s="1"/>
  <c r="C1114" i="3"/>
  <c r="J1114" i="3" s="1"/>
  <c r="C1113" i="3"/>
  <c r="J1113" i="3" s="1"/>
  <c r="C1112" i="3"/>
  <c r="J1112" i="3" s="1"/>
  <c r="C1111" i="3"/>
  <c r="J1111" i="3" s="1"/>
  <c r="C1110" i="3"/>
  <c r="J1110" i="3" s="1"/>
  <c r="C1109" i="3"/>
  <c r="J1109" i="3" s="1"/>
  <c r="C1108" i="3"/>
  <c r="J1108" i="3" s="1"/>
  <c r="C1107" i="3"/>
  <c r="J1107" i="3" s="1"/>
  <c r="C1106" i="3"/>
  <c r="J1106" i="3" s="1"/>
  <c r="C1105" i="3"/>
  <c r="J1105" i="3" s="1"/>
  <c r="C1104" i="3"/>
  <c r="J1104" i="3" s="1"/>
  <c r="C1103" i="3"/>
  <c r="J1103" i="3" s="1"/>
  <c r="C1102" i="3"/>
  <c r="J1102" i="3" s="1"/>
  <c r="C1101" i="3"/>
  <c r="J1101" i="3" s="1"/>
  <c r="C1100" i="3"/>
  <c r="J1100" i="3" s="1"/>
  <c r="C1099" i="3"/>
  <c r="J1099" i="3" s="1"/>
  <c r="C1098" i="3"/>
  <c r="J1098" i="3" s="1"/>
  <c r="C1097" i="3"/>
  <c r="J1097" i="3" s="1"/>
  <c r="C1096" i="3"/>
  <c r="J1096" i="3" s="1"/>
  <c r="C1095" i="3"/>
  <c r="J1095" i="3" s="1"/>
  <c r="C1094" i="3"/>
  <c r="J1094" i="3" s="1"/>
  <c r="C1093" i="3"/>
  <c r="J1093" i="3" s="1"/>
  <c r="C1092" i="3"/>
  <c r="J1092" i="3" s="1"/>
  <c r="C1091" i="3"/>
  <c r="J1091" i="3" s="1"/>
  <c r="C1090" i="3"/>
  <c r="J1090" i="3" s="1"/>
  <c r="C1089" i="3"/>
  <c r="J1089" i="3" s="1"/>
  <c r="C1088" i="3"/>
  <c r="J1088" i="3" s="1"/>
  <c r="C1087" i="3"/>
  <c r="J1087" i="3" s="1"/>
  <c r="C1086" i="3"/>
  <c r="J1086" i="3" s="1"/>
  <c r="C1085" i="3"/>
  <c r="J1085" i="3" s="1"/>
  <c r="C1084" i="3"/>
  <c r="J1084" i="3" s="1"/>
  <c r="C1083" i="3"/>
  <c r="J1083" i="3" s="1"/>
  <c r="C1082" i="3"/>
  <c r="J1082" i="3" s="1"/>
  <c r="C1081" i="3"/>
  <c r="J1081" i="3" s="1"/>
  <c r="C1080" i="3"/>
  <c r="J1080" i="3" s="1"/>
  <c r="C1079" i="3"/>
  <c r="J1079" i="3" s="1"/>
  <c r="C1078" i="3"/>
  <c r="J1078" i="3" s="1"/>
  <c r="C1077" i="3"/>
  <c r="J1077" i="3" s="1"/>
  <c r="C1076" i="3"/>
  <c r="J1076" i="3" s="1"/>
  <c r="C1075" i="3"/>
  <c r="J1075" i="3" s="1"/>
  <c r="C1074" i="3"/>
  <c r="J1074" i="3" s="1"/>
  <c r="C1073" i="3"/>
  <c r="J1073" i="3" s="1"/>
  <c r="C1072" i="3"/>
  <c r="J1072" i="3" s="1"/>
  <c r="C1071" i="3"/>
  <c r="J1071" i="3" s="1"/>
  <c r="C1070" i="3"/>
  <c r="J1070" i="3" s="1"/>
  <c r="C1069" i="3"/>
  <c r="J1069" i="3" s="1"/>
  <c r="C1068" i="3"/>
  <c r="J1068" i="3" s="1"/>
  <c r="C1067" i="3"/>
  <c r="J1067" i="3" s="1"/>
  <c r="C1066" i="3"/>
  <c r="J1066" i="3" s="1"/>
  <c r="C1065" i="3"/>
  <c r="J1065" i="3" s="1"/>
  <c r="C1064" i="3"/>
  <c r="J1064" i="3" s="1"/>
  <c r="C1063" i="3"/>
  <c r="J1063" i="3" s="1"/>
  <c r="C1062" i="3"/>
  <c r="J1062" i="3" s="1"/>
  <c r="C1061" i="3"/>
  <c r="J1061" i="3" s="1"/>
  <c r="C1060" i="3"/>
  <c r="J1060" i="3" s="1"/>
  <c r="C1059" i="3"/>
  <c r="J1059" i="3" s="1"/>
  <c r="C1058" i="3"/>
  <c r="J1058" i="3" s="1"/>
  <c r="C1057" i="3"/>
  <c r="J1057" i="3" s="1"/>
  <c r="C1056" i="3"/>
  <c r="J1056" i="3" s="1"/>
  <c r="C1055" i="3"/>
  <c r="J1055" i="3" s="1"/>
  <c r="C1054" i="3"/>
  <c r="J1054" i="3" s="1"/>
  <c r="C1053" i="3"/>
  <c r="J1053" i="3" s="1"/>
  <c r="C1052" i="3"/>
  <c r="J1052" i="3" s="1"/>
  <c r="C1051" i="3"/>
  <c r="J1051" i="3" s="1"/>
  <c r="C1050" i="3"/>
  <c r="J1050" i="3" s="1"/>
  <c r="C1049" i="3"/>
  <c r="J1049" i="3" s="1"/>
  <c r="C1048" i="3"/>
  <c r="J1048" i="3" s="1"/>
  <c r="C1047" i="3"/>
  <c r="J1047" i="3" s="1"/>
  <c r="C1046" i="3"/>
  <c r="J1046" i="3" s="1"/>
  <c r="C1045" i="3"/>
  <c r="J1045" i="3" s="1"/>
  <c r="C1044" i="3"/>
  <c r="J1044" i="3" s="1"/>
  <c r="C1043" i="3"/>
  <c r="J1043" i="3" s="1"/>
  <c r="C1042" i="3"/>
  <c r="J1042" i="3" s="1"/>
  <c r="C1041" i="3"/>
  <c r="J1041" i="3" s="1"/>
  <c r="C1040" i="3"/>
  <c r="J1040" i="3" s="1"/>
  <c r="C1039" i="3"/>
  <c r="C1038" i="3"/>
  <c r="J1038" i="3" s="1"/>
  <c r="C1037" i="3"/>
  <c r="J1037" i="3" s="1"/>
  <c r="C1036" i="3"/>
  <c r="C1035" i="3"/>
  <c r="J1035" i="3" s="1"/>
  <c r="C1034" i="3"/>
  <c r="J1034" i="3" s="1"/>
  <c r="C1033" i="3"/>
  <c r="C1032" i="3"/>
  <c r="C1031" i="3"/>
  <c r="J1031" i="3" s="1"/>
  <c r="C1030" i="3"/>
  <c r="C1029" i="3"/>
  <c r="J1029" i="3" s="1"/>
  <c r="C1028" i="3"/>
  <c r="J1028" i="3" s="1"/>
  <c r="C1027" i="3"/>
  <c r="C1026" i="3"/>
  <c r="J1026" i="3" s="1"/>
  <c r="C1025" i="3"/>
  <c r="J1025" i="3" s="1"/>
  <c r="C1024" i="3"/>
  <c r="J1024" i="3" s="1"/>
  <c r="C1023" i="3"/>
  <c r="C1022" i="3"/>
  <c r="J1022" i="3" s="1"/>
  <c r="C1021" i="3"/>
  <c r="J1021" i="3" s="1"/>
  <c r="C1020" i="3"/>
  <c r="J1020" i="3" s="1"/>
  <c r="C1019" i="3"/>
  <c r="J1019" i="3" s="1"/>
  <c r="C1018" i="3"/>
  <c r="J1018" i="3" s="1"/>
  <c r="C1017" i="3"/>
  <c r="J1017" i="3" s="1"/>
  <c r="C1016" i="3"/>
  <c r="J1016" i="3" s="1"/>
  <c r="C1015" i="3"/>
  <c r="J1015" i="3" s="1"/>
  <c r="C1014" i="3"/>
  <c r="J1014" i="3" s="1"/>
  <c r="C1013" i="3"/>
  <c r="J1013" i="3" s="1"/>
  <c r="C1012" i="3"/>
  <c r="J1012" i="3" s="1"/>
  <c r="C1011" i="3"/>
  <c r="J1011" i="3" s="1"/>
  <c r="C1010" i="3"/>
  <c r="J1010" i="3" s="1"/>
  <c r="C1009" i="3"/>
  <c r="J1009" i="3" s="1"/>
  <c r="C1008" i="3"/>
  <c r="J1008" i="3" s="1"/>
  <c r="C1007" i="3"/>
  <c r="J1007" i="3" s="1"/>
  <c r="C1006" i="3"/>
  <c r="J1006" i="3" s="1"/>
  <c r="C1005" i="3"/>
  <c r="J1005" i="3" s="1"/>
  <c r="C1004" i="3"/>
  <c r="J1004" i="3" s="1"/>
  <c r="C1003" i="3"/>
  <c r="J1003" i="3" s="1"/>
  <c r="C1002" i="3"/>
  <c r="J1002" i="3" s="1"/>
  <c r="C1001" i="3"/>
  <c r="J1001" i="3" s="1"/>
  <c r="C1000" i="3"/>
  <c r="J1000" i="3" s="1"/>
  <c r="C999" i="3"/>
  <c r="J999" i="3" s="1"/>
  <c r="C998" i="3"/>
  <c r="J998" i="3" s="1"/>
  <c r="C997" i="3"/>
  <c r="J997" i="3" s="1"/>
  <c r="C996" i="3"/>
  <c r="J996" i="3" s="1"/>
  <c r="C995" i="3"/>
  <c r="J995" i="3" s="1"/>
  <c r="C994" i="3"/>
  <c r="J994" i="3" s="1"/>
  <c r="C993" i="3"/>
  <c r="J993" i="3" s="1"/>
  <c r="C992" i="3"/>
  <c r="J992" i="3" s="1"/>
  <c r="C991" i="3"/>
  <c r="J991" i="3" s="1"/>
  <c r="C990" i="3"/>
  <c r="J990" i="3" s="1"/>
  <c r="C989" i="3"/>
  <c r="J989" i="3" s="1"/>
  <c r="C988" i="3"/>
  <c r="J988" i="3" s="1"/>
  <c r="C987" i="3"/>
  <c r="J987" i="3" s="1"/>
  <c r="C986" i="3"/>
  <c r="J986" i="3" s="1"/>
  <c r="C985" i="3"/>
  <c r="J985" i="3" s="1"/>
  <c r="C984" i="3"/>
  <c r="J984" i="3" s="1"/>
  <c r="C983" i="3"/>
  <c r="J983" i="3" s="1"/>
  <c r="C982" i="3"/>
  <c r="J982" i="3" s="1"/>
  <c r="C981" i="3"/>
  <c r="J981" i="3" s="1"/>
  <c r="C980" i="3"/>
  <c r="J980" i="3" s="1"/>
  <c r="C979" i="3"/>
  <c r="J979" i="3" s="1"/>
  <c r="C978" i="3"/>
  <c r="J978" i="3" s="1"/>
  <c r="C977" i="3"/>
  <c r="J977" i="3" s="1"/>
  <c r="C976" i="3"/>
  <c r="J976" i="3" s="1"/>
  <c r="C975" i="3"/>
  <c r="J975" i="3" s="1"/>
  <c r="C974" i="3"/>
  <c r="J974" i="3" s="1"/>
  <c r="C973" i="3"/>
  <c r="J973" i="3" s="1"/>
  <c r="C972" i="3"/>
  <c r="J972" i="3" s="1"/>
  <c r="C971" i="3"/>
  <c r="J971" i="3" s="1"/>
  <c r="C970" i="3"/>
  <c r="J970" i="3" s="1"/>
  <c r="C969" i="3"/>
  <c r="J969" i="3" s="1"/>
  <c r="C968" i="3"/>
  <c r="J968" i="3" s="1"/>
  <c r="C967" i="3"/>
  <c r="J967" i="3" s="1"/>
  <c r="C966" i="3"/>
  <c r="J966" i="3" s="1"/>
  <c r="C965" i="3"/>
  <c r="J965" i="3" s="1"/>
  <c r="C964" i="3"/>
  <c r="J964" i="3" s="1"/>
  <c r="C963" i="3"/>
  <c r="J963" i="3" s="1"/>
  <c r="C962" i="3"/>
  <c r="J962" i="3" s="1"/>
  <c r="C961" i="3"/>
  <c r="J961" i="3" s="1"/>
  <c r="C960" i="3"/>
  <c r="J960" i="3" s="1"/>
  <c r="C959" i="3"/>
  <c r="J959" i="3" s="1"/>
  <c r="C958" i="3"/>
  <c r="J958" i="3" s="1"/>
  <c r="C957" i="3"/>
  <c r="J957" i="3" s="1"/>
  <c r="C956" i="3"/>
  <c r="J956" i="3" s="1"/>
  <c r="C955" i="3"/>
  <c r="J955" i="3" s="1"/>
  <c r="C954" i="3"/>
  <c r="J954" i="3" s="1"/>
  <c r="C953" i="3"/>
  <c r="J953" i="3" s="1"/>
  <c r="C952" i="3"/>
  <c r="J952" i="3" s="1"/>
  <c r="C951" i="3"/>
  <c r="J951" i="3" s="1"/>
  <c r="C950" i="3"/>
  <c r="J950" i="3" s="1"/>
  <c r="C949" i="3"/>
  <c r="J949" i="3" s="1"/>
  <c r="C948" i="3"/>
  <c r="J948" i="3" s="1"/>
  <c r="C947" i="3"/>
  <c r="J947" i="3" s="1"/>
  <c r="C946" i="3"/>
  <c r="J946" i="3" s="1"/>
  <c r="C945" i="3"/>
  <c r="J945" i="3" s="1"/>
  <c r="C944" i="3"/>
  <c r="J944" i="3" s="1"/>
  <c r="C943" i="3"/>
  <c r="J943" i="3" s="1"/>
  <c r="C942" i="3"/>
  <c r="J942" i="3" s="1"/>
  <c r="C941" i="3"/>
  <c r="J941" i="3" s="1"/>
  <c r="C940" i="3"/>
  <c r="J940" i="3" s="1"/>
  <c r="C939" i="3"/>
  <c r="J939" i="3" s="1"/>
  <c r="C938" i="3"/>
  <c r="J938" i="3" s="1"/>
  <c r="C937" i="3"/>
  <c r="J937" i="3" s="1"/>
  <c r="C936" i="3"/>
  <c r="J936" i="3" s="1"/>
  <c r="C935" i="3"/>
  <c r="J935" i="3" s="1"/>
  <c r="C934" i="3"/>
  <c r="J934" i="3" s="1"/>
  <c r="C933" i="3"/>
  <c r="J933" i="3" s="1"/>
  <c r="C932" i="3"/>
  <c r="J932" i="3" s="1"/>
  <c r="C931" i="3"/>
  <c r="J931" i="3" s="1"/>
  <c r="C930" i="3"/>
  <c r="J930" i="3" s="1"/>
  <c r="C929" i="3"/>
  <c r="J929" i="3" s="1"/>
  <c r="C928" i="3"/>
  <c r="J928" i="3" s="1"/>
  <c r="C927" i="3"/>
  <c r="J927" i="3" s="1"/>
  <c r="C926" i="3"/>
  <c r="J926" i="3" s="1"/>
  <c r="C925" i="3"/>
  <c r="J925" i="3" s="1"/>
  <c r="C924" i="3"/>
  <c r="J924" i="3" s="1"/>
  <c r="C923" i="3"/>
  <c r="J923" i="3" s="1"/>
  <c r="C922" i="3"/>
  <c r="J922" i="3" s="1"/>
  <c r="C921" i="3"/>
  <c r="J921" i="3" s="1"/>
  <c r="C920" i="3"/>
  <c r="J920" i="3" s="1"/>
  <c r="C919" i="3"/>
  <c r="J919" i="3" s="1"/>
  <c r="C918" i="3"/>
  <c r="J918" i="3" s="1"/>
  <c r="C917" i="3"/>
  <c r="J917" i="3" s="1"/>
  <c r="C916" i="3"/>
  <c r="J916" i="3" s="1"/>
  <c r="C915" i="3"/>
  <c r="J915" i="3" s="1"/>
  <c r="C914" i="3"/>
  <c r="J914" i="3" s="1"/>
  <c r="C913" i="3"/>
  <c r="J913" i="3" s="1"/>
  <c r="C912" i="3"/>
  <c r="J912" i="3" s="1"/>
  <c r="C911" i="3"/>
  <c r="J911" i="3" s="1"/>
  <c r="C910" i="3"/>
  <c r="J910" i="3" s="1"/>
  <c r="C909" i="3"/>
  <c r="J909" i="3" s="1"/>
  <c r="C908" i="3"/>
  <c r="J908" i="3" s="1"/>
  <c r="C907" i="3"/>
  <c r="J907" i="3" s="1"/>
  <c r="C906" i="3"/>
  <c r="J906" i="3" s="1"/>
  <c r="C905" i="3"/>
  <c r="J905" i="3" s="1"/>
  <c r="C904" i="3"/>
  <c r="J904" i="3" s="1"/>
  <c r="C903" i="3"/>
  <c r="J903" i="3" s="1"/>
  <c r="C902" i="3"/>
  <c r="J902" i="3" s="1"/>
  <c r="C901" i="3"/>
  <c r="J901" i="3" s="1"/>
  <c r="C900" i="3"/>
  <c r="J900" i="3" s="1"/>
  <c r="C899" i="3"/>
  <c r="J899" i="3" s="1"/>
  <c r="C898" i="3"/>
  <c r="J898" i="3" s="1"/>
  <c r="C897" i="3"/>
  <c r="J897" i="3" s="1"/>
  <c r="C896" i="3"/>
  <c r="J896" i="3" s="1"/>
  <c r="C895" i="3"/>
  <c r="J895" i="3" s="1"/>
  <c r="C894" i="3"/>
  <c r="J894" i="3" s="1"/>
  <c r="C893" i="3"/>
  <c r="J893" i="3" s="1"/>
  <c r="C892" i="3"/>
  <c r="J892" i="3" s="1"/>
  <c r="C891" i="3"/>
  <c r="J891" i="3" s="1"/>
  <c r="C890" i="3"/>
  <c r="J890" i="3" s="1"/>
  <c r="C889" i="3"/>
  <c r="J889" i="3" s="1"/>
  <c r="C888" i="3"/>
  <c r="J888" i="3" s="1"/>
  <c r="C887" i="3"/>
  <c r="J887" i="3" s="1"/>
  <c r="C886" i="3"/>
  <c r="J886" i="3" s="1"/>
  <c r="C885" i="3"/>
  <c r="J885" i="3" s="1"/>
  <c r="C884" i="3"/>
  <c r="J884" i="3" s="1"/>
  <c r="C883" i="3"/>
  <c r="J883" i="3" s="1"/>
  <c r="C882" i="3"/>
  <c r="J882" i="3" s="1"/>
  <c r="C881" i="3"/>
  <c r="J881" i="3" s="1"/>
  <c r="C880" i="3"/>
  <c r="J880" i="3" s="1"/>
  <c r="C879" i="3"/>
  <c r="J879" i="3" s="1"/>
  <c r="C878" i="3"/>
  <c r="J878" i="3" s="1"/>
  <c r="C877" i="3"/>
  <c r="J877" i="3" s="1"/>
  <c r="C876" i="3"/>
  <c r="J876" i="3" s="1"/>
  <c r="C875" i="3"/>
  <c r="J875" i="3" s="1"/>
  <c r="C874" i="3"/>
  <c r="J874" i="3" s="1"/>
  <c r="C873" i="3"/>
  <c r="J873" i="3" s="1"/>
  <c r="C872" i="3"/>
  <c r="J872" i="3" s="1"/>
  <c r="C871" i="3"/>
  <c r="J871" i="3" s="1"/>
  <c r="C870" i="3"/>
  <c r="J870" i="3" s="1"/>
  <c r="C869" i="3"/>
  <c r="J869" i="3" s="1"/>
  <c r="C868" i="3"/>
  <c r="J868" i="3" s="1"/>
  <c r="C867" i="3"/>
  <c r="J867" i="3" s="1"/>
  <c r="C866" i="3"/>
  <c r="J866" i="3" s="1"/>
  <c r="C865" i="3"/>
  <c r="J865" i="3" s="1"/>
  <c r="C864" i="3"/>
  <c r="J864" i="3" s="1"/>
  <c r="C863" i="3"/>
  <c r="J863" i="3" s="1"/>
  <c r="C862" i="3"/>
  <c r="J862" i="3" s="1"/>
  <c r="C861" i="3"/>
  <c r="J861" i="3" s="1"/>
  <c r="C860" i="3"/>
  <c r="J860" i="3" s="1"/>
  <c r="C859" i="3"/>
  <c r="J859" i="3" s="1"/>
  <c r="C858" i="3"/>
  <c r="J858" i="3" s="1"/>
  <c r="C857" i="3"/>
  <c r="J857" i="3" s="1"/>
  <c r="C856" i="3"/>
  <c r="J856" i="3" s="1"/>
  <c r="C855" i="3"/>
  <c r="J855" i="3" s="1"/>
  <c r="C854" i="3"/>
  <c r="J854" i="3" s="1"/>
  <c r="C853" i="3"/>
  <c r="J853" i="3" s="1"/>
  <c r="C852" i="3"/>
  <c r="J852" i="3" s="1"/>
  <c r="C851" i="3"/>
  <c r="J851" i="3" s="1"/>
  <c r="C850" i="3"/>
  <c r="J850" i="3" s="1"/>
  <c r="C849" i="3"/>
  <c r="J849" i="3" s="1"/>
  <c r="C848" i="3"/>
  <c r="J848" i="3" s="1"/>
  <c r="C847" i="3"/>
  <c r="J847" i="3" s="1"/>
  <c r="C846" i="3"/>
  <c r="J846" i="3" s="1"/>
  <c r="C845" i="3"/>
  <c r="J845" i="3" s="1"/>
  <c r="C844" i="3"/>
  <c r="J844" i="3" s="1"/>
  <c r="C843" i="3"/>
  <c r="J843" i="3" s="1"/>
  <c r="C842" i="3"/>
  <c r="J842" i="3" s="1"/>
  <c r="C841" i="3"/>
  <c r="J841" i="3" s="1"/>
  <c r="C840" i="3"/>
  <c r="J840" i="3" s="1"/>
  <c r="C839" i="3"/>
  <c r="J839" i="3" s="1"/>
  <c r="C838" i="3"/>
  <c r="J838" i="3" s="1"/>
  <c r="C837" i="3"/>
  <c r="J837" i="3" s="1"/>
  <c r="C836" i="3"/>
  <c r="J836" i="3" s="1"/>
  <c r="C835" i="3"/>
  <c r="J835" i="3" s="1"/>
  <c r="C834" i="3"/>
  <c r="J834" i="3" s="1"/>
  <c r="C833" i="3"/>
  <c r="J833" i="3" s="1"/>
  <c r="C832" i="3"/>
  <c r="J832" i="3" s="1"/>
  <c r="C831" i="3"/>
  <c r="J831" i="3" s="1"/>
  <c r="C830" i="3"/>
  <c r="J830" i="3" s="1"/>
  <c r="C829" i="3"/>
  <c r="J829" i="3" s="1"/>
  <c r="C828" i="3"/>
  <c r="J828" i="3" s="1"/>
  <c r="C827" i="3"/>
  <c r="J827" i="3" s="1"/>
  <c r="C826" i="3"/>
  <c r="J826" i="3" s="1"/>
  <c r="C825" i="3"/>
  <c r="J825" i="3" s="1"/>
  <c r="C824" i="3"/>
  <c r="J824" i="3" s="1"/>
  <c r="C823" i="3"/>
  <c r="J823" i="3" s="1"/>
  <c r="C822" i="3"/>
  <c r="J822" i="3" s="1"/>
  <c r="C821" i="3"/>
  <c r="J821" i="3" s="1"/>
  <c r="C820" i="3"/>
  <c r="J820" i="3" s="1"/>
  <c r="C819" i="3"/>
  <c r="J819" i="3" s="1"/>
  <c r="C818" i="3"/>
  <c r="J818" i="3" s="1"/>
  <c r="C817" i="3"/>
  <c r="J817" i="3" s="1"/>
  <c r="C816" i="3"/>
  <c r="J816" i="3" s="1"/>
  <c r="C815" i="3"/>
  <c r="J815" i="3" s="1"/>
  <c r="C814" i="3"/>
  <c r="J814" i="3" s="1"/>
  <c r="C813" i="3"/>
  <c r="J813" i="3" s="1"/>
  <c r="C812" i="3"/>
  <c r="J812" i="3" s="1"/>
  <c r="C811" i="3"/>
  <c r="J811" i="3" s="1"/>
  <c r="C810" i="3"/>
  <c r="J810" i="3" s="1"/>
  <c r="C809" i="3"/>
  <c r="J809" i="3" s="1"/>
  <c r="C808" i="3"/>
  <c r="J808" i="3" s="1"/>
  <c r="C807" i="3"/>
  <c r="J807" i="3" s="1"/>
  <c r="C806" i="3"/>
  <c r="J806" i="3" s="1"/>
  <c r="C805" i="3"/>
  <c r="J805" i="3" s="1"/>
  <c r="C804" i="3"/>
  <c r="J804" i="3" s="1"/>
  <c r="C803" i="3"/>
  <c r="J803" i="3" s="1"/>
  <c r="C802" i="3"/>
  <c r="J802" i="3" s="1"/>
  <c r="C801" i="3"/>
  <c r="J801" i="3" s="1"/>
  <c r="C800" i="3"/>
  <c r="J800" i="3" s="1"/>
  <c r="C799" i="3"/>
  <c r="J799" i="3" s="1"/>
  <c r="C798" i="3"/>
  <c r="J798" i="3" s="1"/>
  <c r="C797" i="3"/>
  <c r="J797" i="3" s="1"/>
  <c r="C796" i="3"/>
  <c r="J796" i="3" s="1"/>
  <c r="C795" i="3"/>
  <c r="J795" i="3" s="1"/>
  <c r="C794" i="3"/>
  <c r="J794" i="3" s="1"/>
  <c r="C793" i="3"/>
  <c r="J793" i="3" s="1"/>
  <c r="C792" i="3"/>
  <c r="J792" i="3" s="1"/>
  <c r="C791" i="3"/>
  <c r="J791" i="3" s="1"/>
  <c r="C790" i="3"/>
  <c r="J790" i="3" s="1"/>
  <c r="C789" i="3"/>
  <c r="J789" i="3" s="1"/>
  <c r="C788" i="3"/>
  <c r="J788" i="3" s="1"/>
  <c r="C787" i="3"/>
  <c r="J787" i="3" s="1"/>
  <c r="C786" i="3"/>
  <c r="J786" i="3" s="1"/>
  <c r="C785" i="3"/>
  <c r="J785" i="3" s="1"/>
  <c r="C784" i="3"/>
  <c r="J784" i="3" s="1"/>
  <c r="C783" i="3"/>
  <c r="J783" i="3" s="1"/>
  <c r="C782" i="3"/>
  <c r="J782" i="3" s="1"/>
  <c r="C781" i="3"/>
  <c r="J781" i="3" s="1"/>
  <c r="C780" i="3"/>
  <c r="J780" i="3" s="1"/>
  <c r="C779" i="3"/>
  <c r="J779" i="3" s="1"/>
  <c r="C778" i="3"/>
  <c r="J778" i="3" s="1"/>
  <c r="C777" i="3"/>
  <c r="J777" i="3" s="1"/>
  <c r="C776" i="3"/>
  <c r="J776" i="3" s="1"/>
  <c r="C775" i="3"/>
  <c r="J775" i="3" s="1"/>
  <c r="C774" i="3"/>
  <c r="J774" i="3" s="1"/>
  <c r="C773" i="3"/>
  <c r="J773" i="3" s="1"/>
  <c r="C772" i="3"/>
  <c r="J772" i="3" s="1"/>
  <c r="C771" i="3"/>
  <c r="J771" i="3" s="1"/>
  <c r="C770" i="3"/>
  <c r="J770" i="3" s="1"/>
  <c r="C769" i="3"/>
  <c r="J769" i="3" s="1"/>
  <c r="C768" i="3"/>
  <c r="J768" i="3" s="1"/>
  <c r="C767" i="3"/>
  <c r="J767" i="3" s="1"/>
  <c r="C766" i="3"/>
  <c r="J766" i="3" s="1"/>
  <c r="C765" i="3"/>
  <c r="J765" i="3" s="1"/>
  <c r="C764" i="3"/>
  <c r="J764" i="3" s="1"/>
  <c r="C763" i="3"/>
  <c r="J763" i="3" s="1"/>
  <c r="C762" i="3"/>
  <c r="J762" i="3" s="1"/>
  <c r="C761" i="3"/>
  <c r="J761" i="3" s="1"/>
  <c r="C760" i="3"/>
  <c r="J760" i="3" s="1"/>
  <c r="C759" i="3"/>
  <c r="J759" i="3" s="1"/>
  <c r="C758" i="3"/>
  <c r="J758" i="3" s="1"/>
  <c r="C757" i="3"/>
  <c r="J757" i="3" s="1"/>
  <c r="C756" i="3"/>
  <c r="J756" i="3" s="1"/>
  <c r="C755" i="3"/>
  <c r="J755" i="3" s="1"/>
  <c r="C754" i="3"/>
  <c r="J754" i="3" s="1"/>
  <c r="C753" i="3"/>
  <c r="J753" i="3" s="1"/>
  <c r="C752" i="3"/>
  <c r="J752" i="3" s="1"/>
  <c r="C751" i="3"/>
  <c r="J751" i="3" s="1"/>
  <c r="C750" i="3"/>
  <c r="J750" i="3" s="1"/>
  <c r="C749" i="3"/>
  <c r="J749" i="3" s="1"/>
  <c r="C748" i="3"/>
  <c r="J748" i="3" s="1"/>
  <c r="C747" i="3"/>
  <c r="J747" i="3" s="1"/>
  <c r="C746" i="3"/>
  <c r="J746" i="3" s="1"/>
  <c r="C745" i="3"/>
  <c r="J745" i="3" s="1"/>
  <c r="C744" i="3"/>
  <c r="J744" i="3" s="1"/>
  <c r="C743" i="3"/>
  <c r="J743" i="3" s="1"/>
  <c r="C742" i="3"/>
  <c r="J742" i="3" s="1"/>
  <c r="C741" i="3"/>
  <c r="J741" i="3" s="1"/>
  <c r="C740" i="3"/>
  <c r="J740" i="3" s="1"/>
  <c r="C739" i="3"/>
  <c r="J739" i="3" s="1"/>
  <c r="C738" i="3"/>
  <c r="J738" i="3" s="1"/>
  <c r="C737" i="3"/>
  <c r="J737" i="3" s="1"/>
  <c r="C736" i="3"/>
  <c r="J736" i="3" s="1"/>
  <c r="C735" i="3"/>
  <c r="J735" i="3" s="1"/>
  <c r="C734" i="3"/>
  <c r="J734" i="3" s="1"/>
  <c r="C733" i="3"/>
  <c r="J733" i="3" s="1"/>
  <c r="C732" i="3"/>
  <c r="J732" i="3" s="1"/>
  <c r="C731" i="3"/>
  <c r="J731" i="3" s="1"/>
  <c r="C730" i="3"/>
  <c r="J730" i="3" s="1"/>
  <c r="C729" i="3"/>
  <c r="J729" i="3" s="1"/>
  <c r="C728" i="3"/>
  <c r="J728" i="3" s="1"/>
  <c r="C727" i="3"/>
  <c r="J727" i="3" s="1"/>
  <c r="C726" i="3"/>
  <c r="J726" i="3" s="1"/>
  <c r="C725" i="3"/>
  <c r="J725" i="3" s="1"/>
  <c r="C724" i="3"/>
  <c r="J724" i="3" s="1"/>
  <c r="C723" i="3"/>
  <c r="J723" i="3" s="1"/>
  <c r="C722" i="3"/>
  <c r="J722" i="3" s="1"/>
  <c r="C721" i="3"/>
  <c r="J721" i="3" s="1"/>
  <c r="C720" i="3"/>
  <c r="J720" i="3" s="1"/>
  <c r="C719" i="3"/>
  <c r="J719" i="3" s="1"/>
  <c r="C718" i="3"/>
  <c r="J718" i="3" s="1"/>
  <c r="C717" i="3"/>
  <c r="J717" i="3" s="1"/>
  <c r="C716" i="3"/>
  <c r="J716" i="3" s="1"/>
  <c r="C715" i="3"/>
  <c r="J715" i="3" s="1"/>
  <c r="C714" i="3"/>
  <c r="J714" i="3" s="1"/>
  <c r="C713" i="3"/>
  <c r="J713" i="3" s="1"/>
  <c r="C712" i="3"/>
  <c r="J712" i="3" s="1"/>
  <c r="C711" i="3"/>
  <c r="J711" i="3" s="1"/>
  <c r="C710" i="3"/>
  <c r="J710" i="3" s="1"/>
  <c r="C709" i="3"/>
  <c r="J709" i="3" s="1"/>
  <c r="C708" i="3"/>
  <c r="J708" i="3" s="1"/>
  <c r="C707" i="3"/>
  <c r="J707" i="3" s="1"/>
  <c r="C706" i="3"/>
  <c r="J706" i="3" s="1"/>
  <c r="C705" i="3"/>
  <c r="J705" i="3" s="1"/>
  <c r="C704" i="3"/>
  <c r="J704" i="3" s="1"/>
  <c r="C703" i="3"/>
  <c r="J703" i="3" s="1"/>
  <c r="C702" i="3"/>
  <c r="J702" i="3" s="1"/>
  <c r="C701" i="3"/>
  <c r="J701" i="3" s="1"/>
  <c r="C700" i="3"/>
  <c r="J700" i="3" s="1"/>
  <c r="C699" i="3"/>
  <c r="J699" i="3" s="1"/>
  <c r="C698" i="3"/>
  <c r="J698" i="3" s="1"/>
  <c r="C697" i="3"/>
  <c r="J697" i="3" s="1"/>
  <c r="C696" i="3"/>
  <c r="J696" i="3" s="1"/>
  <c r="C695" i="3"/>
  <c r="C694" i="3"/>
  <c r="C693" i="3"/>
  <c r="C692" i="3"/>
  <c r="C691" i="3"/>
  <c r="J691" i="3" s="1"/>
  <c r="C690" i="3"/>
  <c r="C689" i="3"/>
  <c r="C688" i="3"/>
  <c r="C687" i="3"/>
  <c r="C686" i="3"/>
  <c r="C685" i="3"/>
  <c r="J685" i="3" s="1"/>
  <c r="C684" i="3"/>
  <c r="C683" i="3"/>
  <c r="C682" i="3"/>
  <c r="J682" i="3" s="1"/>
  <c r="C681" i="3"/>
  <c r="C680" i="3"/>
  <c r="C679" i="3"/>
  <c r="C678" i="3"/>
  <c r="C677" i="3"/>
  <c r="C676" i="3"/>
  <c r="J676" i="3" s="1"/>
  <c r="C675" i="3"/>
  <c r="J675" i="3" s="1"/>
  <c r="C674" i="3"/>
  <c r="J674" i="3" s="1"/>
  <c r="C673" i="3"/>
  <c r="J673" i="3" s="1"/>
  <c r="C672" i="3"/>
  <c r="J672" i="3" s="1"/>
  <c r="C671" i="3"/>
  <c r="J671" i="3" s="1"/>
  <c r="C670" i="3"/>
  <c r="J670" i="3" s="1"/>
  <c r="C669" i="3"/>
  <c r="J669" i="3" s="1"/>
  <c r="C668" i="3"/>
  <c r="J668" i="3" s="1"/>
  <c r="C667" i="3"/>
  <c r="J667" i="3" s="1"/>
  <c r="C666" i="3"/>
  <c r="J666" i="3" s="1"/>
  <c r="C665" i="3"/>
  <c r="J665" i="3" s="1"/>
  <c r="C664" i="3"/>
  <c r="J664" i="3" s="1"/>
  <c r="C663" i="3"/>
  <c r="J663" i="3" s="1"/>
  <c r="C662" i="3"/>
  <c r="J662" i="3" s="1"/>
  <c r="C661" i="3"/>
  <c r="J661" i="3" s="1"/>
  <c r="C660" i="3"/>
  <c r="J660" i="3" s="1"/>
  <c r="C659" i="3"/>
  <c r="J659" i="3" s="1"/>
  <c r="C658" i="3"/>
  <c r="J658" i="3" s="1"/>
  <c r="C657" i="3"/>
  <c r="J657" i="3" s="1"/>
  <c r="C656" i="3"/>
  <c r="J656" i="3" s="1"/>
  <c r="C655" i="3"/>
  <c r="J655" i="3" s="1"/>
  <c r="C654" i="3"/>
  <c r="J654" i="3" s="1"/>
  <c r="C653" i="3"/>
  <c r="J653" i="3" s="1"/>
  <c r="C652" i="3"/>
  <c r="J652" i="3" s="1"/>
  <c r="C651" i="3"/>
  <c r="J651" i="3" s="1"/>
  <c r="C650" i="3"/>
  <c r="J650" i="3" s="1"/>
  <c r="C649" i="3"/>
  <c r="J649" i="3" s="1"/>
  <c r="C648" i="3"/>
  <c r="J648" i="3" s="1"/>
  <c r="C647" i="3"/>
  <c r="J647" i="3" s="1"/>
  <c r="C646" i="3"/>
  <c r="J646" i="3" s="1"/>
  <c r="C645" i="3"/>
  <c r="J645" i="3" s="1"/>
  <c r="C644" i="3"/>
  <c r="J644" i="3" s="1"/>
  <c r="C643" i="3"/>
  <c r="J643" i="3" s="1"/>
  <c r="C642" i="3"/>
  <c r="J642" i="3" s="1"/>
  <c r="C641" i="3"/>
  <c r="J641" i="3" s="1"/>
  <c r="C640" i="3"/>
  <c r="J640" i="3" s="1"/>
  <c r="C639" i="3"/>
  <c r="J639" i="3" s="1"/>
  <c r="C638" i="3"/>
  <c r="J638" i="3" s="1"/>
  <c r="C637" i="3"/>
  <c r="J637" i="3" s="1"/>
  <c r="C636" i="3"/>
  <c r="J636" i="3" s="1"/>
  <c r="C635" i="3"/>
  <c r="J635" i="3" s="1"/>
  <c r="C634" i="3"/>
  <c r="J634" i="3" s="1"/>
  <c r="C633" i="3"/>
  <c r="J633" i="3" s="1"/>
  <c r="C632" i="3"/>
  <c r="J632" i="3" s="1"/>
  <c r="C631" i="3"/>
  <c r="J631" i="3" s="1"/>
  <c r="C630" i="3"/>
  <c r="J630" i="3" s="1"/>
  <c r="C629" i="3"/>
  <c r="J629" i="3" s="1"/>
  <c r="C628" i="3"/>
  <c r="J628" i="3" s="1"/>
  <c r="C627" i="3"/>
  <c r="J627" i="3" s="1"/>
  <c r="C626" i="3"/>
  <c r="J626" i="3" s="1"/>
  <c r="C625" i="3"/>
  <c r="J625" i="3" s="1"/>
  <c r="C624" i="3"/>
  <c r="J624" i="3" s="1"/>
  <c r="C623" i="3"/>
  <c r="J623" i="3" s="1"/>
  <c r="C622" i="3"/>
  <c r="J622" i="3" s="1"/>
  <c r="C621" i="3"/>
  <c r="J621" i="3" s="1"/>
  <c r="C620" i="3"/>
  <c r="J620" i="3" s="1"/>
  <c r="C619" i="3"/>
  <c r="J619" i="3" s="1"/>
  <c r="C618" i="3"/>
  <c r="J618" i="3" s="1"/>
  <c r="C617" i="3"/>
  <c r="J617" i="3" s="1"/>
  <c r="C616" i="3"/>
  <c r="J616" i="3" s="1"/>
  <c r="C615" i="3"/>
  <c r="J615" i="3" s="1"/>
  <c r="C614" i="3"/>
  <c r="J614" i="3" s="1"/>
  <c r="C613" i="3"/>
  <c r="J613" i="3" s="1"/>
  <c r="C612" i="3"/>
  <c r="J612" i="3" s="1"/>
  <c r="C611" i="3"/>
  <c r="J611" i="3" s="1"/>
  <c r="C610" i="3"/>
  <c r="J610" i="3" s="1"/>
  <c r="C609" i="3"/>
  <c r="J609" i="3" s="1"/>
  <c r="C608" i="3"/>
  <c r="J608" i="3" s="1"/>
  <c r="C607" i="3"/>
  <c r="J607" i="3" s="1"/>
  <c r="C606" i="3"/>
  <c r="J606" i="3" s="1"/>
  <c r="C605" i="3"/>
  <c r="J605" i="3" s="1"/>
  <c r="C604" i="3"/>
  <c r="J604" i="3" s="1"/>
  <c r="C603" i="3"/>
  <c r="J603" i="3" s="1"/>
  <c r="C602" i="3"/>
  <c r="J602" i="3" s="1"/>
  <c r="C601" i="3"/>
  <c r="J601" i="3" s="1"/>
  <c r="C600" i="3"/>
  <c r="J600" i="3" s="1"/>
  <c r="C599" i="3"/>
  <c r="J599" i="3" s="1"/>
  <c r="C598" i="3"/>
  <c r="J598" i="3" s="1"/>
  <c r="C597" i="3"/>
  <c r="J597" i="3" s="1"/>
  <c r="C596" i="3"/>
  <c r="J596" i="3" s="1"/>
  <c r="C595" i="3"/>
  <c r="J595" i="3" s="1"/>
  <c r="C594" i="3"/>
  <c r="J594" i="3" s="1"/>
  <c r="C593" i="3"/>
  <c r="J593" i="3" s="1"/>
  <c r="C592" i="3"/>
  <c r="J592" i="3" s="1"/>
  <c r="C591" i="3"/>
  <c r="J591" i="3" s="1"/>
  <c r="C590" i="3"/>
  <c r="J590" i="3" s="1"/>
  <c r="C589" i="3"/>
  <c r="J589" i="3" s="1"/>
  <c r="C588" i="3"/>
  <c r="J588" i="3" s="1"/>
  <c r="C587" i="3"/>
  <c r="J587" i="3" s="1"/>
  <c r="C586" i="3"/>
  <c r="J586" i="3" s="1"/>
  <c r="C585" i="3"/>
  <c r="J585" i="3" s="1"/>
  <c r="C584" i="3"/>
  <c r="J584" i="3" s="1"/>
  <c r="C583" i="3"/>
  <c r="J583" i="3" s="1"/>
  <c r="C582" i="3"/>
  <c r="J582" i="3" s="1"/>
  <c r="C581" i="3"/>
  <c r="J581" i="3" s="1"/>
  <c r="C580" i="3"/>
  <c r="J580" i="3" s="1"/>
  <c r="C579" i="3"/>
  <c r="J579" i="3" s="1"/>
  <c r="C578" i="3"/>
  <c r="J578" i="3" s="1"/>
  <c r="C577" i="3"/>
  <c r="J577" i="3" s="1"/>
  <c r="C576" i="3"/>
  <c r="J576" i="3" s="1"/>
  <c r="C575" i="3"/>
  <c r="J575" i="3" s="1"/>
  <c r="C574" i="3"/>
  <c r="J574" i="3" s="1"/>
  <c r="C573" i="3"/>
  <c r="J573" i="3" s="1"/>
  <c r="C572" i="3"/>
  <c r="J572" i="3" s="1"/>
  <c r="C571" i="3"/>
  <c r="J571" i="3" s="1"/>
  <c r="C570" i="3"/>
  <c r="J570" i="3" s="1"/>
  <c r="C569" i="3"/>
  <c r="J569" i="3" s="1"/>
  <c r="C568" i="3"/>
  <c r="J568" i="3" s="1"/>
  <c r="C567" i="3"/>
  <c r="J567" i="3" s="1"/>
  <c r="C566" i="3"/>
  <c r="J566" i="3" s="1"/>
  <c r="C565" i="3"/>
  <c r="J565" i="3" s="1"/>
  <c r="C564" i="3"/>
  <c r="J564" i="3" s="1"/>
  <c r="C563" i="3"/>
  <c r="J563" i="3" s="1"/>
  <c r="C562" i="3"/>
  <c r="J562" i="3" s="1"/>
  <c r="C561" i="3"/>
  <c r="J561" i="3" s="1"/>
  <c r="C560" i="3"/>
  <c r="J560" i="3" s="1"/>
  <c r="C559" i="3"/>
  <c r="J559" i="3" s="1"/>
  <c r="C558" i="3"/>
  <c r="J558" i="3" s="1"/>
  <c r="C557" i="3"/>
  <c r="J557" i="3" s="1"/>
  <c r="C556" i="3"/>
  <c r="J556" i="3" s="1"/>
  <c r="C555" i="3"/>
  <c r="J555" i="3" s="1"/>
  <c r="C554" i="3"/>
  <c r="J554" i="3" s="1"/>
  <c r="C553" i="3"/>
  <c r="J553" i="3" s="1"/>
  <c r="C552" i="3"/>
  <c r="J552" i="3" s="1"/>
  <c r="C551" i="3"/>
  <c r="J551" i="3" s="1"/>
  <c r="C550" i="3"/>
  <c r="J550" i="3" s="1"/>
  <c r="C549" i="3"/>
  <c r="J549" i="3" s="1"/>
  <c r="C548" i="3"/>
  <c r="J548" i="3" s="1"/>
  <c r="C547" i="3"/>
  <c r="J547" i="3" s="1"/>
  <c r="C546" i="3"/>
  <c r="J546" i="3" s="1"/>
  <c r="C545" i="3"/>
  <c r="J545" i="3" s="1"/>
  <c r="C544" i="3"/>
  <c r="J544" i="3" s="1"/>
  <c r="C543" i="3"/>
  <c r="J543" i="3" s="1"/>
  <c r="C542" i="3"/>
  <c r="J542" i="3" s="1"/>
  <c r="C541" i="3"/>
  <c r="J541" i="3" s="1"/>
  <c r="C540" i="3"/>
  <c r="J540" i="3" s="1"/>
  <c r="C539" i="3"/>
  <c r="J539" i="3" s="1"/>
  <c r="C538" i="3"/>
  <c r="J538" i="3" s="1"/>
  <c r="C537" i="3"/>
  <c r="J537" i="3" s="1"/>
  <c r="C536" i="3"/>
  <c r="J536" i="3" s="1"/>
  <c r="C535" i="3"/>
  <c r="J535" i="3" s="1"/>
  <c r="C534" i="3"/>
  <c r="J534" i="3" s="1"/>
  <c r="C533" i="3"/>
  <c r="J533" i="3" s="1"/>
  <c r="C532" i="3"/>
  <c r="J532" i="3" s="1"/>
  <c r="C531" i="3"/>
  <c r="J531" i="3" s="1"/>
  <c r="C530" i="3"/>
  <c r="J530" i="3" s="1"/>
  <c r="C529" i="3"/>
  <c r="J529" i="3" s="1"/>
  <c r="C528" i="3"/>
  <c r="J528" i="3" s="1"/>
  <c r="C527" i="3"/>
  <c r="J527" i="3" s="1"/>
  <c r="C526" i="3"/>
  <c r="J526" i="3" s="1"/>
  <c r="C525" i="3"/>
  <c r="J525" i="3" s="1"/>
  <c r="C524" i="3"/>
  <c r="J524" i="3" s="1"/>
  <c r="C523" i="3"/>
  <c r="J523" i="3" s="1"/>
  <c r="C522" i="3"/>
  <c r="J522" i="3" s="1"/>
  <c r="C521" i="3"/>
  <c r="J521" i="3" s="1"/>
  <c r="C520" i="3"/>
  <c r="J520" i="3" s="1"/>
  <c r="C519" i="3"/>
  <c r="J519" i="3" s="1"/>
  <c r="C518" i="3"/>
  <c r="J518" i="3" s="1"/>
  <c r="C517" i="3"/>
  <c r="J517" i="3" s="1"/>
  <c r="C516" i="3"/>
  <c r="J516" i="3" s="1"/>
  <c r="C515" i="3"/>
  <c r="J515" i="3" s="1"/>
  <c r="C514" i="3"/>
  <c r="J514" i="3" s="1"/>
  <c r="C513" i="3"/>
  <c r="J513" i="3" s="1"/>
  <c r="C512" i="3"/>
  <c r="J512" i="3" s="1"/>
  <c r="C511" i="3"/>
  <c r="J511" i="3" s="1"/>
  <c r="C510" i="3"/>
  <c r="J510" i="3" s="1"/>
  <c r="C509" i="3"/>
  <c r="J509" i="3" s="1"/>
  <c r="C508" i="3"/>
  <c r="J508" i="3" s="1"/>
  <c r="C507" i="3"/>
  <c r="J507" i="3" s="1"/>
  <c r="C506" i="3"/>
  <c r="J506" i="3" s="1"/>
  <c r="C505" i="3"/>
  <c r="J505" i="3" s="1"/>
  <c r="C504" i="3"/>
  <c r="J504" i="3" s="1"/>
  <c r="C503" i="3"/>
  <c r="J503" i="3" s="1"/>
  <c r="C502" i="3"/>
  <c r="J502" i="3" s="1"/>
  <c r="C501" i="3"/>
  <c r="J501" i="3" s="1"/>
  <c r="C500" i="3"/>
  <c r="J500" i="3" s="1"/>
  <c r="C499" i="3"/>
  <c r="J499" i="3" s="1"/>
  <c r="C498" i="3"/>
  <c r="J498" i="3" s="1"/>
  <c r="C497" i="3"/>
  <c r="J497" i="3" s="1"/>
  <c r="C496" i="3"/>
  <c r="J496" i="3" s="1"/>
  <c r="C495" i="3"/>
  <c r="J495" i="3" s="1"/>
  <c r="C494" i="3"/>
  <c r="J494" i="3" s="1"/>
  <c r="C493" i="3"/>
  <c r="J493" i="3" s="1"/>
  <c r="C492" i="3"/>
  <c r="J492" i="3" s="1"/>
  <c r="C491" i="3"/>
  <c r="J491" i="3" s="1"/>
  <c r="C490" i="3"/>
  <c r="J490" i="3" s="1"/>
  <c r="C489" i="3"/>
  <c r="J489" i="3" s="1"/>
  <c r="C488" i="3"/>
  <c r="J488" i="3" s="1"/>
  <c r="C487" i="3"/>
  <c r="J487" i="3" s="1"/>
  <c r="C486" i="3"/>
  <c r="J486" i="3" s="1"/>
  <c r="C485" i="3"/>
  <c r="J485" i="3" s="1"/>
  <c r="C484" i="3"/>
  <c r="J484" i="3" s="1"/>
  <c r="C483" i="3"/>
  <c r="J483" i="3" s="1"/>
  <c r="C482" i="3"/>
  <c r="J482" i="3" s="1"/>
  <c r="C481" i="3"/>
  <c r="J481" i="3" s="1"/>
  <c r="C480" i="3"/>
  <c r="J480" i="3" s="1"/>
  <c r="C479" i="3"/>
  <c r="J479" i="3" s="1"/>
  <c r="C478" i="3"/>
  <c r="J478" i="3" s="1"/>
  <c r="C477" i="3"/>
  <c r="J477" i="3" s="1"/>
  <c r="C476" i="3"/>
  <c r="J476" i="3" s="1"/>
  <c r="C475" i="3"/>
  <c r="J475" i="3" s="1"/>
  <c r="C474" i="3"/>
  <c r="J474" i="3" s="1"/>
  <c r="C473" i="3"/>
  <c r="J473" i="3" s="1"/>
  <c r="C472" i="3"/>
  <c r="J472" i="3" s="1"/>
  <c r="C471" i="3"/>
  <c r="J471" i="3" s="1"/>
  <c r="C470" i="3"/>
  <c r="J470" i="3" s="1"/>
  <c r="C469" i="3"/>
  <c r="J469" i="3" s="1"/>
  <c r="C468" i="3"/>
  <c r="J468" i="3" s="1"/>
  <c r="C467" i="3"/>
  <c r="J467" i="3" s="1"/>
  <c r="C466" i="3"/>
  <c r="J466" i="3" s="1"/>
  <c r="C465" i="3"/>
  <c r="J465" i="3" s="1"/>
  <c r="C464" i="3"/>
  <c r="J464" i="3" s="1"/>
  <c r="C463" i="3"/>
  <c r="J463" i="3" s="1"/>
  <c r="C462" i="3"/>
  <c r="J462" i="3" s="1"/>
  <c r="C461" i="3"/>
  <c r="J461" i="3" s="1"/>
  <c r="C460" i="3"/>
  <c r="J460" i="3" s="1"/>
  <c r="C459" i="3"/>
  <c r="J459" i="3" s="1"/>
  <c r="C458" i="3"/>
  <c r="J458" i="3" s="1"/>
  <c r="C457" i="3"/>
  <c r="J457" i="3" s="1"/>
  <c r="C456" i="3"/>
  <c r="J456" i="3" s="1"/>
  <c r="C455" i="3"/>
  <c r="J455" i="3" s="1"/>
  <c r="C454" i="3"/>
  <c r="J454" i="3" s="1"/>
  <c r="C453" i="3"/>
  <c r="J453" i="3" s="1"/>
  <c r="C452" i="3"/>
  <c r="J452" i="3" s="1"/>
  <c r="C451" i="3"/>
  <c r="J451" i="3" s="1"/>
  <c r="C450" i="3"/>
  <c r="J450" i="3" s="1"/>
  <c r="C449" i="3"/>
  <c r="J449" i="3" s="1"/>
  <c r="C448" i="3"/>
  <c r="J448" i="3" s="1"/>
  <c r="C447" i="3"/>
  <c r="J447" i="3" s="1"/>
  <c r="C446" i="3"/>
  <c r="J446" i="3" s="1"/>
  <c r="C445" i="3"/>
  <c r="J445" i="3" s="1"/>
  <c r="C444" i="3"/>
  <c r="J444" i="3" s="1"/>
  <c r="C443" i="3"/>
  <c r="J443" i="3" s="1"/>
  <c r="C442" i="3"/>
  <c r="J442" i="3" s="1"/>
  <c r="C441" i="3"/>
  <c r="J441" i="3" s="1"/>
  <c r="C440" i="3"/>
  <c r="J440" i="3" s="1"/>
  <c r="C439" i="3"/>
  <c r="J439" i="3" s="1"/>
  <c r="C438" i="3"/>
  <c r="J438" i="3" s="1"/>
  <c r="C437" i="3"/>
  <c r="J437" i="3" s="1"/>
  <c r="C436" i="3"/>
  <c r="J436" i="3" s="1"/>
  <c r="C435" i="3"/>
  <c r="J435" i="3" s="1"/>
  <c r="C434" i="3"/>
  <c r="J434" i="3" s="1"/>
  <c r="C433" i="3"/>
  <c r="J433" i="3" s="1"/>
  <c r="C432" i="3"/>
  <c r="J432" i="3" s="1"/>
  <c r="C431" i="3"/>
  <c r="J431" i="3" s="1"/>
  <c r="C430" i="3"/>
  <c r="J430" i="3" s="1"/>
  <c r="C429" i="3"/>
  <c r="J429" i="3" s="1"/>
  <c r="C428" i="3"/>
  <c r="J428" i="3" s="1"/>
  <c r="C427" i="3"/>
  <c r="J427" i="3" s="1"/>
  <c r="C426" i="3"/>
  <c r="J426" i="3" s="1"/>
  <c r="C425" i="3"/>
  <c r="J425" i="3" s="1"/>
  <c r="C424" i="3"/>
  <c r="J424" i="3" s="1"/>
  <c r="C423" i="3"/>
  <c r="J423" i="3" s="1"/>
  <c r="C422" i="3"/>
  <c r="J422" i="3" s="1"/>
  <c r="C421" i="3"/>
  <c r="J421" i="3" s="1"/>
  <c r="C420" i="3"/>
  <c r="J420" i="3" s="1"/>
  <c r="C419" i="3"/>
  <c r="J419" i="3" s="1"/>
  <c r="C418" i="3"/>
  <c r="J418" i="3" s="1"/>
  <c r="C417" i="3"/>
  <c r="J417" i="3" s="1"/>
  <c r="C416" i="3"/>
  <c r="J416" i="3" s="1"/>
  <c r="C415" i="3"/>
  <c r="J415" i="3" s="1"/>
  <c r="C414" i="3"/>
  <c r="J414" i="3" s="1"/>
  <c r="C413" i="3"/>
  <c r="J413" i="3" s="1"/>
  <c r="C412" i="3"/>
  <c r="J412" i="3" s="1"/>
  <c r="C411" i="3"/>
  <c r="J411" i="3" s="1"/>
  <c r="C410" i="3"/>
  <c r="J410" i="3" s="1"/>
  <c r="C409" i="3"/>
  <c r="J409" i="3" s="1"/>
  <c r="C408" i="3"/>
  <c r="J408" i="3" s="1"/>
  <c r="C407" i="3"/>
  <c r="J407" i="3" s="1"/>
  <c r="C406" i="3"/>
  <c r="J406" i="3" s="1"/>
  <c r="C405" i="3"/>
  <c r="J405" i="3" s="1"/>
  <c r="C404" i="3"/>
  <c r="J404" i="3" s="1"/>
  <c r="C403" i="3"/>
  <c r="J403" i="3" s="1"/>
  <c r="C402" i="3"/>
  <c r="J402" i="3" s="1"/>
  <c r="C401" i="3"/>
  <c r="J401" i="3" s="1"/>
  <c r="C400" i="3"/>
  <c r="J400" i="3" s="1"/>
  <c r="C399" i="3"/>
  <c r="J399" i="3" s="1"/>
  <c r="C398" i="3"/>
  <c r="J398" i="3" s="1"/>
  <c r="C397" i="3"/>
  <c r="J397" i="3" s="1"/>
  <c r="C396" i="3"/>
  <c r="J396" i="3" s="1"/>
  <c r="C395" i="3"/>
  <c r="J395" i="3" s="1"/>
  <c r="C394" i="3"/>
  <c r="J394" i="3" s="1"/>
  <c r="C393" i="3"/>
  <c r="J393" i="3" s="1"/>
  <c r="C392" i="3"/>
  <c r="J392" i="3" s="1"/>
  <c r="C391" i="3"/>
  <c r="J391" i="3" s="1"/>
  <c r="C390" i="3"/>
  <c r="J390" i="3" s="1"/>
  <c r="C389" i="3"/>
  <c r="J389" i="3" s="1"/>
  <c r="C388" i="3"/>
  <c r="J388" i="3" s="1"/>
  <c r="C387" i="3"/>
  <c r="J387" i="3" s="1"/>
  <c r="C386" i="3"/>
  <c r="J386" i="3" s="1"/>
  <c r="C385" i="3"/>
  <c r="J385" i="3" s="1"/>
  <c r="C384" i="3"/>
  <c r="J384" i="3" s="1"/>
  <c r="C383" i="3"/>
  <c r="J383" i="3" s="1"/>
  <c r="C382" i="3"/>
  <c r="J382" i="3" s="1"/>
  <c r="C381" i="3"/>
  <c r="J381" i="3" s="1"/>
  <c r="C380" i="3"/>
  <c r="J380" i="3" s="1"/>
  <c r="C379" i="3"/>
  <c r="J379" i="3" s="1"/>
  <c r="C378" i="3"/>
  <c r="J378" i="3" s="1"/>
  <c r="C377" i="3"/>
  <c r="J377" i="3" s="1"/>
  <c r="C376" i="3"/>
  <c r="J376" i="3" s="1"/>
  <c r="C375" i="3"/>
  <c r="J375" i="3" s="1"/>
  <c r="C374" i="3"/>
  <c r="J374" i="3" s="1"/>
  <c r="C373" i="3"/>
  <c r="J373" i="3" s="1"/>
  <c r="C372" i="3"/>
  <c r="J372" i="3" s="1"/>
  <c r="C371" i="3"/>
  <c r="J371" i="3" s="1"/>
  <c r="C370" i="3"/>
  <c r="J370" i="3" s="1"/>
  <c r="C369" i="3"/>
  <c r="J369" i="3" s="1"/>
  <c r="C368" i="3"/>
  <c r="J368" i="3" s="1"/>
  <c r="C367" i="3"/>
  <c r="J367" i="3" s="1"/>
  <c r="C366" i="3"/>
  <c r="J366" i="3" s="1"/>
  <c r="C365" i="3"/>
  <c r="J365" i="3" s="1"/>
  <c r="C364" i="3"/>
  <c r="J364" i="3" s="1"/>
  <c r="C363" i="3"/>
  <c r="J363" i="3" s="1"/>
  <c r="C362" i="3"/>
  <c r="J362" i="3" s="1"/>
  <c r="C361" i="3"/>
  <c r="J361" i="3" s="1"/>
  <c r="C360" i="3"/>
  <c r="J360" i="3" s="1"/>
  <c r="C359" i="3"/>
  <c r="J359" i="3" s="1"/>
  <c r="C358" i="3"/>
  <c r="J358" i="3" s="1"/>
  <c r="C357" i="3"/>
  <c r="J357" i="3" s="1"/>
  <c r="C356" i="3"/>
  <c r="J356" i="3" s="1"/>
  <c r="C355" i="3"/>
  <c r="J355" i="3" s="1"/>
  <c r="C354" i="3"/>
  <c r="J354" i="3" s="1"/>
  <c r="C353" i="3"/>
  <c r="J353" i="3" s="1"/>
  <c r="C352" i="3"/>
  <c r="J352" i="3" s="1"/>
  <c r="C351" i="3"/>
  <c r="J351" i="3" s="1"/>
  <c r="C350" i="3"/>
  <c r="C349" i="3"/>
  <c r="C348" i="3"/>
  <c r="C347" i="3"/>
  <c r="J347" i="3" s="1"/>
  <c r="C346" i="3"/>
  <c r="J346" i="3" s="1"/>
  <c r="C345" i="3"/>
  <c r="H345" i="3" s="1"/>
  <c r="C344" i="3"/>
  <c r="C343" i="3"/>
  <c r="J343" i="3" s="1"/>
  <c r="C342" i="3"/>
  <c r="C341" i="3"/>
  <c r="J341" i="3" s="1"/>
  <c r="C340" i="3"/>
  <c r="J340" i="3" s="1"/>
  <c r="C339" i="3"/>
  <c r="C338" i="3"/>
  <c r="C337" i="3"/>
  <c r="C336" i="3"/>
  <c r="C335" i="3"/>
  <c r="C334" i="3"/>
  <c r="C333" i="3"/>
  <c r="C332" i="3"/>
  <c r="C331" i="3"/>
  <c r="J331" i="3" s="1"/>
  <c r="C330" i="3"/>
  <c r="J330" i="3" s="1"/>
  <c r="C329" i="3"/>
  <c r="J329" i="3" s="1"/>
  <c r="C328" i="3"/>
  <c r="J328" i="3" s="1"/>
  <c r="C327" i="3"/>
  <c r="J327" i="3" s="1"/>
  <c r="C326" i="3"/>
  <c r="J326" i="3" s="1"/>
  <c r="C325" i="3"/>
  <c r="J325" i="3" s="1"/>
  <c r="C324" i="3"/>
  <c r="J324" i="3" s="1"/>
  <c r="C323" i="3"/>
  <c r="J323" i="3" s="1"/>
  <c r="C322" i="3"/>
  <c r="J322" i="3" s="1"/>
  <c r="C321" i="3"/>
  <c r="J321" i="3" s="1"/>
  <c r="C320" i="3"/>
  <c r="J320" i="3" s="1"/>
  <c r="C319" i="3"/>
  <c r="J319" i="3" s="1"/>
  <c r="C318" i="3"/>
  <c r="J318" i="3" s="1"/>
  <c r="C317" i="3"/>
  <c r="J317" i="3" s="1"/>
  <c r="C316" i="3"/>
  <c r="J316" i="3" s="1"/>
  <c r="C315" i="3"/>
  <c r="J315" i="3" s="1"/>
  <c r="C314" i="3"/>
  <c r="J314" i="3" s="1"/>
  <c r="C313" i="3"/>
  <c r="J313" i="3" s="1"/>
  <c r="C312" i="3"/>
  <c r="J312" i="3" s="1"/>
  <c r="C311" i="3"/>
  <c r="J311" i="3" s="1"/>
  <c r="C310" i="3"/>
  <c r="J310" i="3" s="1"/>
  <c r="C309" i="3"/>
  <c r="J309" i="3" s="1"/>
  <c r="C308" i="3"/>
  <c r="J308" i="3" s="1"/>
  <c r="C307" i="3"/>
  <c r="J307" i="3" s="1"/>
  <c r="C306" i="3"/>
  <c r="J306" i="3" s="1"/>
  <c r="C305" i="3"/>
  <c r="J305" i="3" s="1"/>
  <c r="C304" i="3"/>
  <c r="J304" i="3" s="1"/>
  <c r="C303" i="3"/>
  <c r="J303" i="3" s="1"/>
  <c r="C302" i="3"/>
  <c r="J302" i="3" s="1"/>
  <c r="C301" i="3"/>
  <c r="J301" i="3" s="1"/>
  <c r="C300" i="3"/>
  <c r="J300" i="3" s="1"/>
  <c r="C299" i="3"/>
  <c r="J299" i="3" s="1"/>
  <c r="C298" i="3"/>
  <c r="J298" i="3" s="1"/>
  <c r="C297" i="3"/>
  <c r="J297" i="3" s="1"/>
  <c r="C296" i="3"/>
  <c r="J296" i="3" s="1"/>
  <c r="C295" i="3"/>
  <c r="J295" i="3" s="1"/>
  <c r="C294" i="3"/>
  <c r="J294" i="3" s="1"/>
  <c r="C293" i="3"/>
  <c r="J293" i="3" s="1"/>
  <c r="C292" i="3"/>
  <c r="J292" i="3" s="1"/>
  <c r="C291" i="3"/>
  <c r="J291" i="3" s="1"/>
  <c r="C290" i="3"/>
  <c r="J290" i="3" s="1"/>
  <c r="C289" i="3"/>
  <c r="J289" i="3" s="1"/>
  <c r="C288" i="3"/>
  <c r="J288" i="3" s="1"/>
  <c r="C287" i="3"/>
  <c r="J287" i="3" s="1"/>
  <c r="C286" i="3"/>
  <c r="J286" i="3" s="1"/>
  <c r="C285" i="3"/>
  <c r="J285" i="3" s="1"/>
  <c r="C284" i="3"/>
  <c r="J284" i="3" s="1"/>
  <c r="C283" i="3"/>
  <c r="J283" i="3" s="1"/>
  <c r="C282" i="3"/>
  <c r="J282" i="3" s="1"/>
  <c r="C281" i="3"/>
  <c r="J281" i="3" s="1"/>
  <c r="C280" i="3"/>
  <c r="J280" i="3" s="1"/>
  <c r="C279" i="3"/>
  <c r="J279" i="3" s="1"/>
  <c r="C278" i="3"/>
  <c r="J278" i="3" s="1"/>
  <c r="C277" i="3"/>
  <c r="J277" i="3" s="1"/>
  <c r="C276" i="3"/>
  <c r="J276" i="3" s="1"/>
  <c r="C275" i="3"/>
  <c r="J275" i="3" s="1"/>
  <c r="C274" i="3"/>
  <c r="J274" i="3" s="1"/>
  <c r="C273" i="3"/>
  <c r="J273" i="3" s="1"/>
  <c r="C272" i="3"/>
  <c r="J272" i="3" s="1"/>
  <c r="C271" i="3"/>
  <c r="J271" i="3" s="1"/>
  <c r="C270" i="3"/>
  <c r="J270" i="3" s="1"/>
  <c r="C269" i="3"/>
  <c r="J269" i="3" s="1"/>
  <c r="C268" i="3"/>
  <c r="J268" i="3" s="1"/>
  <c r="C267" i="3"/>
  <c r="J267" i="3" s="1"/>
  <c r="C266" i="3"/>
  <c r="J266" i="3" s="1"/>
  <c r="C265" i="3"/>
  <c r="J265" i="3" s="1"/>
  <c r="C264" i="3"/>
  <c r="J264" i="3" s="1"/>
  <c r="C263" i="3"/>
  <c r="J263" i="3" s="1"/>
  <c r="C262" i="3"/>
  <c r="J262" i="3" s="1"/>
  <c r="C261" i="3"/>
  <c r="J261" i="3" s="1"/>
  <c r="C260" i="3"/>
  <c r="J260" i="3" s="1"/>
  <c r="C259" i="3"/>
  <c r="J259" i="3" s="1"/>
  <c r="C258" i="3"/>
  <c r="J258" i="3" s="1"/>
  <c r="C257" i="3"/>
  <c r="J257" i="3" s="1"/>
  <c r="C256" i="3"/>
  <c r="J256" i="3" s="1"/>
  <c r="C255" i="3"/>
  <c r="J255" i="3" s="1"/>
  <c r="C254" i="3"/>
  <c r="J254" i="3" s="1"/>
  <c r="C253" i="3"/>
  <c r="J253" i="3" s="1"/>
  <c r="C252" i="3"/>
  <c r="J252" i="3" s="1"/>
  <c r="C251" i="3"/>
  <c r="J251" i="3" s="1"/>
  <c r="C250" i="3"/>
  <c r="J250" i="3" s="1"/>
  <c r="C249" i="3"/>
  <c r="J249" i="3" s="1"/>
  <c r="C248" i="3"/>
  <c r="J248" i="3" s="1"/>
  <c r="C247" i="3"/>
  <c r="J247" i="3" s="1"/>
  <c r="C246" i="3"/>
  <c r="J246" i="3" s="1"/>
  <c r="C245" i="3"/>
  <c r="J245" i="3" s="1"/>
  <c r="C244" i="3"/>
  <c r="J244" i="3" s="1"/>
  <c r="C243" i="3"/>
  <c r="J243" i="3" s="1"/>
  <c r="C242" i="3"/>
  <c r="J242" i="3" s="1"/>
  <c r="C241" i="3"/>
  <c r="J241" i="3" s="1"/>
  <c r="C240" i="3"/>
  <c r="J240" i="3" s="1"/>
  <c r="C239" i="3"/>
  <c r="J239" i="3" s="1"/>
  <c r="C238" i="3"/>
  <c r="J238" i="3" s="1"/>
  <c r="C237" i="3"/>
  <c r="J237" i="3" s="1"/>
  <c r="C236" i="3"/>
  <c r="J236" i="3" s="1"/>
  <c r="C235" i="3"/>
  <c r="J235" i="3" s="1"/>
  <c r="C234" i="3"/>
  <c r="J234" i="3" s="1"/>
  <c r="C233" i="3"/>
  <c r="J233" i="3" s="1"/>
  <c r="C232" i="3"/>
  <c r="J232" i="3" s="1"/>
  <c r="C231" i="3"/>
  <c r="J231" i="3" s="1"/>
  <c r="C230" i="3"/>
  <c r="J230" i="3" s="1"/>
  <c r="C229" i="3"/>
  <c r="J229" i="3" s="1"/>
  <c r="C228" i="3"/>
  <c r="J228" i="3" s="1"/>
  <c r="C227" i="3"/>
  <c r="J227" i="3" s="1"/>
  <c r="C226" i="3"/>
  <c r="J226" i="3" s="1"/>
  <c r="C225" i="3"/>
  <c r="J225" i="3" s="1"/>
  <c r="C224" i="3"/>
  <c r="J224" i="3" s="1"/>
  <c r="C223" i="3"/>
  <c r="J223" i="3" s="1"/>
  <c r="C222" i="3"/>
  <c r="J222" i="3" s="1"/>
  <c r="C221" i="3"/>
  <c r="J221" i="3" s="1"/>
  <c r="C220" i="3"/>
  <c r="J220" i="3" s="1"/>
  <c r="C219" i="3"/>
  <c r="J219" i="3" s="1"/>
  <c r="C218" i="3"/>
  <c r="J218" i="3" s="1"/>
  <c r="C217" i="3"/>
  <c r="J217" i="3" s="1"/>
  <c r="C216" i="3"/>
  <c r="J216" i="3" s="1"/>
  <c r="C215" i="3"/>
  <c r="J215" i="3" s="1"/>
  <c r="C214" i="3"/>
  <c r="J214" i="3" s="1"/>
  <c r="C213" i="3"/>
  <c r="J213" i="3" s="1"/>
  <c r="C212" i="3"/>
  <c r="J212" i="3" s="1"/>
  <c r="C211" i="3"/>
  <c r="J211" i="3" s="1"/>
  <c r="C210" i="3"/>
  <c r="J210" i="3" s="1"/>
  <c r="C209" i="3"/>
  <c r="J209" i="3" s="1"/>
  <c r="C208" i="3"/>
  <c r="J208" i="3" s="1"/>
  <c r="C207" i="3"/>
  <c r="J207" i="3" s="1"/>
  <c r="C206" i="3"/>
  <c r="J206" i="3" s="1"/>
  <c r="C205" i="3"/>
  <c r="J205" i="3" s="1"/>
  <c r="C204" i="3"/>
  <c r="J204" i="3" s="1"/>
  <c r="C203" i="3"/>
  <c r="J203" i="3" s="1"/>
  <c r="C202" i="3"/>
  <c r="J202" i="3" s="1"/>
  <c r="C201" i="3"/>
  <c r="J201" i="3" s="1"/>
  <c r="C200" i="3"/>
  <c r="J200" i="3" s="1"/>
  <c r="C199" i="3"/>
  <c r="J199" i="3" s="1"/>
  <c r="C198" i="3"/>
  <c r="J198" i="3" s="1"/>
  <c r="C197" i="3"/>
  <c r="J197" i="3" s="1"/>
  <c r="C196" i="3"/>
  <c r="J196" i="3" s="1"/>
  <c r="C195" i="3"/>
  <c r="J195" i="3" s="1"/>
  <c r="C194" i="3"/>
  <c r="J194" i="3" s="1"/>
  <c r="C193" i="3"/>
  <c r="J193" i="3" s="1"/>
  <c r="C192" i="3"/>
  <c r="J192" i="3" s="1"/>
  <c r="C191" i="3"/>
  <c r="J191" i="3" s="1"/>
  <c r="C190" i="3"/>
  <c r="J190" i="3" s="1"/>
  <c r="C189" i="3"/>
  <c r="J189" i="3" s="1"/>
  <c r="C188" i="3"/>
  <c r="J188" i="3" s="1"/>
  <c r="C187" i="3"/>
  <c r="J187" i="3" s="1"/>
  <c r="C186" i="3"/>
  <c r="J186" i="3" s="1"/>
  <c r="C185" i="3"/>
  <c r="J185" i="3" s="1"/>
  <c r="C184" i="3"/>
  <c r="J184" i="3" s="1"/>
  <c r="C183" i="3"/>
  <c r="J183" i="3" s="1"/>
  <c r="C182" i="3"/>
  <c r="J182" i="3" s="1"/>
  <c r="C181" i="3"/>
  <c r="J181" i="3" s="1"/>
  <c r="C180" i="3"/>
  <c r="J180" i="3" s="1"/>
  <c r="C179" i="3"/>
  <c r="J179" i="3" s="1"/>
  <c r="C178" i="3"/>
  <c r="J178" i="3" s="1"/>
  <c r="C177" i="3"/>
  <c r="J177" i="3" s="1"/>
  <c r="C176" i="3"/>
  <c r="J176" i="3" s="1"/>
  <c r="C175" i="3"/>
  <c r="J175" i="3" s="1"/>
  <c r="C174" i="3"/>
  <c r="J174" i="3" s="1"/>
  <c r="C173" i="3"/>
  <c r="J173" i="3" s="1"/>
  <c r="C172" i="3"/>
  <c r="J172" i="3" s="1"/>
  <c r="C171" i="3"/>
  <c r="J171" i="3" s="1"/>
  <c r="C170" i="3"/>
  <c r="J170" i="3" s="1"/>
  <c r="C169" i="3"/>
  <c r="J169" i="3" s="1"/>
  <c r="C168" i="3"/>
  <c r="J168" i="3" s="1"/>
  <c r="C167" i="3"/>
  <c r="J167" i="3" s="1"/>
  <c r="C166" i="3"/>
  <c r="J166" i="3" s="1"/>
  <c r="C165" i="3"/>
  <c r="J165" i="3" s="1"/>
  <c r="C164" i="3"/>
  <c r="J164" i="3" s="1"/>
  <c r="C163" i="3"/>
  <c r="J163" i="3" s="1"/>
  <c r="C162" i="3"/>
  <c r="J162" i="3" s="1"/>
  <c r="C161" i="3"/>
  <c r="J161" i="3" s="1"/>
  <c r="C160" i="3"/>
  <c r="J160" i="3" s="1"/>
  <c r="C159" i="3"/>
  <c r="J159" i="3" s="1"/>
  <c r="C158" i="3"/>
  <c r="J158" i="3" s="1"/>
  <c r="C157" i="3"/>
  <c r="J157" i="3" s="1"/>
  <c r="C156" i="3"/>
  <c r="J156" i="3" s="1"/>
  <c r="C155" i="3"/>
  <c r="J155" i="3" s="1"/>
  <c r="C154" i="3"/>
  <c r="J154" i="3" s="1"/>
  <c r="C153" i="3"/>
  <c r="J153" i="3" s="1"/>
  <c r="C152" i="3"/>
  <c r="J152" i="3" s="1"/>
  <c r="C151" i="3"/>
  <c r="J151" i="3" s="1"/>
  <c r="C150" i="3"/>
  <c r="J150" i="3" s="1"/>
  <c r="C149" i="3"/>
  <c r="J149" i="3" s="1"/>
  <c r="C148" i="3"/>
  <c r="J148" i="3" s="1"/>
  <c r="C147" i="3"/>
  <c r="J147" i="3" s="1"/>
  <c r="C146" i="3"/>
  <c r="J146" i="3" s="1"/>
  <c r="C145" i="3"/>
  <c r="J145" i="3" s="1"/>
  <c r="C144" i="3"/>
  <c r="J144" i="3" s="1"/>
  <c r="C143" i="3"/>
  <c r="J143" i="3" s="1"/>
  <c r="C142" i="3"/>
  <c r="J142" i="3" s="1"/>
  <c r="C141" i="3"/>
  <c r="J141" i="3" s="1"/>
  <c r="C140" i="3"/>
  <c r="J140" i="3" s="1"/>
  <c r="C139" i="3"/>
  <c r="J139" i="3" s="1"/>
  <c r="C138" i="3"/>
  <c r="J138" i="3" s="1"/>
  <c r="C137" i="3"/>
  <c r="J137" i="3" s="1"/>
  <c r="C136" i="3"/>
  <c r="J136" i="3" s="1"/>
  <c r="C135" i="3"/>
  <c r="J135" i="3" s="1"/>
  <c r="C134" i="3"/>
  <c r="J134" i="3" s="1"/>
  <c r="C133" i="3"/>
  <c r="J133" i="3" s="1"/>
  <c r="C132" i="3"/>
  <c r="J132" i="3" s="1"/>
  <c r="C131" i="3"/>
  <c r="J131" i="3" s="1"/>
  <c r="C130" i="3"/>
  <c r="J130" i="3" s="1"/>
  <c r="C129" i="3"/>
  <c r="J129" i="3" s="1"/>
  <c r="C128" i="3"/>
  <c r="J128" i="3" s="1"/>
  <c r="C127" i="3"/>
  <c r="J127" i="3" s="1"/>
  <c r="C126" i="3"/>
  <c r="J126" i="3" s="1"/>
  <c r="C125" i="3"/>
  <c r="J125" i="3" s="1"/>
  <c r="C124" i="3"/>
  <c r="J124" i="3" s="1"/>
  <c r="C123" i="3"/>
  <c r="J123" i="3" s="1"/>
  <c r="C122" i="3"/>
  <c r="J122" i="3" s="1"/>
  <c r="C121" i="3"/>
  <c r="J121" i="3" s="1"/>
  <c r="C120" i="3"/>
  <c r="J120" i="3" s="1"/>
  <c r="C119" i="3"/>
  <c r="J119" i="3" s="1"/>
  <c r="C118" i="3"/>
  <c r="J118" i="3" s="1"/>
  <c r="C117" i="3"/>
  <c r="J117" i="3" s="1"/>
  <c r="C116" i="3"/>
  <c r="J116" i="3" s="1"/>
  <c r="C115" i="3"/>
  <c r="J115" i="3" s="1"/>
  <c r="C114" i="3"/>
  <c r="J114" i="3" s="1"/>
  <c r="C113" i="3"/>
  <c r="J113" i="3" s="1"/>
  <c r="C112" i="3"/>
  <c r="J112" i="3" s="1"/>
  <c r="C111" i="3"/>
  <c r="J111" i="3" s="1"/>
  <c r="C110" i="3"/>
  <c r="J110" i="3" s="1"/>
  <c r="C109" i="3"/>
  <c r="J109" i="3" s="1"/>
  <c r="C108" i="3"/>
  <c r="J108" i="3" s="1"/>
  <c r="C107" i="3"/>
  <c r="J107" i="3" s="1"/>
  <c r="C106" i="3"/>
  <c r="J106" i="3" s="1"/>
  <c r="C105" i="3"/>
  <c r="J105" i="3" s="1"/>
  <c r="C104" i="3"/>
  <c r="J104" i="3" s="1"/>
  <c r="C103" i="3"/>
  <c r="J103" i="3" s="1"/>
  <c r="C102" i="3"/>
  <c r="J102" i="3" s="1"/>
  <c r="C101" i="3"/>
  <c r="J101" i="3" s="1"/>
  <c r="C100" i="3"/>
  <c r="J100" i="3" s="1"/>
  <c r="C99" i="3"/>
  <c r="J99" i="3" s="1"/>
  <c r="C98" i="3"/>
  <c r="J98" i="3" s="1"/>
  <c r="C97" i="3"/>
  <c r="J97" i="3" s="1"/>
  <c r="C96" i="3"/>
  <c r="J96" i="3" s="1"/>
  <c r="C95" i="3"/>
  <c r="J95" i="3" s="1"/>
  <c r="C94" i="3"/>
  <c r="J94" i="3" s="1"/>
  <c r="C93" i="3"/>
  <c r="J93" i="3" s="1"/>
  <c r="C92" i="3"/>
  <c r="J92" i="3" s="1"/>
  <c r="C91" i="3"/>
  <c r="J91" i="3" s="1"/>
  <c r="C90" i="3"/>
  <c r="J90" i="3" s="1"/>
  <c r="C89" i="3"/>
  <c r="J89" i="3" s="1"/>
  <c r="C88" i="3"/>
  <c r="J88" i="3" s="1"/>
  <c r="C87" i="3"/>
  <c r="J87" i="3" s="1"/>
  <c r="C86" i="3"/>
  <c r="J86" i="3" s="1"/>
  <c r="C85" i="3"/>
  <c r="J85" i="3" s="1"/>
  <c r="C84" i="3"/>
  <c r="J84" i="3" s="1"/>
  <c r="C83" i="3"/>
  <c r="J83" i="3" s="1"/>
  <c r="C82" i="3"/>
  <c r="J82" i="3" s="1"/>
  <c r="C81" i="3"/>
  <c r="J81" i="3" s="1"/>
  <c r="C80" i="3"/>
  <c r="J80" i="3" s="1"/>
  <c r="C79" i="3"/>
  <c r="J79" i="3" s="1"/>
  <c r="C78" i="3"/>
  <c r="J78" i="3" s="1"/>
  <c r="C77" i="3"/>
  <c r="J77" i="3" s="1"/>
  <c r="C76" i="3"/>
  <c r="J76" i="3" s="1"/>
  <c r="C75" i="3"/>
  <c r="J75" i="3" s="1"/>
  <c r="C74" i="3"/>
  <c r="J74" i="3" s="1"/>
  <c r="C73" i="3"/>
  <c r="J73" i="3" s="1"/>
  <c r="C72" i="3"/>
  <c r="J72" i="3" s="1"/>
  <c r="C71" i="3"/>
  <c r="J71" i="3" s="1"/>
  <c r="C70" i="3"/>
  <c r="J70" i="3" s="1"/>
  <c r="C69" i="3"/>
  <c r="J69" i="3" s="1"/>
  <c r="C68" i="3"/>
  <c r="J68" i="3" s="1"/>
  <c r="C67" i="3"/>
  <c r="J67" i="3" s="1"/>
  <c r="C66" i="3"/>
  <c r="J66" i="3" s="1"/>
  <c r="C65" i="3"/>
  <c r="J65" i="3" s="1"/>
  <c r="C64" i="3"/>
  <c r="J64" i="3" s="1"/>
  <c r="C63" i="3"/>
  <c r="J63" i="3" s="1"/>
  <c r="C62" i="3"/>
  <c r="J62" i="3" s="1"/>
  <c r="C61" i="3"/>
  <c r="J61" i="3" s="1"/>
  <c r="C60" i="3"/>
  <c r="J60" i="3" s="1"/>
  <c r="C59" i="3"/>
  <c r="J59" i="3" s="1"/>
  <c r="C58" i="3"/>
  <c r="J58" i="3" s="1"/>
  <c r="C57" i="3"/>
  <c r="J57" i="3" s="1"/>
  <c r="C56" i="3"/>
  <c r="J56" i="3" s="1"/>
  <c r="C55" i="3"/>
  <c r="J55" i="3" s="1"/>
  <c r="C54" i="3"/>
  <c r="J54" i="3" s="1"/>
  <c r="C53" i="3"/>
  <c r="J53" i="3" s="1"/>
  <c r="C52" i="3"/>
  <c r="J52" i="3" s="1"/>
  <c r="C51" i="3"/>
  <c r="J51" i="3" s="1"/>
  <c r="C50" i="3"/>
  <c r="J50" i="3" s="1"/>
  <c r="C49" i="3"/>
  <c r="J49" i="3" s="1"/>
  <c r="C48" i="3"/>
  <c r="J48" i="3" s="1"/>
  <c r="C47" i="3"/>
  <c r="J47" i="3" s="1"/>
  <c r="C46" i="3"/>
  <c r="J46" i="3" s="1"/>
  <c r="C45" i="3"/>
  <c r="J45" i="3" s="1"/>
  <c r="C44" i="3"/>
  <c r="J44" i="3" s="1"/>
  <c r="C43" i="3"/>
  <c r="J43" i="3" s="1"/>
  <c r="C42" i="3"/>
  <c r="J42" i="3" s="1"/>
  <c r="C41" i="3"/>
  <c r="J41" i="3" s="1"/>
  <c r="C40" i="3"/>
  <c r="J40" i="3" s="1"/>
  <c r="C39" i="3"/>
  <c r="J39" i="3" s="1"/>
  <c r="C38" i="3"/>
  <c r="J38" i="3" s="1"/>
  <c r="C37" i="3"/>
  <c r="J37" i="3" s="1"/>
  <c r="C36" i="3"/>
  <c r="J36" i="3" s="1"/>
  <c r="C35" i="3"/>
  <c r="J35" i="3" s="1"/>
  <c r="C34" i="3"/>
  <c r="J34" i="3" s="1"/>
  <c r="C33" i="3"/>
  <c r="J33" i="3" s="1"/>
  <c r="C32" i="3"/>
  <c r="J32" i="3" s="1"/>
  <c r="C31" i="3"/>
  <c r="J31" i="3" s="1"/>
  <c r="C30" i="3"/>
  <c r="J30" i="3" s="1"/>
  <c r="C29" i="3"/>
  <c r="J29" i="3" s="1"/>
  <c r="C28" i="3"/>
  <c r="J28" i="3" s="1"/>
  <c r="C27" i="3"/>
  <c r="J27" i="3" s="1"/>
  <c r="C26" i="3"/>
  <c r="J26" i="3" s="1"/>
  <c r="C25" i="3"/>
  <c r="J25" i="3" s="1"/>
  <c r="C24" i="3"/>
  <c r="J24" i="3" s="1"/>
  <c r="C23" i="3"/>
  <c r="J23" i="3" s="1"/>
  <c r="C22" i="3"/>
  <c r="J22" i="3" s="1"/>
  <c r="C21" i="3"/>
  <c r="J21" i="3" s="1"/>
  <c r="C20" i="3"/>
  <c r="J20" i="3" s="1"/>
  <c r="C19" i="3"/>
  <c r="J19" i="3" s="1"/>
  <c r="C18" i="3"/>
  <c r="J18" i="3" s="1"/>
  <c r="C17" i="3"/>
  <c r="J17" i="3" s="1"/>
  <c r="C16" i="3"/>
  <c r="J16" i="3" s="1"/>
  <c r="C15" i="3"/>
  <c r="J15" i="3" s="1"/>
  <c r="C14" i="3"/>
  <c r="J14" i="3" s="1"/>
  <c r="C13" i="3"/>
  <c r="J13" i="3" s="1"/>
  <c r="C12" i="3"/>
  <c r="J12" i="3" s="1"/>
  <c r="C11" i="3"/>
  <c r="J11" i="3" s="1"/>
  <c r="C10" i="3"/>
  <c r="J10" i="3" s="1"/>
  <c r="C9" i="3"/>
  <c r="J9" i="3" s="1"/>
  <c r="C8" i="3"/>
  <c r="J8" i="3" s="1"/>
  <c r="C7" i="3"/>
  <c r="J7" i="3" s="1"/>
  <c r="C6" i="3"/>
  <c r="G13" i="1"/>
  <c r="E13" i="1"/>
  <c r="D13" i="1"/>
  <c r="F2503" i="3" l="1"/>
  <c r="G2503" i="3"/>
  <c r="H2449" i="3"/>
  <c r="E2424" i="3"/>
  <c r="K2462" i="3"/>
  <c r="E2482" i="3"/>
  <c r="K2455" i="3"/>
  <c r="H2472" i="3"/>
  <c r="E2470" i="3"/>
  <c r="K2425" i="3"/>
  <c r="H2534" i="3"/>
  <c r="K2503" i="3"/>
  <c r="J2479" i="3"/>
  <c r="G2517" i="3"/>
  <c r="D2500" i="3"/>
  <c r="D2478" i="3"/>
  <c r="K2531" i="3"/>
  <c r="H2540" i="3"/>
  <c r="E2433" i="3"/>
  <c r="E2457" i="3"/>
  <c r="K2517" i="3"/>
  <c r="I2457" i="3"/>
  <c r="E2483" i="3"/>
  <c r="E2491" i="3"/>
  <c r="G2508" i="3"/>
  <c r="K2537" i="3"/>
  <c r="F2491" i="3"/>
  <c r="F2513" i="3"/>
  <c r="D2530" i="3"/>
  <c r="D2534" i="3"/>
  <c r="G2454" i="3"/>
  <c r="G2463" i="3"/>
  <c r="D2482" i="3"/>
  <c r="G2486" i="3"/>
  <c r="H2530" i="3"/>
  <c r="E2534" i="3"/>
  <c r="E2538" i="3"/>
  <c r="D2544" i="3"/>
  <c r="L2530" i="3"/>
  <c r="G2534" i="3"/>
  <c r="I2541" i="3"/>
  <c r="K2461" i="3"/>
  <c r="E2464" i="3"/>
  <c r="E2474" i="3"/>
  <c r="G2478" i="3"/>
  <c r="L2482" i="3"/>
  <c r="I2476" i="3"/>
  <c r="D2504" i="3"/>
  <c r="H2509" i="3"/>
  <c r="I2503" i="3"/>
  <c r="J2529" i="3"/>
  <c r="L2474" i="3"/>
  <c r="J2531" i="3"/>
  <c r="I2458" i="3"/>
  <c r="L2534" i="3"/>
  <c r="G2538" i="3"/>
  <c r="D2542" i="3"/>
  <c r="I2531" i="3"/>
  <c r="J2534" i="3"/>
  <c r="D2421" i="3"/>
  <c r="G2423" i="3"/>
  <c r="E2428" i="3"/>
  <c r="F2431" i="3"/>
  <c r="G2438" i="3"/>
  <c r="K2449" i="3"/>
  <c r="H2458" i="3"/>
  <c r="D2466" i="3"/>
  <c r="F2485" i="3"/>
  <c r="F2499" i="3"/>
  <c r="E2506" i="3"/>
  <c r="D2520" i="3"/>
  <c r="D2523" i="3"/>
  <c r="L2532" i="3"/>
  <c r="L2538" i="3"/>
  <c r="L2542" i="3"/>
  <c r="I2533" i="3"/>
  <c r="J2538" i="3"/>
  <c r="G2421" i="3"/>
  <c r="H2438" i="3"/>
  <c r="G2499" i="3"/>
  <c r="I2539" i="3"/>
  <c r="J2539" i="3"/>
  <c r="G2530" i="3"/>
  <c r="H2536" i="3"/>
  <c r="K2543" i="3"/>
  <c r="I2540" i="3"/>
  <c r="J2543" i="3"/>
  <c r="H2067" i="3"/>
  <c r="J2067" i="3"/>
  <c r="D692" i="3"/>
  <c r="J692" i="3"/>
  <c r="E1036" i="3"/>
  <c r="J1036" i="3"/>
  <c r="D1716" i="3"/>
  <c r="J1716" i="3"/>
  <c r="J2440" i="3"/>
  <c r="G2440" i="3"/>
  <c r="D2075" i="3"/>
  <c r="J2075" i="3"/>
  <c r="D684" i="3"/>
  <c r="J684" i="3"/>
  <c r="F1380" i="3"/>
  <c r="J1380" i="3"/>
  <c r="H1724" i="3"/>
  <c r="J1724" i="3"/>
  <c r="I2060" i="3"/>
  <c r="J2060" i="3"/>
  <c r="E2068" i="3"/>
  <c r="J2068" i="3"/>
  <c r="E333" i="3"/>
  <c r="J333" i="3"/>
  <c r="D349" i="3"/>
  <c r="J349" i="3"/>
  <c r="E693" i="3"/>
  <c r="J693" i="3"/>
  <c r="D1373" i="3"/>
  <c r="J1373" i="3"/>
  <c r="F2061" i="3"/>
  <c r="J2061" i="3"/>
  <c r="H2413" i="3"/>
  <c r="J2413" i="3"/>
  <c r="D2424" i="3"/>
  <c r="K2440" i="3"/>
  <c r="J2467" i="3"/>
  <c r="I2467" i="3"/>
  <c r="G2467" i="3"/>
  <c r="J2475" i="3"/>
  <c r="I2475" i="3"/>
  <c r="E2475" i="3"/>
  <c r="E1027" i="3"/>
  <c r="J1027" i="3"/>
  <c r="E348" i="3"/>
  <c r="J348" i="3"/>
  <c r="E342" i="3"/>
  <c r="J342" i="3"/>
  <c r="E350" i="3"/>
  <c r="J350" i="3"/>
  <c r="F678" i="3"/>
  <c r="J678" i="3"/>
  <c r="F686" i="3"/>
  <c r="J686" i="3"/>
  <c r="G1030" i="3"/>
  <c r="J1030" i="3"/>
  <c r="E1374" i="3"/>
  <c r="J1374" i="3"/>
  <c r="I2070" i="3"/>
  <c r="J2070" i="3"/>
  <c r="J2471" i="3"/>
  <c r="E2471" i="3"/>
  <c r="F335" i="3"/>
  <c r="J335" i="3"/>
  <c r="H679" i="3"/>
  <c r="J679" i="3"/>
  <c r="G687" i="3"/>
  <c r="J687" i="3"/>
  <c r="G695" i="3"/>
  <c r="J695" i="3"/>
  <c r="I1023" i="3"/>
  <c r="J1023" i="3"/>
  <c r="H1039" i="3"/>
  <c r="J1039" i="3"/>
  <c r="I1375" i="3"/>
  <c r="J1375" i="3"/>
  <c r="K1383" i="3"/>
  <c r="J1383" i="3"/>
  <c r="G1727" i="3"/>
  <c r="J1727" i="3"/>
  <c r="K2063" i="3"/>
  <c r="J2063" i="3"/>
  <c r="E2415" i="3"/>
  <c r="J2415" i="3"/>
  <c r="D2422" i="3"/>
  <c r="H2424" i="3"/>
  <c r="E2427" i="3"/>
  <c r="G2448" i="3"/>
  <c r="K2467" i="3"/>
  <c r="J2472" i="3"/>
  <c r="K2472" i="3"/>
  <c r="K2475" i="3"/>
  <c r="J2480" i="3"/>
  <c r="H2480" i="3"/>
  <c r="I2422" i="3"/>
  <c r="H694" i="3"/>
  <c r="J694" i="3"/>
  <c r="D2406" i="3"/>
  <c r="J2406" i="3"/>
  <c r="G336" i="3"/>
  <c r="J336" i="3"/>
  <c r="I680" i="3"/>
  <c r="J680" i="3"/>
  <c r="H688" i="3"/>
  <c r="J688" i="3"/>
  <c r="I1032" i="3"/>
  <c r="J1032" i="3"/>
  <c r="E2422" i="3"/>
  <c r="F2427" i="3"/>
  <c r="J2468" i="3"/>
  <c r="E2468" i="3"/>
  <c r="J2481" i="3"/>
  <c r="I2481" i="3"/>
  <c r="I2440" i="3"/>
  <c r="E683" i="3"/>
  <c r="J683" i="3"/>
  <c r="J6" i="3"/>
  <c r="I6" i="3"/>
  <c r="H1382" i="3"/>
  <c r="J1382" i="3"/>
  <c r="K1726" i="3"/>
  <c r="J1726" i="3"/>
  <c r="H337" i="3"/>
  <c r="J337" i="3"/>
  <c r="K681" i="3"/>
  <c r="J681" i="3"/>
  <c r="K689" i="3"/>
  <c r="J689" i="3"/>
  <c r="D1033" i="3"/>
  <c r="J1033" i="3"/>
  <c r="H1369" i="3"/>
  <c r="J1369" i="3"/>
  <c r="E1377" i="3"/>
  <c r="J1377" i="3"/>
  <c r="E1729" i="3"/>
  <c r="J1729" i="3"/>
  <c r="D2073" i="3"/>
  <c r="J2073" i="3"/>
  <c r="J2445" i="3"/>
  <c r="K2445" i="3"/>
  <c r="J2465" i="3"/>
  <c r="I2465" i="3"/>
  <c r="F2465" i="3"/>
  <c r="J2469" i="3"/>
  <c r="G2469" i="3"/>
  <c r="J2473" i="3"/>
  <c r="I2473" i="3"/>
  <c r="J2477" i="3"/>
  <c r="G2477" i="3"/>
  <c r="K2481" i="3"/>
  <c r="I2477" i="3"/>
  <c r="H2485" i="3"/>
  <c r="E2485" i="3"/>
  <c r="K339" i="3"/>
  <c r="J339" i="3"/>
  <c r="E1723" i="3"/>
  <c r="J1723" i="3"/>
  <c r="G334" i="3"/>
  <c r="J334" i="3"/>
  <c r="F1718" i="3"/>
  <c r="J1718" i="3"/>
  <c r="J2448" i="3"/>
  <c r="I2448" i="3"/>
  <c r="E2448" i="3"/>
  <c r="G344" i="3"/>
  <c r="J344" i="3"/>
  <c r="I338" i="3"/>
  <c r="J338" i="3"/>
  <c r="D690" i="3"/>
  <c r="J690" i="3"/>
  <c r="D1378" i="3"/>
  <c r="J1378" i="3"/>
  <c r="F2425" i="3"/>
  <c r="G2445" i="3"/>
  <c r="K2466" i="3"/>
  <c r="J2466" i="3"/>
  <c r="L2466" i="3"/>
  <c r="E2466" i="3"/>
  <c r="K2469" i="3"/>
  <c r="K2474" i="3"/>
  <c r="J2474" i="3"/>
  <c r="G2474" i="3"/>
  <c r="D2474" i="3"/>
  <c r="K2478" i="3"/>
  <c r="J2478" i="3"/>
  <c r="I2478" i="3"/>
  <c r="E2478" i="3"/>
  <c r="I2466" i="3"/>
  <c r="D2485" i="3"/>
  <c r="J345" i="3"/>
  <c r="K2470" i="3"/>
  <c r="J2470" i="3"/>
  <c r="L2470" i="3"/>
  <c r="I2470" i="3"/>
  <c r="D2470" i="3"/>
  <c r="H2483" i="3"/>
  <c r="D2483" i="3"/>
  <c r="J1717" i="3"/>
  <c r="K2482" i="3"/>
  <c r="J2482" i="3"/>
  <c r="I2462" i="3"/>
  <c r="H2500" i="3"/>
  <c r="K2500" i="3"/>
  <c r="J2528" i="3"/>
  <c r="I2528" i="3"/>
  <c r="D2528" i="3"/>
  <c r="K2535" i="3"/>
  <c r="J2535" i="3"/>
  <c r="I2535" i="3"/>
  <c r="G2535" i="3"/>
  <c r="E2535" i="3"/>
  <c r="G2482" i="3"/>
  <c r="G2505" i="3"/>
  <c r="H2526" i="3"/>
  <c r="G2526" i="3"/>
  <c r="E2526" i="3"/>
  <c r="E2520" i="3"/>
  <c r="E2542" i="3"/>
  <c r="I2534" i="3"/>
  <c r="I2542" i="3"/>
  <c r="J2532" i="3"/>
  <c r="J2540" i="3"/>
  <c r="G2520" i="3"/>
  <c r="D2538" i="3"/>
  <c r="D2540" i="3"/>
  <c r="G2542" i="3"/>
  <c r="I2527" i="3"/>
  <c r="J2541" i="3"/>
  <c r="H2520" i="3"/>
  <c r="H2542" i="3"/>
  <c r="I2536" i="3"/>
  <c r="I2544" i="3"/>
  <c r="J2542" i="3"/>
  <c r="I2537" i="3"/>
  <c r="J2527" i="3"/>
  <c r="K2509" i="3"/>
  <c r="E2527" i="3"/>
  <c r="E2530" i="3"/>
  <c r="D2532" i="3"/>
  <c r="K2536" i="3"/>
  <c r="H2538" i="3"/>
  <c r="F2541" i="3"/>
  <c r="I2530" i="3"/>
  <c r="I2538" i="3"/>
  <c r="J2536" i="3"/>
  <c r="F2527" i="3"/>
  <c r="E2532" i="3"/>
  <c r="G2541" i="3"/>
  <c r="J2537" i="3"/>
  <c r="F2525" i="3"/>
  <c r="K2532" i="3"/>
  <c r="J2530" i="3"/>
  <c r="K2426" i="3"/>
  <c r="J2426" i="3"/>
  <c r="G2434" i="3"/>
  <c r="J2442" i="3"/>
  <c r="G2442" i="3"/>
  <c r="J2447" i="3"/>
  <c r="I2447" i="3"/>
  <c r="K2451" i="3"/>
  <c r="J2456" i="3"/>
  <c r="I2456" i="3"/>
  <c r="I2423" i="3"/>
  <c r="D2423" i="3"/>
  <c r="D2426" i="3"/>
  <c r="K2432" i="3"/>
  <c r="J2432" i="3"/>
  <c r="G2432" i="3"/>
  <c r="J2439" i="3"/>
  <c r="I2439" i="3"/>
  <c r="G2439" i="3"/>
  <c r="E2442" i="3"/>
  <c r="J2452" i="3"/>
  <c r="I2452" i="3"/>
  <c r="D2452" i="3"/>
  <c r="J2460" i="3"/>
  <c r="E2460" i="3"/>
  <c r="I2425" i="3"/>
  <c r="J2515" i="3"/>
  <c r="I2515" i="3"/>
  <c r="J2434" i="3"/>
  <c r="H2434" i="3"/>
  <c r="D2434" i="3"/>
  <c r="K2422" i="3"/>
  <c r="J2422" i="3"/>
  <c r="E2423" i="3"/>
  <c r="E2426" i="3"/>
  <c r="K2428" i="3"/>
  <c r="J2428" i="3"/>
  <c r="H2431" i="3"/>
  <c r="J2431" i="3"/>
  <c r="G2431" i="3"/>
  <c r="E2432" i="3"/>
  <c r="K2433" i="3"/>
  <c r="J2433" i="3"/>
  <c r="I2433" i="3"/>
  <c r="G2433" i="3"/>
  <c r="D2433" i="3"/>
  <c r="J2435" i="3"/>
  <c r="I2435" i="3"/>
  <c r="E2439" i="3"/>
  <c r="J2453" i="3"/>
  <c r="G2453" i="3"/>
  <c r="I2453" i="3"/>
  <c r="J2461" i="3"/>
  <c r="E2461" i="3"/>
  <c r="I2461" i="3"/>
  <c r="I2426" i="3"/>
  <c r="I2442" i="3"/>
  <c r="K2489" i="3"/>
  <c r="J2489" i="3"/>
  <c r="I2489" i="3"/>
  <c r="G2489" i="3"/>
  <c r="H2489" i="3"/>
  <c r="E2489" i="3"/>
  <c r="J2451" i="3"/>
  <c r="F2451" i="3"/>
  <c r="D332" i="3"/>
  <c r="J332" i="3"/>
  <c r="J2421" i="3"/>
  <c r="I2421" i="3"/>
  <c r="F2423" i="3"/>
  <c r="F2426" i="3"/>
  <c r="F2432" i="3"/>
  <c r="K2439" i="3"/>
  <c r="J2454" i="3"/>
  <c r="H2454" i="3"/>
  <c r="E2454" i="3"/>
  <c r="I2428" i="3"/>
  <c r="I2431" i="3"/>
  <c r="I2443" i="3"/>
  <c r="E2484" i="3"/>
  <c r="J2484" i="3"/>
  <c r="I2484" i="3"/>
  <c r="H2484" i="3"/>
  <c r="D2484" i="3"/>
  <c r="D2489" i="3"/>
  <c r="G677" i="3"/>
  <c r="J677" i="3"/>
  <c r="F2489" i="3"/>
  <c r="E2421" i="3"/>
  <c r="F2422" i="3"/>
  <c r="K2423" i="3"/>
  <c r="G2425" i="3"/>
  <c r="H2426" i="3"/>
  <c r="K2429" i="3"/>
  <c r="J2429" i="3"/>
  <c r="I2429" i="3"/>
  <c r="D2430" i="3"/>
  <c r="J2430" i="3"/>
  <c r="H2433" i="3"/>
  <c r="L2433" i="3" s="1"/>
  <c r="J2437" i="3"/>
  <c r="G2437" i="3"/>
  <c r="J2450" i="3"/>
  <c r="H2450" i="3"/>
  <c r="I2450" i="3"/>
  <c r="K2450" i="3"/>
  <c r="K2454" i="3"/>
  <c r="J2459" i="3"/>
  <c r="F2459" i="3"/>
  <c r="G2459" i="3"/>
  <c r="I2459" i="3"/>
  <c r="I2432" i="3"/>
  <c r="G2487" i="3"/>
  <c r="J2487" i="3"/>
  <c r="I2487" i="3"/>
  <c r="K2487" i="3"/>
  <c r="H2487" i="3"/>
  <c r="E2487" i="3"/>
  <c r="F1367" i="3"/>
  <c r="J1367" i="3"/>
  <c r="F2421" i="3"/>
  <c r="G2422" i="3"/>
  <c r="J2424" i="3"/>
  <c r="I2424" i="3"/>
  <c r="H2425" i="3"/>
  <c r="K2427" i="3"/>
  <c r="J2427" i="3"/>
  <c r="I2427" i="3"/>
  <c r="G2429" i="3"/>
  <c r="J2438" i="3"/>
  <c r="K2438" i="3"/>
  <c r="E2438" i="3"/>
  <c r="J2449" i="3"/>
  <c r="E2449" i="3"/>
  <c r="G2450" i="3"/>
  <c r="J2455" i="3"/>
  <c r="G2455" i="3"/>
  <c r="E2455" i="3"/>
  <c r="K2459" i="3"/>
  <c r="I2434" i="3"/>
  <c r="I2460" i="3"/>
  <c r="D2487" i="3"/>
  <c r="J2507" i="3"/>
  <c r="K2507" i="3"/>
  <c r="I2507" i="3"/>
  <c r="J2464" i="3"/>
  <c r="H2464" i="3"/>
  <c r="J2444" i="3"/>
  <c r="I2444" i="3"/>
  <c r="K2464" i="3"/>
  <c r="I2441" i="3"/>
  <c r="I2446" i="3"/>
  <c r="J2486" i="3"/>
  <c r="F2486" i="3"/>
  <c r="I2486" i="3"/>
  <c r="J2494" i="3"/>
  <c r="I2494" i="3"/>
  <c r="J2497" i="3"/>
  <c r="I2497" i="3"/>
  <c r="J2516" i="3"/>
  <c r="I2516" i="3"/>
  <c r="E2516" i="3"/>
  <c r="D2516" i="3"/>
  <c r="H2516" i="3"/>
  <c r="G2516" i="3"/>
  <c r="E2488" i="3"/>
  <c r="J2488" i="3"/>
  <c r="I2488" i="3"/>
  <c r="J2490" i="3"/>
  <c r="I2490" i="3"/>
  <c r="H2498" i="3"/>
  <c r="J2498" i="3"/>
  <c r="E2498" i="3"/>
  <c r="I2498" i="3"/>
  <c r="D2498" i="3"/>
  <c r="K2498" i="3"/>
  <c r="G2491" i="3"/>
  <c r="J2491" i="3"/>
  <c r="I2491" i="3"/>
  <c r="J2493" i="3"/>
  <c r="I2493" i="3"/>
  <c r="J2512" i="3"/>
  <c r="I2512" i="3"/>
  <c r="J2436" i="3"/>
  <c r="I2436" i="3"/>
  <c r="K2463" i="3"/>
  <c r="J2463" i="3"/>
  <c r="I2463" i="3"/>
  <c r="G2483" i="3"/>
  <c r="J2483" i="3"/>
  <c r="I2483" i="3"/>
  <c r="L2483" i="3" s="1"/>
  <c r="K2486" i="3"/>
  <c r="F2488" i="3"/>
  <c r="D2491" i="3"/>
  <c r="J2492" i="3"/>
  <c r="I2492" i="3"/>
  <c r="D2493" i="3"/>
  <c r="J2495" i="3"/>
  <c r="I2495" i="3"/>
  <c r="E2495" i="3"/>
  <c r="J2501" i="3"/>
  <c r="I2501" i="3"/>
  <c r="F2501" i="3"/>
  <c r="E2501" i="3"/>
  <c r="K2501" i="3"/>
  <c r="D2512" i="3"/>
  <c r="J2511" i="3"/>
  <c r="I2511" i="3"/>
  <c r="K2511" i="3"/>
  <c r="E2511" i="3"/>
  <c r="D2511" i="3"/>
  <c r="K2519" i="3"/>
  <c r="J2519" i="3"/>
  <c r="J2521" i="3"/>
  <c r="I2521" i="3"/>
  <c r="I2519" i="3"/>
  <c r="K2485" i="3"/>
  <c r="J2485" i="3"/>
  <c r="E2500" i="3"/>
  <c r="H2504" i="3"/>
  <c r="H2506" i="3"/>
  <c r="F2519" i="3"/>
  <c r="E2523" i="3"/>
  <c r="G2525" i="3"/>
  <c r="I2504" i="3"/>
  <c r="J2499" i="3"/>
  <c r="I2499" i="3"/>
  <c r="J2502" i="3"/>
  <c r="I2502" i="3"/>
  <c r="J2505" i="3"/>
  <c r="I2505" i="3"/>
  <c r="G2519" i="3"/>
  <c r="G2523" i="3"/>
  <c r="F2526" i="3"/>
  <c r="J2526" i="3"/>
  <c r="I2509" i="3"/>
  <c r="E2499" i="3"/>
  <c r="E2505" i="3"/>
  <c r="D2509" i="3"/>
  <c r="D2514" i="3"/>
  <c r="F2517" i="3"/>
  <c r="F2520" i="3"/>
  <c r="J2520" i="3"/>
  <c r="D2526" i="3"/>
  <c r="I2524" i="3"/>
  <c r="I2496" i="3"/>
  <c r="I2526" i="3"/>
  <c r="K2506" i="3"/>
  <c r="J2506" i="3"/>
  <c r="J2510" i="3"/>
  <c r="I2510" i="3"/>
  <c r="J2513" i="3"/>
  <c r="I2513" i="3"/>
  <c r="J2518" i="3"/>
  <c r="I2518" i="3"/>
  <c r="K2522" i="3"/>
  <c r="J2522" i="3"/>
  <c r="I2522" i="3"/>
  <c r="I2514" i="3"/>
  <c r="J2500" i="3"/>
  <c r="I2500" i="3"/>
  <c r="D2506" i="3"/>
  <c r="J2508" i="3"/>
  <c r="I2508" i="3"/>
  <c r="K2510" i="3"/>
  <c r="E2513" i="3"/>
  <c r="D2518" i="3"/>
  <c r="F2523" i="3"/>
  <c r="J2523" i="3"/>
  <c r="I2523" i="3"/>
  <c r="K2525" i="3"/>
  <c r="J2525" i="3"/>
  <c r="I2485" i="3"/>
  <c r="L2485" i="3" s="1"/>
  <c r="I2517" i="3"/>
  <c r="K2483" i="3"/>
  <c r="K2484" i="3"/>
  <c r="H2486" i="3"/>
  <c r="G2488" i="3"/>
  <c r="D2490" i="3"/>
  <c r="H2488" i="3"/>
  <c r="E2490" i="3"/>
  <c r="F2490" i="3"/>
  <c r="F2484" i="3"/>
  <c r="L2484" i="3" s="1"/>
  <c r="G2490" i="3"/>
  <c r="G2484" i="3"/>
  <c r="D2486" i="3"/>
  <c r="K2488" i="3"/>
  <c r="H2490" i="3"/>
  <c r="H2491" i="3"/>
  <c r="K2490" i="3"/>
  <c r="E2494" i="3"/>
  <c r="F2494" i="3"/>
  <c r="K2494" i="3"/>
  <c r="H2494" i="3"/>
  <c r="G2494" i="3"/>
  <c r="G2492" i="3"/>
  <c r="E2492" i="3"/>
  <c r="K2492" i="3"/>
  <c r="H2492" i="3"/>
  <c r="F2492" i="3"/>
  <c r="K2493" i="3"/>
  <c r="G2493" i="3"/>
  <c r="H2493" i="3"/>
  <c r="L2493" i="3" s="1"/>
  <c r="E2493" i="3"/>
  <c r="H2529" i="3"/>
  <c r="E2529" i="3"/>
  <c r="L2529" i="3"/>
  <c r="D2529" i="3"/>
  <c r="K2529" i="3"/>
  <c r="G2529" i="3"/>
  <c r="F2529" i="3"/>
  <c r="G2495" i="3"/>
  <c r="K2495" i="3"/>
  <c r="D2495" i="3"/>
  <c r="F2495" i="3"/>
  <c r="H2495" i="3"/>
  <c r="F2502" i="3"/>
  <c r="D2502" i="3"/>
  <c r="H2502" i="3"/>
  <c r="G2502" i="3"/>
  <c r="D2521" i="3"/>
  <c r="H2521" i="3"/>
  <c r="K2521" i="3"/>
  <c r="G2521" i="3"/>
  <c r="F2521" i="3"/>
  <c r="E2521" i="3"/>
  <c r="D2497" i="3"/>
  <c r="H2497" i="3"/>
  <c r="K2497" i="3"/>
  <c r="F2497" i="3"/>
  <c r="E2502" i="3"/>
  <c r="H2515" i="3"/>
  <c r="D2515" i="3"/>
  <c r="K2515" i="3"/>
  <c r="G2515" i="3"/>
  <c r="F2515" i="3"/>
  <c r="E2515" i="3"/>
  <c r="E2497" i="3"/>
  <c r="G2497" i="3"/>
  <c r="K2502" i="3"/>
  <c r="F2504" i="3"/>
  <c r="E2504" i="3"/>
  <c r="K2504" i="3"/>
  <c r="G2504" i="3"/>
  <c r="F2496" i="3"/>
  <c r="K2496" i="3"/>
  <c r="H2496" i="3"/>
  <c r="D2496" i="3"/>
  <c r="E2496" i="3"/>
  <c r="G2496" i="3"/>
  <c r="H2503" i="3"/>
  <c r="L2503" i="3" s="1"/>
  <c r="D2503" i="3"/>
  <c r="E2503" i="3"/>
  <c r="D2508" i="3"/>
  <c r="H2508" i="3"/>
  <c r="F2508" i="3"/>
  <c r="E2508" i="3"/>
  <c r="F2511" i="3"/>
  <c r="H2511" i="3"/>
  <c r="G2511" i="3"/>
  <c r="E2512" i="3"/>
  <c r="G2512" i="3"/>
  <c r="F2514" i="3"/>
  <c r="K2514" i="3"/>
  <c r="G2518" i="3"/>
  <c r="F2518" i="3"/>
  <c r="H2518" i="3"/>
  <c r="E2518" i="3"/>
  <c r="F2507" i="3"/>
  <c r="E2507" i="3"/>
  <c r="D2507" i="3"/>
  <c r="H2512" i="3"/>
  <c r="H2499" i="3"/>
  <c r="D2499" i="3"/>
  <c r="F2506" i="3"/>
  <c r="L2506" i="3" s="1"/>
  <c r="G2506" i="3"/>
  <c r="G2507" i="3"/>
  <c r="H2510" i="3"/>
  <c r="D2510" i="3"/>
  <c r="G2510" i="3"/>
  <c r="F2510" i="3"/>
  <c r="E2514" i="3"/>
  <c r="F2498" i="3"/>
  <c r="H2507" i="3"/>
  <c r="E2510" i="3"/>
  <c r="D2513" i="3"/>
  <c r="H2513" i="3"/>
  <c r="K2513" i="3"/>
  <c r="G2514" i="3"/>
  <c r="K2518" i="3"/>
  <c r="D2505" i="3"/>
  <c r="H2505" i="3"/>
  <c r="F2505" i="3"/>
  <c r="F2509" i="3"/>
  <c r="G2509" i="3"/>
  <c r="E2509" i="3"/>
  <c r="H2514" i="3"/>
  <c r="H2519" i="3"/>
  <c r="E2519" i="3"/>
  <c r="D2519" i="3"/>
  <c r="F2512" i="3"/>
  <c r="K2512" i="3"/>
  <c r="D2524" i="3"/>
  <c r="H2524" i="3"/>
  <c r="G2528" i="3"/>
  <c r="F2528" i="3"/>
  <c r="F2535" i="3"/>
  <c r="L2539" i="3"/>
  <c r="D2539" i="3"/>
  <c r="H2539" i="3"/>
  <c r="E2540" i="3"/>
  <c r="G2544" i="3"/>
  <c r="F2544" i="3"/>
  <c r="E2524" i="3"/>
  <c r="H2533" i="3"/>
  <c r="E2533" i="3"/>
  <c r="L2533" i="3"/>
  <c r="D2533" i="3"/>
  <c r="F2524" i="3"/>
  <c r="L2527" i="3"/>
  <c r="D2527" i="3"/>
  <c r="H2527" i="3"/>
  <c r="E2528" i="3"/>
  <c r="G2532" i="3"/>
  <c r="F2532" i="3"/>
  <c r="F2533" i="3"/>
  <c r="F2539" i="3"/>
  <c r="L2543" i="3"/>
  <c r="D2543" i="3"/>
  <c r="H2543" i="3"/>
  <c r="E2544" i="3"/>
  <c r="H2522" i="3"/>
  <c r="E2522" i="3"/>
  <c r="D2522" i="3"/>
  <c r="G2524" i="3"/>
  <c r="H2528" i="3"/>
  <c r="G2533" i="3"/>
  <c r="H2537" i="3"/>
  <c r="E2537" i="3"/>
  <c r="L2537" i="3"/>
  <c r="D2537" i="3"/>
  <c r="G2539" i="3"/>
  <c r="K2540" i="3"/>
  <c r="E2543" i="3"/>
  <c r="H2544" i="3"/>
  <c r="D2517" i="3"/>
  <c r="H2517" i="3"/>
  <c r="F2522" i="3"/>
  <c r="L2531" i="3"/>
  <c r="D2531" i="3"/>
  <c r="H2531" i="3"/>
  <c r="G2536" i="3"/>
  <c r="F2536" i="3"/>
  <c r="F2543" i="3"/>
  <c r="F2500" i="3"/>
  <c r="D2501" i="3"/>
  <c r="H2501" i="3"/>
  <c r="F2516" i="3"/>
  <c r="K2516" i="3"/>
  <c r="E2517" i="3"/>
  <c r="G2522" i="3"/>
  <c r="K2524" i="3"/>
  <c r="H2525" i="3"/>
  <c r="L2525" i="3" s="1"/>
  <c r="E2525" i="3"/>
  <c r="D2525" i="3"/>
  <c r="G2527" i="3"/>
  <c r="K2528" i="3"/>
  <c r="E2531" i="3"/>
  <c r="H2532" i="3"/>
  <c r="D2536" i="3"/>
  <c r="G2537" i="3"/>
  <c r="K2539" i="3"/>
  <c r="H2541" i="3"/>
  <c r="E2541" i="3"/>
  <c r="L2541" i="3"/>
  <c r="D2541" i="3"/>
  <c r="G2543" i="3"/>
  <c r="K2544" i="3"/>
  <c r="L2528" i="3"/>
  <c r="F2531" i="3"/>
  <c r="K2533" i="3"/>
  <c r="L2535" i="3"/>
  <c r="D2535" i="3"/>
  <c r="H2535" i="3"/>
  <c r="E2536" i="3"/>
  <c r="G2540" i="3"/>
  <c r="F2540" i="3"/>
  <c r="L2544" i="3"/>
  <c r="K2520" i="3"/>
  <c r="K2523" i="3"/>
  <c r="K2526" i="3"/>
  <c r="K2530" i="3"/>
  <c r="K2534" i="3"/>
  <c r="K2538" i="3"/>
  <c r="K2542" i="3"/>
  <c r="H2421" i="3"/>
  <c r="F2430" i="3"/>
  <c r="H2430" i="3"/>
  <c r="G2430" i="3"/>
  <c r="E2430" i="3"/>
  <c r="K2430" i="3"/>
  <c r="H2427" i="3"/>
  <c r="G2428" i="3"/>
  <c r="F2428" i="3"/>
  <c r="L2428" i="3" s="1"/>
  <c r="E2429" i="3"/>
  <c r="D2429" i="3"/>
  <c r="H2423" i="3"/>
  <c r="G2424" i="3"/>
  <c r="F2424" i="3"/>
  <c r="E2425" i="3"/>
  <c r="D2425" i="3"/>
  <c r="D2427" i="3"/>
  <c r="D2428" i="3"/>
  <c r="F2429" i="3"/>
  <c r="D2435" i="3"/>
  <c r="H2435" i="3"/>
  <c r="G2435" i="3"/>
  <c r="E2435" i="3"/>
  <c r="K2435" i="3"/>
  <c r="F2435" i="3"/>
  <c r="D2443" i="3"/>
  <c r="H2443" i="3"/>
  <c r="E2443" i="3"/>
  <c r="K2443" i="3"/>
  <c r="G2443" i="3"/>
  <c r="F2443" i="3"/>
  <c r="D2431" i="3"/>
  <c r="H2441" i="3"/>
  <c r="F2441" i="3"/>
  <c r="D2441" i="3"/>
  <c r="K2441" i="3"/>
  <c r="G2441" i="3"/>
  <c r="E2441" i="3"/>
  <c r="E2431" i="3"/>
  <c r="D2432" i="3"/>
  <c r="H2436" i="3"/>
  <c r="F2436" i="3"/>
  <c r="K2436" i="3"/>
  <c r="G2436" i="3"/>
  <c r="D2436" i="3"/>
  <c r="H2444" i="3"/>
  <c r="F2444" i="3"/>
  <c r="G2444" i="3"/>
  <c r="D2444" i="3"/>
  <c r="E2444" i="3"/>
  <c r="H2456" i="3"/>
  <c r="F2456" i="3"/>
  <c r="G2456" i="3"/>
  <c r="E2456" i="3"/>
  <c r="D2456" i="3"/>
  <c r="K2456" i="3"/>
  <c r="H2440" i="3"/>
  <c r="F2440" i="3"/>
  <c r="E2440" i="3"/>
  <c r="D2440" i="3"/>
  <c r="K2444" i="3"/>
  <c r="H2437" i="3"/>
  <c r="F2437" i="3"/>
  <c r="D2437" i="3"/>
  <c r="K2437" i="3"/>
  <c r="E2437" i="3"/>
  <c r="D2446" i="3"/>
  <c r="H2446" i="3"/>
  <c r="K2446" i="3"/>
  <c r="G2446" i="3"/>
  <c r="F2446" i="3"/>
  <c r="H2453" i="3"/>
  <c r="F2453" i="3"/>
  <c r="D2453" i="3"/>
  <c r="K2453" i="3"/>
  <c r="F2442" i="3"/>
  <c r="D2442" i="3"/>
  <c r="K2442" i="3"/>
  <c r="E2446" i="3"/>
  <c r="E2453" i="3"/>
  <c r="H2457" i="3"/>
  <c r="F2457" i="3"/>
  <c r="D2457" i="3"/>
  <c r="K2457" i="3"/>
  <c r="G2457" i="3"/>
  <c r="H2460" i="3"/>
  <c r="F2460" i="3"/>
  <c r="D2460" i="3"/>
  <c r="K2460" i="3"/>
  <c r="G2460" i="3"/>
  <c r="H2447" i="3"/>
  <c r="F2447" i="3"/>
  <c r="K2447" i="3"/>
  <c r="F2458" i="3"/>
  <c r="L2458" i="3" s="1"/>
  <c r="D2458" i="3"/>
  <c r="K2458" i="3"/>
  <c r="H2442" i="3"/>
  <c r="D2447" i="3"/>
  <c r="E2458" i="3"/>
  <c r="E2447" i="3"/>
  <c r="H2452" i="3"/>
  <c r="F2452" i="3"/>
  <c r="K2452" i="3"/>
  <c r="G2452" i="3"/>
  <c r="E2452" i="3"/>
  <c r="G2458" i="3"/>
  <c r="E2477" i="3"/>
  <c r="L2477" i="3"/>
  <c r="D2477" i="3"/>
  <c r="H2477" i="3"/>
  <c r="G2480" i="3"/>
  <c r="F2480" i="3"/>
  <c r="L2480" i="3"/>
  <c r="D2480" i="3"/>
  <c r="E2465" i="3"/>
  <c r="L2465" i="3"/>
  <c r="D2465" i="3"/>
  <c r="H2465" i="3"/>
  <c r="G2468" i="3"/>
  <c r="F2468" i="3"/>
  <c r="L2468" i="3"/>
  <c r="D2468" i="3"/>
  <c r="H2471" i="3"/>
  <c r="F2471" i="3"/>
  <c r="L2471" i="3"/>
  <c r="D2471" i="3"/>
  <c r="F2477" i="3"/>
  <c r="E2480" i="3"/>
  <c r="G2465" i="3"/>
  <c r="H2468" i="3"/>
  <c r="G2471" i="3"/>
  <c r="E2473" i="3"/>
  <c r="L2473" i="3"/>
  <c r="D2473" i="3"/>
  <c r="H2473" i="3"/>
  <c r="G2476" i="3"/>
  <c r="F2476" i="3"/>
  <c r="L2476" i="3"/>
  <c r="D2476" i="3"/>
  <c r="H2479" i="3"/>
  <c r="F2479" i="3"/>
  <c r="L2479" i="3"/>
  <c r="D2479" i="3"/>
  <c r="F2445" i="3"/>
  <c r="D2445" i="3"/>
  <c r="D2451" i="3"/>
  <c r="H2451" i="3"/>
  <c r="L2451" i="3" s="1"/>
  <c r="E2462" i="3"/>
  <c r="D2462" i="3"/>
  <c r="H2462" i="3"/>
  <c r="G2464" i="3"/>
  <c r="F2464" i="3"/>
  <c r="D2464" i="3"/>
  <c r="H2467" i="3"/>
  <c r="F2467" i="3"/>
  <c r="L2467" i="3"/>
  <c r="D2467" i="3"/>
  <c r="F2473" i="3"/>
  <c r="E2476" i="3"/>
  <c r="K2477" i="3"/>
  <c r="E2479" i="3"/>
  <c r="K2480" i="3"/>
  <c r="F2434" i="3"/>
  <c r="D2439" i="3"/>
  <c r="H2439" i="3"/>
  <c r="E2445" i="3"/>
  <c r="F2449" i="3"/>
  <c r="L2449" i="3" s="1"/>
  <c r="D2449" i="3"/>
  <c r="E2451" i="3"/>
  <c r="D2455" i="3"/>
  <c r="H2455" i="3"/>
  <c r="F2462" i="3"/>
  <c r="K2465" i="3"/>
  <c r="K2468" i="3"/>
  <c r="K2471" i="3"/>
  <c r="G2473" i="3"/>
  <c r="H2476" i="3"/>
  <c r="G2479" i="3"/>
  <c r="E2481" i="3"/>
  <c r="L2481" i="3"/>
  <c r="D2481" i="3"/>
  <c r="H2481" i="3"/>
  <c r="F2450" i="3"/>
  <c r="D2450" i="3"/>
  <c r="D2459" i="3"/>
  <c r="H2459" i="3"/>
  <c r="G2462" i="3"/>
  <c r="E2469" i="3"/>
  <c r="L2469" i="3"/>
  <c r="D2469" i="3"/>
  <c r="H2469" i="3"/>
  <c r="G2472" i="3"/>
  <c r="F2472" i="3"/>
  <c r="L2472" i="3"/>
  <c r="D2472" i="3"/>
  <c r="H2475" i="3"/>
  <c r="F2475" i="3"/>
  <c r="L2475" i="3"/>
  <c r="D2475" i="3"/>
  <c r="F2481" i="3"/>
  <c r="E2434" i="3"/>
  <c r="F2438" i="3"/>
  <c r="L2438" i="3"/>
  <c r="D2438" i="3"/>
  <c r="F2439" i="3"/>
  <c r="H2445" i="3"/>
  <c r="H2448" i="3"/>
  <c r="F2448" i="3"/>
  <c r="D2448" i="3"/>
  <c r="G2449" i="3"/>
  <c r="E2450" i="3"/>
  <c r="G2451" i="3"/>
  <c r="F2454" i="3"/>
  <c r="D2454" i="3"/>
  <c r="F2455" i="3"/>
  <c r="E2459" i="3"/>
  <c r="G2461" i="3"/>
  <c r="F2461" i="3"/>
  <c r="D2461" i="3"/>
  <c r="H2463" i="3"/>
  <c r="F2463" i="3"/>
  <c r="D2463" i="3"/>
  <c r="F2469" i="3"/>
  <c r="E2472" i="3"/>
  <c r="K2473" i="3"/>
  <c r="K2476" i="3"/>
  <c r="K2479" i="3"/>
  <c r="G2481" i="3"/>
  <c r="F2466" i="3"/>
  <c r="F2470" i="3"/>
  <c r="F2474" i="3"/>
  <c r="F2478" i="3"/>
  <c r="F2482" i="3"/>
  <c r="H2466" i="3"/>
  <c r="H2470" i="3"/>
  <c r="H2474" i="3"/>
  <c r="H2478" i="3"/>
  <c r="H2482" i="3"/>
  <c r="I2396" i="3"/>
  <c r="G668" i="3"/>
  <c r="F327" i="3"/>
  <c r="H671" i="3"/>
  <c r="G1711" i="3"/>
  <c r="D2047" i="3"/>
  <c r="K2399" i="3"/>
  <c r="D324" i="3"/>
  <c r="H328" i="3"/>
  <c r="K672" i="3"/>
  <c r="E1360" i="3"/>
  <c r="H1704" i="3"/>
  <c r="D2048" i="3"/>
  <c r="E2056" i="3"/>
  <c r="D676" i="3"/>
  <c r="H329" i="3"/>
  <c r="I673" i="3"/>
  <c r="D1017" i="3"/>
  <c r="I330" i="3"/>
  <c r="D674" i="3"/>
  <c r="K323" i="3"/>
  <c r="D667" i="3"/>
  <c r="D675" i="3"/>
  <c r="F1020" i="3"/>
  <c r="G1365" i="3"/>
  <c r="E1709" i="3"/>
  <c r="K2053" i="3"/>
  <c r="E326" i="3"/>
  <c r="F670" i="3"/>
  <c r="H1014" i="3"/>
  <c r="F1702" i="3"/>
  <c r="K1710" i="3"/>
  <c r="G2054" i="3"/>
  <c r="F1011" i="3"/>
  <c r="K321" i="3"/>
  <c r="I689" i="3"/>
  <c r="I671" i="3"/>
  <c r="I1383" i="3"/>
  <c r="D741" i="3"/>
  <c r="F333" i="3"/>
  <c r="D333" i="3"/>
  <c r="G671" i="3"/>
  <c r="K1382" i="3"/>
  <c r="D1369" i="3"/>
  <c r="I1711" i="3"/>
  <c r="D2063" i="3"/>
  <c r="D2401" i="3"/>
  <c r="I345" i="3"/>
  <c r="I329" i="3"/>
  <c r="H1380" i="3"/>
  <c r="H2061" i="3"/>
  <c r="I344" i="3"/>
  <c r="G327" i="3"/>
  <c r="K680" i="3"/>
  <c r="G1380" i="3"/>
  <c r="I1729" i="3"/>
  <c r="G342" i="3"/>
  <c r="H680" i="3"/>
  <c r="L2415" i="3"/>
  <c r="H321" i="3"/>
  <c r="K1017" i="3"/>
  <c r="D1377" i="3"/>
  <c r="I2054" i="3"/>
  <c r="L2068" i="3"/>
  <c r="H336" i="3"/>
  <c r="H695" i="3"/>
  <c r="F677" i="3"/>
  <c r="G1374" i="3"/>
  <c r="G2068" i="3"/>
  <c r="F2048" i="3"/>
  <c r="F1716" i="3"/>
  <c r="H335" i="3"/>
  <c r="F693" i="3"/>
  <c r="D322" i="3"/>
  <c r="E322" i="3"/>
  <c r="F322" i="3"/>
  <c r="G322" i="3"/>
  <c r="H322" i="3"/>
  <c r="E682" i="3"/>
  <c r="F682" i="3"/>
  <c r="G682" i="3"/>
  <c r="H682" i="3"/>
  <c r="I682" i="3"/>
  <c r="F1018" i="3"/>
  <c r="G1018" i="3"/>
  <c r="H1018" i="3"/>
  <c r="I1018" i="3"/>
  <c r="K1018" i="3"/>
  <c r="E1018" i="3"/>
  <c r="G1706" i="3"/>
  <c r="H1706" i="3"/>
  <c r="I1706" i="3"/>
  <c r="D1706" i="3"/>
  <c r="E1706" i="3"/>
  <c r="K1706" i="3"/>
  <c r="G1714" i="3"/>
  <c r="H1714" i="3"/>
  <c r="I1714" i="3"/>
  <c r="E1714" i="3"/>
  <c r="F1714" i="3"/>
  <c r="K1714" i="3"/>
  <c r="D1714" i="3"/>
  <c r="L1722" i="3"/>
  <c r="G1722" i="3"/>
  <c r="H1722" i="3"/>
  <c r="I1722" i="3"/>
  <c r="D1722" i="3"/>
  <c r="E1722" i="3"/>
  <c r="F1722" i="3"/>
  <c r="I2050" i="3"/>
  <c r="E2050" i="3"/>
  <c r="K2050" i="3"/>
  <c r="D2050" i="3"/>
  <c r="F2050" i="3"/>
  <c r="G2050" i="3"/>
  <c r="H2050" i="3"/>
  <c r="H2058" i="3"/>
  <c r="I2058" i="3"/>
  <c r="K2058" i="3"/>
  <c r="D2058" i="3"/>
  <c r="E2058" i="3"/>
  <c r="F2058" i="3"/>
  <c r="G2058" i="3"/>
  <c r="L2066" i="3"/>
  <c r="H2066" i="3"/>
  <c r="I2066" i="3"/>
  <c r="K2066" i="3"/>
  <c r="D2066" i="3"/>
  <c r="F2066" i="3"/>
  <c r="G2066" i="3"/>
  <c r="E2066" i="3"/>
  <c r="L2074" i="3"/>
  <c r="H2074" i="3"/>
  <c r="I2074" i="3"/>
  <c r="K2074" i="3"/>
  <c r="D2074" i="3"/>
  <c r="E2074" i="3"/>
  <c r="F2074" i="3"/>
  <c r="I2394" i="3"/>
  <c r="K2394" i="3"/>
  <c r="D2394" i="3"/>
  <c r="E2394" i="3"/>
  <c r="F2394" i="3"/>
  <c r="G2394" i="3"/>
  <c r="H2394" i="3"/>
  <c r="K2402" i="3"/>
  <c r="D2402" i="3"/>
  <c r="F2402" i="3"/>
  <c r="G2402" i="3"/>
  <c r="H2402" i="3"/>
  <c r="I2402" i="3"/>
  <c r="E2402" i="3"/>
  <c r="L2410" i="3"/>
  <c r="K2410" i="3"/>
  <c r="D2410" i="3"/>
  <c r="F2410" i="3"/>
  <c r="G2410" i="3"/>
  <c r="I2410" i="3"/>
  <c r="L2418" i="3"/>
  <c r="K2418" i="3"/>
  <c r="D2418" i="3"/>
  <c r="F2418" i="3"/>
  <c r="G2418" i="3"/>
  <c r="H2418" i="3"/>
  <c r="I2418" i="3"/>
  <c r="E2418" i="3"/>
  <c r="E324" i="3"/>
  <c r="E684" i="3"/>
  <c r="E323" i="3"/>
  <c r="F323" i="3"/>
  <c r="G323" i="3"/>
  <c r="H323" i="3"/>
  <c r="I323" i="3"/>
  <c r="E331" i="3"/>
  <c r="F331" i="3"/>
  <c r="G331" i="3"/>
  <c r="H331" i="3"/>
  <c r="I331" i="3"/>
  <c r="L339" i="3"/>
  <c r="E339" i="3"/>
  <c r="F339" i="3"/>
  <c r="G339" i="3"/>
  <c r="H339" i="3"/>
  <c r="I339" i="3"/>
  <c r="L347" i="3"/>
  <c r="E347" i="3"/>
  <c r="F347" i="3"/>
  <c r="G347" i="3"/>
  <c r="H347" i="3"/>
  <c r="I347" i="3"/>
  <c r="F667" i="3"/>
  <c r="G667" i="3"/>
  <c r="K667" i="3"/>
  <c r="H667" i="3"/>
  <c r="I667" i="3"/>
  <c r="F675" i="3"/>
  <c r="G675" i="3"/>
  <c r="H675" i="3"/>
  <c r="I675" i="3"/>
  <c r="K675" i="3"/>
  <c r="F683" i="3"/>
  <c r="G683" i="3"/>
  <c r="H683" i="3"/>
  <c r="I683" i="3"/>
  <c r="K683" i="3"/>
  <c r="L691" i="3"/>
  <c r="F691" i="3"/>
  <c r="G691" i="3"/>
  <c r="H691" i="3"/>
  <c r="I691" i="3"/>
  <c r="K691" i="3"/>
  <c r="G1011" i="3"/>
  <c r="H1011" i="3"/>
  <c r="I1011" i="3"/>
  <c r="K1011" i="3"/>
  <c r="D1011" i="3"/>
  <c r="G1019" i="3"/>
  <c r="H1019" i="3"/>
  <c r="I1019" i="3"/>
  <c r="K1019" i="3"/>
  <c r="D1019" i="3"/>
  <c r="E1019" i="3"/>
  <c r="F1019" i="3"/>
  <c r="G1027" i="3"/>
  <c r="H1027" i="3"/>
  <c r="I1027" i="3"/>
  <c r="K1027" i="3"/>
  <c r="F1027" i="3"/>
  <c r="L1035" i="3"/>
  <c r="G1035" i="3"/>
  <c r="H1035" i="3"/>
  <c r="I1035" i="3"/>
  <c r="K1035" i="3"/>
  <c r="D1035" i="3"/>
  <c r="E1035" i="3"/>
  <c r="G1363" i="3"/>
  <c r="I1363" i="3"/>
  <c r="D1363" i="3"/>
  <c r="E1363" i="3"/>
  <c r="F1363" i="3"/>
  <c r="H1363" i="3"/>
  <c r="F342" i="3"/>
  <c r="D339" i="3"/>
  <c r="K329" i="3"/>
  <c r="I695" i="3"/>
  <c r="H686" i="3"/>
  <c r="K674" i="3"/>
  <c r="E667" i="3"/>
  <c r="F1035" i="3"/>
  <c r="D1027" i="3"/>
  <c r="D1018" i="3"/>
  <c r="E1011" i="3"/>
  <c r="L346" i="3"/>
  <c r="D346" i="3"/>
  <c r="E346" i="3"/>
  <c r="F346" i="3"/>
  <c r="G346" i="3"/>
  <c r="H346" i="3"/>
  <c r="E666" i="3"/>
  <c r="F666" i="3"/>
  <c r="G666" i="3"/>
  <c r="H666" i="3"/>
  <c r="I666" i="3"/>
  <c r="D666" i="3"/>
  <c r="F1026" i="3"/>
  <c r="G1026" i="3"/>
  <c r="H1026" i="3"/>
  <c r="I1026" i="3"/>
  <c r="K1026" i="3"/>
  <c r="D1026" i="3"/>
  <c r="F1370" i="3"/>
  <c r="H1370" i="3"/>
  <c r="K1370" i="3"/>
  <c r="D1370" i="3"/>
  <c r="E1370" i="3"/>
  <c r="G1370" i="3"/>
  <c r="I1370" i="3"/>
  <c r="L1730" i="3"/>
  <c r="G1730" i="3"/>
  <c r="I1730" i="3"/>
  <c r="E1730" i="3"/>
  <c r="F1730" i="3"/>
  <c r="H1730" i="3"/>
  <c r="K1730" i="3"/>
  <c r="F324" i="3"/>
  <c r="G324" i="3"/>
  <c r="H324" i="3"/>
  <c r="I324" i="3"/>
  <c r="K324" i="3"/>
  <c r="L348" i="3"/>
  <c r="F348" i="3"/>
  <c r="G348" i="3"/>
  <c r="H348" i="3"/>
  <c r="I348" i="3"/>
  <c r="K348" i="3"/>
  <c r="L684" i="3"/>
  <c r="G684" i="3"/>
  <c r="H684" i="3"/>
  <c r="I684" i="3"/>
  <c r="K684" i="3"/>
  <c r="H1028" i="3"/>
  <c r="I1028" i="3"/>
  <c r="K1028" i="3"/>
  <c r="D1028" i="3"/>
  <c r="E1028" i="3"/>
  <c r="F1028" i="3"/>
  <c r="G1028" i="3"/>
  <c r="L1036" i="3"/>
  <c r="H1036" i="3"/>
  <c r="I1036" i="3"/>
  <c r="K1036" i="3"/>
  <c r="D1036" i="3"/>
  <c r="G1036" i="3"/>
  <c r="H1356" i="3"/>
  <c r="K1356" i="3"/>
  <c r="D1356" i="3"/>
  <c r="E1356" i="3"/>
  <c r="F1356" i="3"/>
  <c r="G1356" i="3"/>
  <c r="I1356" i="3"/>
  <c r="H1364" i="3"/>
  <c r="K1364" i="3"/>
  <c r="D1364" i="3"/>
  <c r="F1364" i="3"/>
  <c r="G1364" i="3"/>
  <c r="I1364" i="3"/>
  <c r="H1372" i="3"/>
  <c r="D1372" i="3"/>
  <c r="E1372" i="3"/>
  <c r="F1372" i="3"/>
  <c r="G1372" i="3"/>
  <c r="I1372" i="3"/>
  <c r="K1372" i="3"/>
  <c r="D348" i="3"/>
  <c r="K338" i="3"/>
  <c r="G326" i="3"/>
  <c r="F692" i="3"/>
  <c r="G686" i="3"/>
  <c r="E1026" i="3"/>
  <c r="E1364" i="3"/>
  <c r="G325" i="3"/>
  <c r="H325" i="3"/>
  <c r="I325" i="3"/>
  <c r="K325" i="3"/>
  <c r="G333" i="3"/>
  <c r="H333" i="3"/>
  <c r="I333" i="3"/>
  <c r="K333" i="3"/>
  <c r="L341" i="3"/>
  <c r="G341" i="3"/>
  <c r="H341" i="3"/>
  <c r="I341" i="3"/>
  <c r="K341" i="3"/>
  <c r="L349" i="3"/>
  <c r="G349" i="3"/>
  <c r="H349" i="3"/>
  <c r="I349" i="3"/>
  <c r="K349" i="3"/>
  <c r="I669" i="3"/>
  <c r="D669" i="3"/>
  <c r="E669" i="3"/>
  <c r="F669" i="3"/>
  <c r="G669" i="3"/>
  <c r="H669" i="3"/>
  <c r="K669" i="3"/>
  <c r="H677" i="3"/>
  <c r="I677" i="3"/>
  <c r="K677" i="3"/>
  <c r="D677" i="3"/>
  <c r="L685" i="3"/>
  <c r="H685" i="3"/>
  <c r="I685" i="3"/>
  <c r="K685" i="3"/>
  <c r="D685" i="3"/>
  <c r="L693" i="3"/>
  <c r="H693" i="3"/>
  <c r="I693" i="3"/>
  <c r="K693" i="3"/>
  <c r="D693" i="3"/>
  <c r="I1013" i="3"/>
  <c r="K1013" i="3"/>
  <c r="D1013" i="3"/>
  <c r="E1013" i="3"/>
  <c r="F1013" i="3"/>
  <c r="G1013" i="3"/>
  <c r="H1013" i="3"/>
  <c r="I1021" i="3"/>
  <c r="K1021" i="3"/>
  <c r="D1021" i="3"/>
  <c r="E1021" i="3"/>
  <c r="G1021" i="3"/>
  <c r="H1021" i="3"/>
  <c r="L1029" i="3"/>
  <c r="I1029" i="3"/>
  <c r="K1029" i="3"/>
  <c r="D1029" i="3"/>
  <c r="E1029" i="3"/>
  <c r="F1029" i="3"/>
  <c r="L1037" i="3"/>
  <c r="I1037" i="3"/>
  <c r="K1037" i="3"/>
  <c r="D1037" i="3"/>
  <c r="E1037" i="3"/>
  <c r="F1037" i="3"/>
  <c r="G1037" i="3"/>
  <c r="H1037" i="3"/>
  <c r="I1357" i="3"/>
  <c r="E1357" i="3"/>
  <c r="D1357" i="3"/>
  <c r="F1357" i="3"/>
  <c r="G1357" i="3"/>
  <c r="H1357" i="3"/>
  <c r="K1357" i="3"/>
  <c r="I1365" i="3"/>
  <c r="E1365" i="3"/>
  <c r="D1365" i="3"/>
  <c r="F1365" i="3"/>
  <c r="H1365" i="3"/>
  <c r="K1365" i="3"/>
  <c r="I1373" i="3"/>
  <c r="E1373" i="3"/>
  <c r="F1373" i="3"/>
  <c r="G1373" i="3"/>
  <c r="H1373" i="3"/>
  <c r="K1373" i="3"/>
  <c r="L1381" i="3"/>
  <c r="K1381" i="3"/>
  <c r="D1381" i="3"/>
  <c r="E1381" i="3"/>
  <c r="F1381" i="3"/>
  <c r="G1381" i="3"/>
  <c r="H1381" i="3"/>
  <c r="I1381" i="3"/>
  <c r="G350" i="3"/>
  <c r="K347" i="3"/>
  <c r="H344" i="3"/>
  <c r="F341" i="3"/>
  <c r="G335" i="3"/>
  <c r="E332" i="3"/>
  <c r="F326" i="3"/>
  <c r="D323" i="3"/>
  <c r="E692" i="3"/>
  <c r="K688" i="3"/>
  <c r="D683" i="3"/>
  <c r="I679" i="3"/>
  <c r="E677" i="3"/>
  <c r="K673" i="3"/>
  <c r="G670" i="3"/>
  <c r="K666" i="3"/>
  <c r="K1032" i="3"/>
  <c r="K1023" i="3"/>
  <c r="K1363" i="3"/>
  <c r="F1706" i="3"/>
  <c r="K1366" i="3"/>
  <c r="D1366" i="3"/>
  <c r="F1366" i="3"/>
  <c r="E1366" i="3"/>
  <c r="G1366" i="3"/>
  <c r="H1366" i="3"/>
  <c r="I1366" i="3"/>
  <c r="F350" i="3"/>
  <c r="D347" i="3"/>
  <c r="E341" i="3"/>
  <c r="K337" i="3"/>
  <c r="I328" i="3"/>
  <c r="K322" i="3"/>
  <c r="I688" i="3"/>
  <c r="G685" i="3"/>
  <c r="K682" i="3"/>
  <c r="F676" i="3"/>
  <c r="I1014" i="3"/>
  <c r="K1722" i="3"/>
  <c r="K1704" i="3"/>
  <c r="D330" i="3"/>
  <c r="E330" i="3"/>
  <c r="F330" i="3"/>
  <c r="G330" i="3"/>
  <c r="H330" i="3"/>
  <c r="L1378" i="3"/>
  <c r="G1378" i="3"/>
  <c r="H1378" i="3"/>
  <c r="I1378" i="3"/>
  <c r="K1378" i="3"/>
  <c r="E1378" i="3"/>
  <c r="F1378" i="3"/>
  <c r="L692" i="3"/>
  <c r="G692" i="3"/>
  <c r="H692" i="3"/>
  <c r="I692" i="3"/>
  <c r="K692" i="3"/>
  <c r="H1020" i="3"/>
  <c r="I1020" i="3"/>
  <c r="K1020" i="3"/>
  <c r="D1020" i="3"/>
  <c r="E1020" i="3"/>
  <c r="L342" i="3"/>
  <c r="H342" i="3"/>
  <c r="I342" i="3"/>
  <c r="K342" i="3"/>
  <c r="D342" i="3"/>
  <c r="K670" i="3"/>
  <c r="E670" i="3"/>
  <c r="H670" i="3"/>
  <c r="I670" i="3"/>
  <c r="L694" i="3"/>
  <c r="I694" i="3"/>
  <c r="K694" i="3"/>
  <c r="D694" i="3"/>
  <c r="E694" i="3"/>
  <c r="K1022" i="3"/>
  <c r="D1022" i="3"/>
  <c r="E1022" i="3"/>
  <c r="F1022" i="3"/>
  <c r="G1022" i="3"/>
  <c r="H1022" i="3"/>
  <c r="I1022" i="3"/>
  <c r="L1038" i="3"/>
  <c r="K1038" i="3"/>
  <c r="D1038" i="3"/>
  <c r="E1038" i="3"/>
  <c r="F1038" i="3"/>
  <c r="G1038" i="3"/>
  <c r="K1358" i="3"/>
  <c r="D1358" i="3"/>
  <c r="F1358" i="3"/>
  <c r="I1358" i="3"/>
  <c r="E1358" i="3"/>
  <c r="G1358" i="3"/>
  <c r="I327" i="3"/>
  <c r="K327" i="3"/>
  <c r="D327" i="3"/>
  <c r="E327" i="3"/>
  <c r="I335" i="3"/>
  <c r="K335" i="3"/>
  <c r="D335" i="3"/>
  <c r="E335" i="3"/>
  <c r="L343" i="3"/>
  <c r="I343" i="3"/>
  <c r="K343" i="3"/>
  <c r="D343" i="3"/>
  <c r="E343" i="3"/>
  <c r="K671" i="3"/>
  <c r="D671" i="3"/>
  <c r="E671" i="3"/>
  <c r="F671" i="3"/>
  <c r="K679" i="3"/>
  <c r="D679" i="3"/>
  <c r="E679" i="3"/>
  <c r="F679" i="3"/>
  <c r="L687" i="3"/>
  <c r="K687" i="3"/>
  <c r="D687" i="3"/>
  <c r="E687" i="3"/>
  <c r="F687" i="3"/>
  <c r="L695" i="3"/>
  <c r="K695" i="3"/>
  <c r="D695" i="3"/>
  <c r="E695" i="3"/>
  <c r="F695" i="3"/>
  <c r="D1015" i="3"/>
  <c r="E1015" i="3"/>
  <c r="F1015" i="3"/>
  <c r="G1015" i="3"/>
  <c r="H1015" i="3"/>
  <c r="I1015" i="3"/>
  <c r="K1015" i="3"/>
  <c r="D1023" i="3"/>
  <c r="E1023" i="3"/>
  <c r="F1023" i="3"/>
  <c r="G1023" i="3"/>
  <c r="L1031" i="3"/>
  <c r="D1031" i="3"/>
  <c r="E1031" i="3"/>
  <c r="F1031" i="3"/>
  <c r="G1031" i="3"/>
  <c r="H1031" i="3"/>
  <c r="I1031" i="3"/>
  <c r="K1031" i="3"/>
  <c r="L1039" i="3"/>
  <c r="D1039" i="3"/>
  <c r="E1039" i="3"/>
  <c r="F1039" i="3"/>
  <c r="G1039" i="3"/>
  <c r="I1039" i="3"/>
  <c r="K1039" i="3"/>
  <c r="E1359" i="3"/>
  <c r="G1359" i="3"/>
  <c r="D1359" i="3"/>
  <c r="F1359" i="3"/>
  <c r="H1359" i="3"/>
  <c r="I1359" i="3"/>
  <c r="K346" i="3"/>
  <c r="H343" i="3"/>
  <c r="D341" i="3"/>
  <c r="I337" i="3"/>
  <c r="K331" i="3"/>
  <c r="F325" i="3"/>
  <c r="I322" i="3"/>
  <c r="G694" i="3"/>
  <c r="E691" i="3"/>
  <c r="F685" i="3"/>
  <c r="D682" i="3"/>
  <c r="G679" i="3"/>
  <c r="E676" i="3"/>
  <c r="D670" i="3"/>
  <c r="I1038" i="3"/>
  <c r="H1023" i="3"/>
  <c r="K1359" i="3"/>
  <c r="E674" i="3"/>
  <c r="F674" i="3"/>
  <c r="G674" i="3"/>
  <c r="H674" i="3"/>
  <c r="I674" i="3"/>
  <c r="F1362" i="3"/>
  <c r="H1362" i="3"/>
  <c r="K1362" i="3"/>
  <c r="G1362" i="3"/>
  <c r="I1362" i="3"/>
  <c r="D1362" i="3"/>
  <c r="E1362" i="3"/>
  <c r="L340" i="3"/>
  <c r="F340" i="3"/>
  <c r="G340" i="3"/>
  <c r="H340" i="3"/>
  <c r="I340" i="3"/>
  <c r="K340" i="3"/>
  <c r="H668" i="3"/>
  <c r="D668" i="3"/>
  <c r="E668" i="3"/>
  <c r="F668" i="3"/>
  <c r="H334" i="3"/>
  <c r="I334" i="3"/>
  <c r="K334" i="3"/>
  <c r="D334" i="3"/>
  <c r="I678" i="3"/>
  <c r="K678" i="3"/>
  <c r="D678" i="3"/>
  <c r="E678" i="3"/>
  <c r="K1014" i="3"/>
  <c r="D1014" i="3"/>
  <c r="E1014" i="3"/>
  <c r="F1014" i="3"/>
  <c r="L1030" i="3"/>
  <c r="K1030" i="3"/>
  <c r="D1030" i="3"/>
  <c r="E1030" i="3"/>
  <c r="F1030" i="3"/>
  <c r="H1030" i="3"/>
  <c r="I1030" i="3"/>
  <c r="K328" i="3"/>
  <c r="D328" i="3"/>
  <c r="E328" i="3"/>
  <c r="F328" i="3"/>
  <c r="K336" i="3"/>
  <c r="D336" i="3"/>
  <c r="E336" i="3"/>
  <c r="F336" i="3"/>
  <c r="L344" i="3"/>
  <c r="K344" i="3"/>
  <c r="D344" i="3"/>
  <c r="E344" i="3"/>
  <c r="F344" i="3"/>
  <c r="D672" i="3"/>
  <c r="E672" i="3"/>
  <c r="F672" i="3"/>
  <c r="G672" i="3"/>
  <c r="D680" i="3"/>
  <c r="E680" i="3"/>
  <c r="F680" i="3"/>
  <c r="L680" i="3" s="1"/>
  <c r="G680" i="3"/>
  <c r="L688" i="3"/>
  <c r="D688" i="3"/>
  <c r="E688" i="3"/>
  <c r="F688" i="3"/>
  <c r="G688" i="3"/>
  <c r="D1016" i="3"/>
  <c r="E1016" i="3"/>
  <c r="F1016" i="3"/>
  <c r="G1016" i="3"/>
  <c r="H1016" i="3"/>
  <c r="I1016" i="3"/>
  <c r="K1016" i="3"/>
  <c r="D1024" i="3"/>
  <c r="E1024" i="3"/>
  <c r="F1024" i="3"/>
  <c r="G1024" i="3"/>
  <c r="H1024" i="3"/>
  <c r="I1024" i="3"/>
  <c r="K1024" i="3"/>
  <c r="L1032" i="3"/>
  <c r="D1032" i="3"/>
  <c r="E1032" i="3"/>
  <c r="F1032" i="3"/>
  <c r="G1032" i="3"/>
  <c r="H1032" i="3"/>
  <c r="L1040" i="3"/>
  <c r="D1040" i="3"/>
  <c r="E1040" i="3"/>
  <c r="F1040" i="3"/>
  <c r="G1040" i="3"/>
  <c r="H1040" i="3"/>
  <c r="I1040" i="3"/>
  <c r="K1040" i="3"/>
  <c r="D1360" i="3"/>
  <c r="F1360" i="3"/>
  <c r="H1360" i="3"/>
  <c r="I1360" i="3"/>
  <c r="K1360" i="3"/>
  <c r="G1360" i="3"/>
  <c r="D1368" i="3"/>
  <c r="F1368" i="3"/>
  <c r="H1368" i="3"/>
  <c r="E1368" i="3"/>
  <c r="G1368" i="3"/>
  <c r="I1368" i="3"/>
  <c r="K1368" i="3"/>
  <c r="L1376" i="3"/>
  <c r="E1376" i="3"/>
  <c r="F1376" i="3"/>
  <c r="G1376" i="3"/>
  <c r="H1376" i="3"/>
  <c r="I1376" i="3"/>
  <c r="D1376" i="3"/>
  <c r="K1376" i="3"/>
  <c r="L1384" i="3"/>
  <c r="E1384" i="3"/>
  <c r="F1384" i="3"/>
  <c r="G1384" i="3"/>
  <c r="H1384" i="3"/>
  <c r="I1384" i="3"/>
  <c r="D1384" i="3"/>
  <c r="K1384" i="3"/>
  <c r="E1704" i="3"/>
  <c r="F1704" i="3"/>
  <c r="G1704" i="3"/>
  <c r="I1704" i="3"/>
  <c r="D1704" i="3"/>
  <c r="E1712" i="3"/>
  <c r="F1712" i="3"/>
  <c r="G1712" i="3"/>
  <c r="I1712" i="3"/>
  <c r="D1712" i="3"/>
  <c r="H1712" i="3"/>
  <c r="K1712" i="3"/>
  <c r="L1720" i="3"/>
  <c r="E1720" i="3"/>
  <c r="F1720" i="3"/>
  <c r="G1720" i="3"/>
  <c r="I1720" i="3"/>
  <c r="D1720" i="3"/>
  <c r="H1720" i="3"/>
  <c r="K1720" i="3"/>
  <c r="L1728" i="3"/>
  <c r="E1728" i="3"/>
  <c r="F1728" i="3"/>
  <c r="G1728" i="3"/>
  <c r="I1728" i="3"/>
  <c r="D1728" i="3"/>
  <c r="H1728" i="3"/>
  <c r="K1728" i="3"/>
  <c r="G2048" i="3"/>
  <c r="I2048" i="3"/>
  <c r="E2048" i="3"/>
  <c r="H2048" i="3"/>
  <c r="K2048" i="3"/>
  <c r="F2056" i="3"/>
  <c r="G2056" i="3"/>
  <c r="H2056" i="3"/>
  <c r="K2056" i="3"/>
  <c r="D2056" i="3"/>
  <c r="L2064" i="3"/>
  <c r="F2064" i="3"/>
  <c r="G2064" i="3"/>
  <c r="H2064" i="3"/>
  <c r="K2064" i="3"/>
  <c r="D2064" i="3"/>
  <c r="E2064" i="3"/>
  <c r="I2064" i="3"/>
  <c r="L2072" i="3"/>
  <c r="F2072" i="3"/>
  <c r="G2072" i="3"/>
  <c r="H2072" i="3"/>
  <c r="K2072" i="3"/>
  <c r="D2072" i="3"/>
  <c r="E2072" i="3"/>
  <c r="I2072" i="3"/>
  <c r="F2392" i="3"/>
  <c r="G2392" i="3"/>
  <c r="H2392" i="3"/>
  <c r="I2392" i="3"/>
  <c r="K2392" i="3"/>
  <c r="D2392" i="3"/>
  <c r="E2392" i="3"/>
  <c r="H2400" i="3"/>
  <c r="I2400" i="3"/>
  <c r="K2400" i="3"/>
  <c r="D2400" i="3"/>
  <c r="E2400" i="3"/>
  <c r="F2400" i="3"/>
  <c r="G2400" i="3"/>
  <c r="H2408" i="3"/>
  <c r="I2408" i="3"/>
  <c r="K2408" i="3"/>
  <c r="D2408" i="3"/>
  <c r="E2408" i="3"/>
  <c r="F2408" i="3"/>
  <c r="G2408" i="3"/>
  <c r="L2416" i="3"/>
  <c r="H2416" i="3"/>
  <c r="I2416" i="3"/>
  <c r="K2416" i="3"/>
  <c r="D2416" i="3"/>
  <c r="E2416" i="3"/>
  <c r="F2416" i="3"/>
  <c r="G2416" i="3"/>
  <c r="F349" i="3"/>
  <c r="I346" i="3"/>
  <c r="G343" i="3"/>
  <c r="E340" i="3"/>
  <c r="F334" i="3"/>
  <c r="D331" i="3"/>
  <c r="G328" i="3"/>
  <c r="E325" i="3"/>
  <c r="F694" i="3"/>
  <c r="D691" i="3"/>
  <c r="I687" i="3"/>
  <c r="E685" i="3"/>
  <c r="H678" i="3"/>
  <c r="I672" i="3"/>
  <c r="K668" i="3"/>
  <c r="H1038" i="3"/>
  <c r="H1029" i="3"/>
  <c r="F1021" i="3"/>
  <c r="G1014" i="3"/>
  <c r="H1358" i="3"/>
  <c r="H2410" i="3"/>
  <c r="D338" i="3"/>
  <c r="E338" i="3"/>
  <c r="F338" i="3"/>
  <c r="G338" i="3"/>
  <c r="H338" i="3"/>
  <c r="L690" i="3"/>
  <c r="E690" i="3"/>
  <c r="F690" i="3"/>
  <c r="G690" i="3"/>
  <c r="H690" i="3"/>
  <c r="I690" i="3"/>
  <c r="L1034" i="3"/>
  <c r="F1034" i="3"/>
  <c r="G1034" i="3"/>
  <c r="H1034" i="3"/>
  <c r="I1034" i="3"/>
  <c r="K1034" i="3"/>
  <c r="D1034" i="3"/>
  <c r="E1034" i="3"/>
  <c r="F332" i="3"/>
  <c r="G332" i="3"/>
  <c r="H332" i="3"/>
  <c r="I332" i="3"/>
  <c r="K332" i="3"/>
  <c r="G676" i="3"/>
  <c r="H676" i="3"/>
  <c r="I676" i="3"/>
  <c r="K676" i="3"/>
  <c r="H1012" i="3"/>
  <c r="I1012" i="3"/>
  <c r="K1012" i="3"/>
  <c r="D1012" i="3"/>
  <c r="F1012" i="3"/>
  <c r="G1012" i="3"/>
  <c r="H326" i="3"/>
  <c r="I326" i="3"/>
  <c r="K326" i="3"/>
  <c r="D326" i="3"/>
  <c r="L350" i="3"/>
  <c r="H350" i="3"/>
  <c r="I350" i="3"/>
  <c r="K350" i="3"/>
  <c r="D350" i="3"/>
  <c r="L686" i="3"/>
  <c r="I686" i="3"/>
  <c r="K686" i="3"/>
  <c r="D686" i="3"/>
  <c r="E686" i="3"/>
  <c r="D321" i="3"/>
  <c r="E321" i="3"/>
  <c r="F321" i="3"/>
  <c r="G321" i="3"/>
  <c r="D329" i="3"/>
  <c r="E329" i="3"/>
  <c r="F329" i="3"/>
  <c r="G329" i="3"/>
  <c r="D337" i="3"/>
  <c r="E337" i="3"/>
  <c r="F337" i="3"/>
  <c r="G337" i="3"/>
  <c r="L345" i="3"/>
  <c r="D345" i="3"/>
  <c r="E345" i="3"/>
  <c r="F345" i="3"/>
  <c r="G345" i="3"/>
  <c r="D673" i="3"/>
  <c r="E673" i="3"/>
  <c r="F673" i="3"/>
  <c r="G673" i="3"/>
  <c r="H673" i="3"/>
  <c r="D681" i="3"/>
  <c r="E681" i="3"/>
  <c r="F681" i="3"/>
  <c r="G681" i="3"/>
  <c r="H681" i="3"/>
  <c r="L689" i="3"/>
  <c r="D689" i="3"/>
  <c r="E689" i="3"/>
  <c r="F689" i="3"/>
  <c r="G689" i="3"/>
  <c r="H689" i="3"/>
  <c r="E1017" i="3"/>
  <c r="F1017" i="3"/>
  <c r="G1017" i="3"/>
  <c r="H1017" i="3"/>
  <c r="I1017" i="3"/>
  <c r="E1025" i="3"/>
  <c r="F1025" i="3"/>
  <c r="G1025" i="3"/>
  <c r="H1025" i="3"/>
  <c r="I1025" i="3"/>
  <c r="D1025" i="3"/>
  <c r="K1025" i="3"/>
  <c r="L1033" i="3"/>
  <c r="E1033" i="3"/>
  <c r="F1033" i="3"/>
  <c r="G1033" i="3"/>
  <c r="H1033" i="3"/>
  <c r="I1033" i="3"/>
  <c r="K1033" i="3"/>
  <c r="E1361" i="3"/>
  <c r="G1361" i="3"/>
  <c r="I1361" i="3"/>
  <c r="D1361" i="3"/>
  <c r="F1361" i="3"/>
  <c r="H1361" i="3"/>
  <c r="K1361" i="3"/>
  <c r="E1369" i="3"/>
  <c r="G1369" i="3"/>
  <c r="I1369" i="3"/>
  <c r="K1369" i="3"/>
  <c r="L1377" i="3"/>
  <c r="F1377" i="3"/>
  <c r="G1377" i="3"/>
  <c r="H1377" i="3"/>
  <c r="I1377" i="3"/>
  <c r="K1377" i="3"/>
  <c r="L1385" i="3"/>
  <c r="F1385" i="3"/>
  <c r="G1385" i="3"/>
  <c r="H1385" i="3"/>
  <c r="I1385" i="3"/>
  <c r="K1385" i="3"/>
  <c r="D1385" i="3"/>
  <c r="E1385" i="3"/>
  <c r="F1705" i="3"/>
  <c r="G1705" i="3"/>
  <c r="H1705" i="3"/>
  <c r="K1705" i="3"/>
  <c r="D1705" i="3"/>
  <c r="E1705" i="3"/>
  <c r="I1705" i="3"/>
  <c r="F1713" i="3"/>
  <c r="G1713" i="3"/>
  <c r="H1713" i="3"/>
  <c r="K1713" i="3"/>
  <c r="D1713" i="3"/>
  <c r="E1713" i="3"/>
  <c r="I1713" i="3"/>
  <c r="F1721" i="3"/>
  <c r="G1721" i="3"/>
  <c r="H1721" i="3"/>
  <c r="K1721" i="3"/>
  <c r="D1721" i="3"/>
  <c r="E1721" i="3"/>
  <c r="L1721" i="3"/>
  <c r="I1721" i="3"/>
  <c r="F1729" i="3"/>
  <c r="G1729" i="3"/>
  <c r="H1729" i="3"/>
  <c r="L1729" i="3"/>
  <c r="K1729" i="3"/>
  <c r="D1729" i="3"/>
  <c r="H2049" i="3"/>
  <c r="K2049" i="3"/>
  <c r="D2049" i="3"/>
  <c r="E2049" i="3"/>
  <c r="F2049" i="3"/>
  <c r="G2049" i="3"/>
  <c r="I2049" i="3"/>
  <c r="G2057" i="3"/>
  <c r="H2057" i="3"/>
  <c r="I2057" i="3"/>
  <c r="E2057" i="3"/>
  <c r="F2057" i="3"/>
  <c r="K2057" i="3"/>
  <c r="D2057" i="3"/>
  <c r="L2065" i="3"/>
  <c r="G2065" i="3"/>
  <c r="H2065" i="3"/>
  <c r="I2065" i="3"/>
  <c r="D2065" i="3"/>
  <c r="E2065" i="3"/>
  <c r="F2065" i="3"/>
  <c r="K2065" i="3"/>
  <c r="L2073" i="3"/>
  <c r="G2073" i="3"/>
  <c r="H2073" i="3"/>
  <c r="I2073" i="3"/>
  <c r="E2073" i="3"/>
  <c r="F2073" i="3"/>
  <c r="K2073" i="3"/>
  <c r="G2393" i="3"/>
  <c r="H2393" i="3"/>
  <c r="I2393" i="3"/>
  <c r="K2393" i="3"/>
  <c r="D2393" i="3"/>
  <c r="E2393" i="3"/>
  <c r="F2393" i="3"/>
  <c r="I2401" i="3"/>
  <c r="K2401" i="3"/>
  <c r="E2401" i="3"/>
  <c r="F2401" i="3"/>
  <c r="H2401" i="3"/>
  <c r="G2401" i="3"/>
  <c r="L2409" i="3"/>
  <c r="I2409" i="3"/>
  <c r="K2409" i="3"/>
  <c r="E2409" i="3"/>
  <c r="F2409" i="3"/>
  <c r="G2409" i="3"/>
  <c r="H2409" i="3"/>
  <c r="D2409" i="3"/>
  <c r="L2417" i="3"/>
  <c r="I2417" i="3"/>
  <c r="K2417" i="3"/>
  <c r="E2417" i="3"/>
  <c r="F2417" i="3"/>
  <c r="D2417" i="3"/>
  <c r="G2417" i="3"/>
  <c r="H2417" i="3"/>
  <c r="E349" i="3"/>
  <c r="K345" i="3"/>
  <c r="F343" i="3"/>
  <c r="D340" i="3"/>
  <c r="I336" i="3"/>
  <c r="E334" i="3"/>
  <c r="K330" i="3"/>
  <c r="H327" i="3"/>
  <c r="D325" i="3"/>
  <c r="I321" i="3"/>
  <c r="G693" i="3"/>
  <c r="K690" i="3"/>
  <c r="H687" i="3"/>
  <c r="F684" i="3"/>
  <c r="I681" i="3"/>
  <c r="G678" i="3"/>
  <c r="E675" i="3"/>
  <c r="H672" i="3"/>
  <c r="I668" i="3"/>
  <c r="F1036" i="3"/>
  <c r="G1029" i="3"/>
  <c r="G1020" i="3"/>
  <c r="E1012" i="3"/>
  <c r="F1369" i="3"/>
  <c r="D1730" i="3"/>
  <c r="G2074" i="3"/>
  <c r="I2056" i="3"/>
  <c r="E2410" i="3"/>
  <c r="G1371" i="3"/>
  <c r="I1371" i="3"/>
  <c r="H1371" i="3"/>
  <c r="K1371" i="3"/>
  <c r="L1379" i="3"/>
  <c r="H1379" i="3"/>
  <c r="I1379" i="3"/>
  <c r="K1379" i="3"/>
  <c r="D1379" i="3"/>
  <c r="H1707" i="3"/>
  <c r="I1707" i="3"/>
  <c r="K1707" i="3"/>
  <c r="D1707" i="3"/>
  <c r="F1707" i="3"/>
  <c r="G1707" i="3"/>
  <c r="H1715" i="3"/>
  <c r="I1715" i="3"/>
  <c r="K1715" i="3"/>
  <c r="D1715" i="3"/>
  <c r="E1715" i="3"/>
  <c r="F1715" i="3"/>
  <c r="L1723" i="3"/>
  <c r="H1723" i="3"/>
  <c r="I1723" i="3"/>
  <c r="K1723" i="3"/>
  <c r="D1723" i="3"/>
  <c r="F1723" i="3"/>
  <c r="G1723" i="3"/>
  <c r="K2051" i="3"/>
  <c r="D2051" i="3"/>
  <c r="F2051" i="3"/>
  <c r="E2051" i="3"/>
  <c r="G2051" i="3"/>
  <c r="I2051" i="3"/>
  <c r="I2059" i="3"/>
  <c r="K2059" i="3"/>
  <c r="E2059" i="3"/>
  <c r="G2059" i="3"/>
  <c r="H2059" i="3"/>
  <c r="L2067" i="3"/>
  <c r="I2067" i="3"/>
  <c r="K2067" i="3"/>
  <c r="E2067" i="3"/>
  <c r="D2067" i="3"/>
  <c r="F2067" i="3"/>
  <c r="G2067" i="3"/>
  <c r="L2075" i="3"/>
  <c r="I2075" i="3"/>
  <c r="K2075" i="3"/>
  <c r="E2075" i="3"/>
  <c r="G2075" i="3"/>
  <c r="H2075" i="3"/>
  <c r="K2395" i="3"/>
  <c r="D2395" i="3"/>
  <c r="E2395" i="3"/>
  <c r="F2395" i="3"/>
  <c r="G2395" i="3"/>
  <c r="I2395" i="3"/>
  <c r="D2403" i="3"/>
  <c r="E2403" i="3"/>
  <c r="G2403" i="3"/>
  <c r="H2403" i="3"/>
  <c r="F2403" i="3"/>
  <c r="I2403" i="3"/>
  <c r="K2403" i="3"/>
  <c r="L2411" i="3"/>
  <c r="D2411" i="3"/>
  <c r="E2411" i="3"/>
  <c r="G2411" i="3"/>
  <c r="H2411" i="3"/>
  <c r="I2411" i="3"/>
  <c r="K2411" i="3"/>
  <c r="F2411" i="3"/>
  <c r="L2419" i="3"/>
  <c r="D2419" i="3"/>
  <c r="E2419" i="3"/>
  <c r="G2419" i="3"/>
  <c r="H2419" i="3"/>
  <c r="K2419" i="3"/>
  <c r="I1382" i="3"/>
  <c r="G1379" i="3"/>
  <c r="I1367" i="3"/>
  <c r="I1727" i="3"/>
  <c r="G1709" i="3"/>
  <c r="I2419" i="3"/>
  <c r="H2395" i="3"/>
  <c r="L1380" i="3"/>
  <c r="I1380" i="3"/>
  <c r="K1380" i="3"/>
  <c r="D1380" i="3"/>
  <c r="E1380" i="3"/>
  <c r="I1708" i="3"/>
  <c r="K1708" i="3"/>
  <c r="E1708" i="3"/>
  <c r="D1708" i="3"/>
  <c r="F1708" i="3"/>
  <c r="G1708" i="3"/>
  <c r="I1716" i="3"/>
  <c r="K1716" i="3"/>
  <c r="E1716" i="3"/>
  <c r="G1716" i="3"/>
  <c r="H1716" i="3"/>
  <c r="L1724" i="3"/>
  <c r="I1724" i="3"/>
  <c r="K1724" i="3"/>
  <c r="E1724" i="3"/>
  <c r="D1724" i="3"/>
  <c r="F1724" i="3"/>
  <c r="G1724" i="3"/>
  <c r="E2052" i="3"/>
  <c r="G2052" i="3"/>
  <c r="I2052" i="3"/>
  <c r="K2052" i="3"/>
  <c r="F2052" i="3"/>
  <c r="H2052" i="3"/>
  <c r="K2060" i="3"/>
  <c r="D2060" i="3"/>
  <c r="F2060" i="3"/>
  <c r="E2060" i="3"/>
  <c r="G2060" i="3"/>
  <c r="H2060" i="3"/>
  <c r="K2068" i="3"/>
  <c r="D2068" i="3"/>
  <c r="F2068" i="3"/>
  <c r="H2068" i="3"/>
  <c r="I2068" i="3"/>
  <c r="D2396" i="3"/>
  <c r="E2396" i="3"/>
  <c r="F2396" i="3"/>
  <c r="G2396" i="3"/>
  <c r="H2396" i="3"/>
  <c r="K2396" i="3"/>
  <c r="D2404" i="3"/>
  <c r="E2404" i="3"/>
  <c r="F2404" i="3"/>
  <c r="H2404" i="3"/>
  <c r="I2404" i="3"/>
  <c r="K2404" i="3"/>
  <c r="D2412" i="3"/>
  <c r="E2412" i="3"/>
  <c r="L2412" i="3"/>
  <c r="F2412" i="3"/>
  <c r="H2412" i="3"/>
  <c r="I2412" i="3"/>
  <c r="G2412" i="3"/>
  <c r="K2412" i="3"/>
  <c r="D2420" i="3"/>
  <c r="L2420" i="3"/>
  <c r="F2420" i="3"/>
  <c r="H2420" i="3"/>
  <c r="G2420" i="3"/>
  <c r="I2420" i="3"/>
  <c r="K2420" i="3"/>
  <c r="E2420" i="3"/>
  <c r="F1379" i="3"/>
  <c r="H1367" i="3"/>
  <c r="G1715" i="3"/>
  <c r="H1702" i="3"/>
  <c r="F2059" i="3"/>
  <c r="F2419" i="3"/>
  <c r="K1701" i="3"/>
  <c r="D1701" i="3"/>
  <c r="F1701" i="3"/>
  <c r="E1701" i="3"/>
  <c r="G1701" i="3"/>
  <c r="H1701" i="3"/>
  <c r="K1709" i="3"/>
  <c r="D1709" i="3"/>
  <c r="F1709" i="3"/>
  <c r="H1709" i="3"/>
  <c r="I1709" i="3"/>
  <c r="K1717" i="3"/>
  <c r="D1717" i="3"/>
  <c r="F1717" i="3"/>
  <c r="E1717" i="3"/>
  <c r="G1717" i="3"/>
  <c r="H1717" i="3"/>
  <c r="L1725" i="3"/>
  <c r="K1725" i="3"/>
  <c r="D1725" i="3"/>
  <c r="F1725" i="3"/>
  <c r="H1725" i="3"/>
  <c r="I1725" i="3"/>
  <c r="D2053" i="3"/>
  <c r="E2053" i="3"/>
  <c r="G2053" i="3"/>
  <c r="F2053" i="3"/>
  <c r="H2053" i="3"/>
  <c r="I2053" i="3"/>
  <c r="D2061" i="3"/>
  <c r="E2061" i="3"/>
  <c r="G2061" i="3"/>
  <c r="I2061" i="3"/>
  <c r="L2061" i="3" s="1"/>
  <c r="K2061" i="3"/>
  <c r="L2069" i="3"/>
  <c r="D2069" i="3"/>
  <c r="E2069" i="3"/>
  <c r="G2069" i="3"/>
  <c r="F2069" i="3"/>
  <c r="H2069" i="3"/>
  <c r="I2069" i="3"/>
  <c r="D2397" i="3"/>
  <c r="E2397" i="3"/>
  <c r="F2397" i="3"/>
  <c r="G2397" i="3"/>
  <c r="I2397" i="3"/>
  <c r="K2397" i="3"/>
  <c r="H2397" i="3"/>
  <c r="E2405" i="3"/>
  <c r="F2405" i="3"/>
  <c r="G2405" i="3"/>
  <c r="I2405" i="3"/>
  <c r="D2405" i="3"/>
  <c r="K2405" i="3"/>
  <c r="E2413" i="3"/>
  <c r="F2413" i="3"/>
  <c r="G2413" i="3"/>
  <c r="L2413" i="3"/>
  <c r="I2413" i="3"/>
  <c r="K2413" i="3"/>
  <c r="D2413" i="3"/>
  <c r="E1379" i="3"/>
  <c r="K1375" i="3"/>
  <c r="F1371" i="3"/>
  <c r="H1708" i="3"/>
  <c r="D2059" i="3"/>
  <c r="D2052" i="3"/>
  <c r="H2405" i="3"/>
  <c r="K1374" i="3"/>
  <c r="F1374" i="3"/>
  <c r="I1374" i="3"/>
  <c r="L1374" i="3"/>
  <c r="D1374" i="3"/>
  <c r="L1382" i="3"/>
  <c r="D1382" i="3"/>
  <c r="E1382" i="3"/>
  <c r="F1382" i="3"/>
  <c r="G1382" i="3"/>
  <c r="D1702" i="3"/>
  <c r="E1702" i="3"/>
  <c r="G1702" i="3"/>
  <c r="I1702" i="3"/>
  <c r="K1702" i="3"/>
  <c r="D1710" i="3"/>
  <c r="E1710" i="3"/>
  <c r="G1710" i="3"/>
  <c r="F1710" i="3"/>
  <c r="H1710" i="3"/>
  <c r="I1710" i="3"/>
  <c r="D1718" i="3"/>
  <c r="E1718" i="3"/>
  <c r="G1718" i="3"/>
  <c r="I1718" i="3"/>
  <c r="K1718" i="3"/>
  <c r="L1726" i="3"/>
  <c r="D1726" i="3"/>
  <c r="E1726" i="3"/>
  <c r="G1726" i="3"/>
  <c r="F1726" i="3"/>
  <c r="H1726" i="3"/>
  <c r="I1726" i="3"/>
  <c r="E2046" i="3"/>
  <c r="G2046" i="3"/>
  <c r="I2046" i="3"/>
  <c r="F2046" i="3"/>
  <c r="D2046" i="3"/>
  <c r="H2046" i="3"/>
  <c r="K2046" i="3"/>
  <c r="D2054" i="3"/>
  <c r="E2054" i="3"/>
  <c r="F2054" i="3"/>
  <c r="H2054" i="3"/>
  <c r="K2054" i="3"/>
  <c r="D2062" i="3"/>
  <c r="E2062" i="3"/>
  <c r="F2062" i="3"/>
  <c r="H2062" i="3"/>
  <c r="G2062" i="3"/>
  <c r="I2062" i="3"/>
  <c r="K2062" i="3"/>
  <c r="L2070" i="3"/>
  <c r="D2070" i="3"/>
  <c r="E2070" i="3"/>
  <c r="F2070" i="3"/>
  <c r="H2070" i="3"/>
  <c r="K2070" i="3"/>
  <c r="F2398" i="3"/>
  <c r="G2398" i="3"/>
  <c r="H2398" i="3"/>
  <c r="K2398" i="3"/>
  <c r="D2398" i="3"/>
  <c r="E2398" i="3"/>
  <c r="I2398" i="3"/>
  <c r="F2406" i="3"/>
  <c r="G2406" i="3"/>
  <c r="H2406" i="3"/>
  <c r="K2406" i="3"/>
  <c r="E2406" i="3"/>
  <c r="I2406" i="3"/>
  <c r="F2414" i="3"/>
  <c r="G2414" i="3"/>
  <c r="H2414" i="3"/>
  <c r="L2414" i="3"/>
  <c r="K2414" i="3"/>
  <c r="D2414" i="3"/>
  <c r="E2414" i="3"/>
  <c r="E1371" i="3"/>
  <c r="G1725" i="3"/>
  <c r="E1707" i="3"/>
  <c r="I1701" i="3"/>
  <c r="G2070" i="3"/>
  <c r="H2051" i="3"/>
  <c r="G2404" i="3"/>
  <c r="E1367" i="3"/>
  <c r="G1367" i="3"/>
  <c r="K1367" i="3"/>
  <c r="D1367" i="3"/>
  <c r="L1375" i="3"/>
  <c r="G1375" i="3"/>
  <c r="D1375" i="3"/>
  <c r="E1375" i="3"/>
  <c r="F1375" i="3"/>
  <c r="H1375" i="3"/>
  <c r="L1383" i="3"/>
  <c r="D1383" i="3"/>
  <c r="E1383" i="3"/>
  <c r="F1383" i="3"/>
  <c r="G1383" i="3"/>
  <c r="H1383" i="3"/>
  <c r="D1703" i="3"/>
  <c r="E1703" i="3"/>
  <c r="F1703" i="3"/>
  <c r="H1703" i="3"/>
  <c r="G1703" i="3"/>
  <c r="I1703" i="3"/>
  <c r="K1703" i="3"/>
  <c r="D1711" i="3"/>
  <c r="E1711" i="3"/>
  <c r="F1711" i="3"/>
  <c r="H1711" i="3"/>
  <c r="K1711" i="3"/>
  <c r="L1719" i="3"/>
  <c r="D1719" i="3"/>
  <c r="E1719" i="3"/>
  <c r="F1719" i="3"/>
  <c r="H1719" i="3"/>
  <c r="G1719" i="3"/>
  <c r="I1719" i="3"/>
  <c r="K1719" i="3"/>
  <c r="L1727" i="3"/>
  <c r="D1727" i="3"/>
  <c r="E1727" i="3"/>
  <c r="F1727" i="3"/>
  <c r="H1727" i="3"/>
  <c r="K1727" i="3"/>
  <c r="F2047" i="3"/>
  <c r="H2047" i="3"/>
  <c r="K2047" i="3"/>
  <c r="E2047" i="3"/>
  <c r="G2047" i="3"/>
  <c r="I2047" i="3"/>
  <c r="E2055" i="3"/>
  <c r="F2055" i="3"/>
  <c r="G2055" i="3"/>
  <c r="I2055" i="3"/>
  <c r="D2055" i="3"/>
  <c r="H2055" i="3"/>
  <c r="K2055" i="3"/>
  <c r="E2063" i="3"/>
  <c r="F2063" i="3"/>
  <c r="G2063" i="3"/>
  <c r="I2063" i="3"/>
  <c r="L2071" i="3"/>
  <c r="E2071" i="3"/>
  <c r="F2071" i="3"/>
  <c r="G2071" i="3"/>
  <c r="I2071" i="3"/>
  <c r="D2071" i="3"/>
  <c r="H2071" i="3"/>
  <c r="K2071" i="3"/>
  <c r="E2391" i="3"/>
  <c r="F2391" i="3"/>
  <c r="G2391" i="3"/>
  <c r="H2391" i="3"/>
  <c r="I2391" i="3"/>
  <c r="K2391" i="3"/>
  <c r="D2391" i="3"/>
  <c r="G2399" i="3"/>
  <c r="H2399" i="3"/>
  <c r="I2399" i="3"/>
  <c r="D2399" i="3"/>
  <c r="E2399" i="3"/>
  <c r="F2399" i="3"/>
  <c r="G2407" i="3"/>
  <c r="H2407" i="3"/>
  <c r="I2407" i="3"/>
  <c r="D2407" i="3"/>
  <c r="E2407" i="3"/>
  <c r="F2407" i="3"/>
  <c r="K2407" i="3"/>
  <c r="G2415" i="3"/>
  <c r="H2415" i="3"/>
  <c r="I2415" i="3"/>
  <c r="D2415" i="3"/>
  <c r="F2415" i="3"/>
  <c r="K2415" i="3"/>
  <c r="H1374" i="3"/>
  <c r="D1371" i="3"/>
  <c r="E1725" i="3"/>
  <c r="H1718" i="3"/>
  <c r="F2075" i="3"/>
  <c r="K2069" i="3"/>
  <c r="H2063" i="3"/>
  <c r="I2414" i="3"/>
  <c r="H319" i="3"/>
  <c r="H287" i="3"/>
  <c r="H255" i="3"/>
  <c r="H159" i="3"/>
  <c r="I320" i="3"/>
  <c r="E316" i="3"/>
  <c r="H311" i="3"/>
  <c r="D307" i="3"/>
  <c r="G302" i="3"/>
  <c r="K297" i="3"/>
  <c r="F293" i="3"/>
  <c r="I288" i="3"/>
  <c r="E284" i="3"/>
  <c r="H279" i="3"/>
  <c r="D275" i="3"/>
  <c r="G270" i="3"/>
  <c r="K265" i="3"/>
  <c r="F261" i="3"/>
  <c r="I256" i="3"/>
  <c r="E252" i="3"/>
  <c r="H247" i="3"/>
  <c r="D243" i="3"/>
  <c r="G238" i="3"/>
  <c r="K233" i="3"/>
  <c r="F229" i="3"/>
  <c r="I224" i="3"/>
  <c r="E220" i="3"/>
  <c r="H215" i="3"/>
  <c r="D211" i="3"/>
  <c r="G206" i="3"/>
  <c r="K201" i="3"/>
  <c r="F197" i="3"/>
  <c r="I192" i="3"/>
  <c r="E188" i="3"/>
  <c r="H183" i="3"/>
  <c r="D179" i="3"/>
  <c r="G174" i="3"/>
  <c r="K169" i="3"/>
  <c r="F165" i="3"/>
  <c r="I160" i="3"/>
  <c r="D156" i="3"/>
  <c r="K150" i="3"/>
  <c r="D145" i="3"/>
  <c r="K134" i="3"/>
  <c r="G122" i="3"/>
  <c r="I110" i="3"/>
  <c r="F98" i="3"/>
  <c r="K85" i="3"/>
  <c r="E74" i="3"/>
  <c r="G59" i="3"/>
  <c r="E41" i="3"/>
  <c r="K22" i="3"/>
  <c r="E651" i="3"/>
  <c r="K632" i="3"/>
  <c r="H614" i="3"/>
  <c r="F596" i="3"/>
  <c r="D578" i="3"/>
  <c r="I559" i="3"/>
  <c r="G541" i="3"/>
  <c r="K520" i="3"/>
  <c r="K490" i="3"/>
  <c r="D422" i="3"/>
  <c r="G920" i="3"/>
  <c r="I740" i="3"/>
  <c r="K305" i="3"/>
  <c r="F237" i="3"/>
  <c r="K513" i="3"/>
  <c r="I319" i="3"/>
  <c r="E315" i="3"/>
  <c r="H310" i="3"/>
  <c r="D306" i="3"/>
  <c r="G301" i="3"/>
  <c r="K296" i="3"/>
  <c r="F292" i="3"/>
  <c r="I287" i="3"/>
  <c r="E283" i="3"/>
  <c r="H278" i="3"/>
  <c r="D274" i="3"/>
  <c r="G269" i="3"/>
  <c r="K264" i="3"/>
  <c r="F260" i="3"/>
  <c r="I255" i="3"/>
  <c r="E251" i="3"/>
  <c r="H246" i="3"/>
  <c r="D242" i="3"/>
  <c r="G237" i="3"/>
  <c r="K232" i="3"/>
  <c r="F228" i="3"/>
  <c r="I223" i="3"/>
  <c r="E219" i="3"/>
  <c r="H214" i="3"/>
  <c r="D210" i="3"/>
  <c r="G205" i="3"/>
  <c r="K200" i="3"/>
  <c r="F196" i="3"/>
  <c r="I191" i="3"/>
  <c r="E187" i="3"/>
  <c r="H182" i="3"/>
  <c r="D178" i="3"/>
  <c r="G173" i="3"/>
  <c r="K168" i="3"/>
  <c r="F164" i="3"/>
  <c r="I159" i="3"/>
  <c r="K154" i="3"/>
  <c r="I149" i="3"/>
  <c r="K142" i="3"/>
  <c r="G132" i="3"/>
  <c r="D120" i="3"/>
  <c r="H107" i="3"/>
  <c r="K95" i="3"/>
  <c r="G83" i="3"/>
  <c r="D71" i="3"/>
  <c r="D55" i="3"/>
  <c r="I36" i="3"/>
  <c r="G18" i="3"/>
  <c r="D665" i="3"/>
  <c r="I646" i="3"/>
  <c r="G628" i="3"/>
  <c r="E610" i="3"/>
  <c r="K591" i="3"/>
  <c r="H573" i="3"/>
  <c r="F555" i="3"/>
  <c r="K536" i="3"/>
  <c r="D514" i="3"/>
  <c r="E477" i="3"/>
  <c r="D404" i="3"/>
  <c r="K996" i="3"/>
  <c r="I884" i="3"/>
  <c r="D315" i="3"/>
  <c r="D283" i="3"/>
  <c r="I264" i="3"/>
  <c r="D251" i="3"/>
  <c r="I232" i="3"/>
  <c r="H223" i="3"/>
  <c r="G214" i="3"/>
  <c r="I200" i="3"/>
  <c r="H191" i="3"/>
  <c r="K177" i="3"/>
  <c r="E164" i="3"/>
  <c r="I154" i="3"/>
  <c r="I142" i="3"/>
  <c r="K119" i="3"/>
  <c r="D95" i="3"/>
  <c r="K70" i="3"/>
  <c r="H36" i="3"/>
  <c r="F628" i="3"/>
  <c r="G573" i="3"/>
  <c r="I536" i="3"/>
  <c r="K476" i="3"/>
  <c r="K883" i="3"/>
  <c r="H318" i="3"/>
  <c r="D314" i="3"/>
  <c r="G309" i="3"/>
  <c r="K304" i="3"/>
  <c r="F300" i="3"/>
  <c r="I295" i="3"/>
  <c r="E291" i="3"/>
  <c r="H286" i="3"/>
  <c r="D282" i="3"/>
  <c r="G277" i="3"/>
  <c r="K272" i="3"/>
  <c r="F268" i="3"/>
  <c r="I263" i="3"/>
  <c r="E259" i="3"/>
  <c r="H254" i="3"/>
  <c r="D250" i="3"/>
  <c r="G245" i="3"/>
  <c r="K240" i="3"/>
  <c r="F236" i="3"/>
  <c r="I231" i="3"/>
  <c r="E227" i="3"/>
  <c r="H222" i="3"/>
  <c r="D218" i="3"/>
  <c r="G213" i="3"/>
  <c r="K208" i="3"/>
  <c r="F204" i="3"/>
  <c r="I199" i="3"/>
  <c r="E195" i="3"/>
  <c r="H190" i="3"/>
  <c r="D186" i="3"/>
  <c r="G181" i="3"/>
  <c r="K176" i="3"/>
  <c r="F172" i="3"/>
  <c r="I167" i="3"/>
  <c r="E163" i="3"/>
  <c r="H158" i="3"/>
  <c r="H153" i="3"/>
  <c r="G148" i="3"/>
  <c r="H140" i="3"/>
  <c r="E129" i="3"/>
  <c r="I116" i="3"/>
  <c r="D105" i="3"/>
  <c r="H92" i="3"/>
  <c r="E80" i="3"/>
  <c r="G68" i="3"/>
  <c r="G50" i="3"/>
  <c r="E32" i="3"/>
  <c r="K13" i="3"/>
  <c r="G660" i="3"/>
  <c r="E642" i="3"/>
  <c r="K623" i="3"/>
  <c r="H605" i="3"/>
  <c r="F587" i="3"/>
  <c r="D569" i="3"/>
  <c r="I550" i="3"/>
  <c r="I531" i="3"/>
  <c r="K506" i="3"/>
  <c r="K458" i="3"/>
  <c r="I385" i="3"/>
  <c r="H978" i="3"/>
  <c r="D839" i="3"/>
  <c r="F1304" i="3"/>
  <c r="I296" i="3"/>
  <c r="F269" i="3"/>
  <c r="G182" i="3"/>
  <c r="G318" i="3"/>
  <c r="K313" i="3"/>
  <c r="F309" i="3"/>
  <c r="I304" i="3"/>
  <c r="E300" i="3"/>
  <c r="H295" i="3"/>
  <c r="D291" i="3"/>
  <c r="G286" i="3"/>
  <c r="K281" i="3"/>
  <c r="F277" i="3"/>
  <c r="I272" i="3"/>
  <c r="E268" i="3"/>
  <c r="H263" i="3"/>
  <c r="D259" i="3"/>
  <c r="G254" i="3"/>
  <c r="K249" i="3"/>
  <c r="F245" i="3"/>
  <c r="I240" i="3"/>
  <c r="E236" i="3"/>
  <c r="H231" i="3"/>
  <c r="D227" i="3"/>
  <c r="G222" i="3"/>
  <c r="K217" i="3"/>
  <c r="F213" i="3"/>
  <c r="I208" i="3"/>
  <c r="E204" i="3"/>
  <c r="H199" i="3"/>
  <c r="D195" i="3"/>
  <c r="G190" i="3"/>
  <c r="K185" i="3"/>
  <c r="F181" i="3"/>
  <c r="I176" i="3"/>
  <c r="E172" i="3"/>
  <c r="H167" i="3"/>
  <c r="D163" i="3"/>
  <c r="G158" i="3"/>
  <c r="G153" i="3"/>
  <c r="E148" i="3"/>
  <c r="G140" i="3"/>
  <c r="D129" i="3"/>
  <c r="H116" i="3"/>
  <c r="E104" i="3"/>
  <c r="G92" i="3"/>
  <c r="D80" i="3"/>
  <c r="H67" i="3"/>
  <c r="F50" i="3"/>
  <c r="D32" i="3"/>
  <c r="I13" i="3"/>
  <c r="F660" i="3"/>
  <c r="D642" i="3"/>
  <c r="I623" i="3"/>
  <c r="G605" i="3"/>
  <c r="E587" i="3"/>
  <c r="K568" i="3"/>
  <c r="H550" i="3"/>
  <c r="G531" i="3"/>
  <c r="H506" i="3"/>
  <c r="H458" i="3"/>
  <c r="G385" i="3"/>
  <c r="F978" i="3"/>
  <c r="D838" i="3"/>
  <c r="E1298" i="3"/>
  <c r="E292" i="3"/>
  <c r="K241" i="3"/>
  <c r="H646" i="3"/>
  <c r="G317" i="3"/>
  <c r="K312" i="3"/>
  <c r="F308" i="3"/>
  <c r="I303" i="3"/>
  <c r="E299" i="3"/>
  <c r="H294" i="3"/>
  <c r="D290" i="3"/>
  <c r="G285" i="3"/>
  <c r="K280" i="3"/>
  <c r="F276" i="3"/>
  <c r="I271" i="3"/>
  <c r="E267" i="3"/>
  <c r="H262" i="3"/>
  <c r="D258" i="3"/>
  <c r="G253" i="3"/>
  <c r="K248" i="3"/>
  <c r="F244" i="3"/>
  <c r="I239" i="3"/>
  <c r="E235" i="3"/>
  <c r="H230" i="3"/>
  <c r="D226" i="3"/>
  <c r="G221" i="3"/>
  <c r="K216" i="3"/>
  <c r="F212" i="3"/>
  <c r="I207" i="3"/>
  <c r="E203" i="3"/>
  <c r="H198" i="3"/>
  <c r="D194" i="3"/>
  <c r="G189" i="3"/>
  <c r="K184" i="3"/>
  <c r="F180" i="3"/>
  <c r="I175" i="3"/>
  <c r="E171" i="3"/>
  <c r="H166" i="3"/>
  <c r="D162" i="3"/>
  <c r="G157" i="3"/>
  <c r="F152" i="3"/>
  <c r="K146" i="3"/>
  <c r="F138" i="3"/>
  <c r="K125" i="3"/>
  <c r="E114" i="3"/>
  <c r="I101" i="3"/>
  <c r="F89" i="3"/>
  <c r="H77" i="3"/>
  <c r="E64" i="3"/>
  <c r="K45" i="3"/>
  <c r="H27" i="3"/>
  <c r="F9" i="3"/>
  <c r="K655" i="3"/>
  <c r="H637" i="3"/>
  <c r="F619" i="3"/>
  <c r="D601" i="3"/>
  <c r="I582" i="3"/>
  <c r="G564" i="3"/>
  <c r="E546" i="3"/>
  <c r="G526" i="3"/>
  <c r="G499" i="3"/>
  <c r="H440" i="3"/>
  <c r="G367" i="3"/>
  <c r="H955" i="3"/>
  <c r="D790" i="3"/>
  <c r="I1119" i="3"/>
  <c r="G310" i="3"/>
  <c r="K273" i="3"/>
  <c r="F205" i="3"/>
  <c r="F317" i="3"/>
  <c r="I312" i="3"/>
  <c r="E308" i="3"/>
  <c r="H303" i="3"/>
  <c r="D299" i="3"/>
  <c r="G294" i="3"/>
  <c r="K289" i="3"/>
  <c r="F285" i="3"/>
  <c r="I280" i="3"/>
  <c r="E276" i="3"/>
  <c r="H271" i="3"/>
  <c r="D267" i="3"/>
  <c r="G262" i="3"/>
  <c r="K257" i="3"/>
  <c r="F253" i="3"/>
  <c r="I248" i="3"/>
  <c r="E244" i="3"/>
  <c r="H239" i="3"/>
  <c r="D235" i="3"/>
  <c r="G230" i="3"/>
  <c r="K225" i="3"/>
  <c r="F221" i="3"/>
  <c r="I216" i="3"/>
  <c r="E212" i="3"/>
  <c r="H207" i="3"/>
  <c r="D203" i="3"/>
  <c r="G198" i="3"/>
  <c r="K193" i="3"/>
  <c r="F189" i="3"/>
  <c r="I184" i="3"/>
  <c r="E180" i="3"/>
  <c r="H175" i="3"/>
  <c r="D171" i="3"/>
  <c r="G166" i="3"/>
  <c r="K161" i="3"/>
  <c r="F157" i="3"/>
  <c r="E152" i="3"/>
  <c r="H146" i="3"/>
  <c r="E138" i="3"/>
  <c r="I125" i="3"/>
  <c r="F113" i="3"/>
  <c r="H101" i="3"/>
  <c r="E89" i="3"/>
  <c r="I76" i="3"/>
  <c r="D64" i="3"/>
  <c r="I45" i="3"/>
  <c r="G27" i="3"/>
  <c r="E9" i="3"/>
  <c r="I655" i="3"/>
  <c r="G637" i="3"/>
  <c r="E619" i="3"/>
  <c r="K600" i="3"/>
  <c r="H582" i="3"/>
  <c r="F564" i="3"/>
  <c r="D546" i="3"/>
  <c r="F526" i="3"/>
  <c r="E499" i="3"/>
  <c r="F440" i="3"/>
  <c r="E367" i="3"/>
  <c r="K954" i="3"/>
  <c r="D789" i="3"/>
  <c r="H1110" i="3"/>
  <c r="F301" i="3"/>
  <c r="G278" i="3"/>
  <c r="E260" i="3"/>
  <c r="G246" i="3"/>
  <c r="E228" i="3"/>
  <c r="D219" i="3"/>
  <c r="K209" i="3"/>
  <c r="E196" i="3"/>
  <c r="D187" i="3"/>
  <c r="F173" i="3"/>
  <c r="I168" i="3"/>
  <c r="H149" i="3"/>
  <c r="H131" i="3"/>
  <c r="G107" i="3"/>
  <c r="F83" i="3"/>
  <c r="K54" i="3"/>
  <c r="F18" i="3"/>
  <c r="K664" i="3"/>
  <c r="D610" i="3"/>
  <c r="I591" i="3"/>
  <c r="E555" i="3"/>
  <c r="I403" i="3"/>
  <c r="H996" i="3"/>
  <c r="K320" i="3"/>
  <c r="F316" i="3"/>
  <c r="I311" i="3"/>
  <c r="E307" i="3"/>
  <c r="H302" i="3"/>
  <c r="D298" i="3"/>
  <c r="G293" i="3"/>
  <c r="K288" i="3"/>
  <c r="F284" i="3"/>
  <c r="I279" i="3"/>
  <c r="E275" i="3"/>
  <c r="H270" i="3"/>
  <c r="D266" i="3"/>
  <c r="G261" i="3"/>
  <c r="K256" i="3"/>
  <c r="F252" i="3"/>
  <c r="I247" i="3"/>
  <c r="E243" i="3"/>
  <c r="H238" i="3"/>
  <c r="D234" i="3"/>
  <c r="G229" i="3"/>
  <c r="K224" i="3"/>
  <c r="F220" i="3"/>
  <c r="I215" i="3"/>
  <c r="E211" i="3"/>
  <c r="H206" i="3"/>
  <c r="D202" i="3"/>
  <c r="G197" i="3"/>
  <c r="K192" i="3"/>
  <c r="F188" i="3"/>
  <c r="I183" i="3"/>
  <c r="E179" i="3"/>
  <c r="H174" i="3"/>
  <c r="D170" i="3"/>
  <c r="G165" i="3"/>
  <c r="K160" i="3"/>
  <c r="E156" i="3"/>
  <c r="D151" i="3"/>
  <c r="E145" i="3"/>
  <c r="D135" i="3"/>
  <c r="F123" i="3"/>
  <c r="K110" i="3"/>
  <c r="G98" i="3"/>
  <c r="I86" i="3"/>
  <c r="F74" i="3"/>
  <c r="H59" i="3"/>
  <c r="F41" i="3"/>
  <c r="D23" i="3"/>
  <c r="F651" i="3"/>
  <c r="D633" i="3"/>
  <c r="I614" i="3"/>
  <c r="G596" i="3"/>
  <c r="E578" i="3"/>
  <c r="K559" i="3"/>
  <c r="H541" i="3"/>
  <c r="E521" i="3"/>
  <c r="E491" i="3"/>
  <c r="F422" i="3"/>
  <c r="F921" i="3"/>
  <c r="I2077" i="3"/>
  <c r="K2078" i="3"/>
  <c r="D2080" i="3"/>
  <c r="E2081" i="3"/>
  <c r="F2082" i="3"/>
  <c r="G2083" i="3"/>
  <c r="H2084" i="3"/>
  <c r="I2085" i="3"/>
  <c r="K2086" i="3"/>
  <c r="D2088" i="3"/>
  <c r="E2089" i="3"/>
  <c r="F2090" i="3"/>
  <c r="G2091" i="3"/>
  <c r="H2092" i="3"/>
  <c r="I2093" i="3"/>
  <c r="K2094" i="3"/>
  <c r="D2096" i="3"/>
  <c r="E2097" i="3"/>
  <c r="F2098" i="3"/>
  <c r="G2099" i="3"/>
  <c r="H2100" i="3"/>
  <c r="I2101" i="3"/>
  <c r="K2102" i="3"/>
  <c r="D2104" i="3"/>
  <c r="E2105" i="3"/>
  <c r="F2106" i="3"/>
  <c r="G2107" i="3"/>
  <c r="H2108" i="3"/>
  <c r="I2109" i="3"/>
  <c r="K2110" i="3"/>
  <c r="D2112" i="3"/>
  <c r="E2113" i="3"/>
  <c r="F2114" i="3"/>
  <c r="G2115" i="3"/>
  <c r="H2116" i="3"/>
  <c r="I2117" i="3"/>
  <c r="K2118" i="3"/>
  <c r="D2120" i="3"/>
  <c r="E2121" i="3"/>
  <c r="F2122" i="3"/>
  <c r="G2123" i="3"/>
  <c r="H2124" i="3"/>
  <c r="I2125" i="3"/>
  <c r="K2126" i="3"/>
  <c r="D2128" i="3"/>
  <c r="E2129" i="3"/>
  <c r="F2130" i="3"/>
  <c r="G2131" i="3"/>
  <c r="H2132" i="3"/>
  <c r="I2133" i="3"/>
  <c r="K2134" i="3"/>
  <c r="D2136" i="3"/>
  <c r="E2137" i="3"/>
  <c r="K2077" i="3"/>
  <c r="D2079" i="3"/>
  <c r="E2080" i="3"/>
  <c r="F2081" i="3"/>
  <c r="G2082" i="3"/>
  <c r="H2083" i="3"/>
  <c r="I2084" i="3"/>
  <c r="K2085" i="3"/>
  <c r="D2087" i="3"/>
  <c r="E2088" i="3"/>
  <c r="F2089" i="3"/>
  <c r="G2090" i="3"/>
  <c r="H2091" i="3"/>
  <c r="I2092" i="3"/>
  <c r="K2093" i="3"/>
  <c r="D2095" i="3"/>
  <c r="E2096" i="3"/>
  <c r="F2097" i="3"/>
  <c r="G2098" i="3"/>
  <c r="H2099" i="3"/>
  <c r="I2100" i="3"/>
  <c r="K2101" i="3"/>
  <c r="D2103" i="3"/>
  <c r="E2104" i="3"/>
  <c r="F2105" i="3"/>
  <c r="G2106" i="3"/>
  <c r="H2107" i="3"/>
  <c r="I2108" i="3"/>
  <c r="K2109" i="3"/>
  <c r="D2111" i="3"/>
  <c r="E2112" i="3"/>
  <c r="F2113" i="3"/>
  <c r="G2114" i="3"/>
  <c r="H2115" i="3"/>
  <c r="I2116" i="3"/>
  <c r="K2117" i="3"/>
  <c r="D2119" i="3"/>
  <c r="E2120" i="3"/>
  <c r="F2121" i="3"/>
  <c r="G2122" i="3"/>
  <c r="H2123" i="3"/>
  <c r="I2124" i="3"/>
  <c r="K2125" i="3"/>
  <c r="D2127" i="3"/>
  <c r="E2128" i="3"/>
  <c r="F2129" i="3"/>
  <c r="G2130" i="3"/>
  <c r="H2131" i="3"/>
  <c r="I2132" i="3"/>
  <c r="K2133" i="3"/>
  <c r="D2135" i="3"/>
  <c r="E2136" i="3"/>
  <c r="F2137" i="3"/>
  <c r="D2078" i="3"/>
  <c r="E2079" i="3"/>
  <c r="F2080" i="3"/>
  <c r="G2081" i="3"/>
  <c r="H2082" i="3"/>
  <c r="I2083" i="3"/>
  <c r="K2084" i="3"/>
  <c r="D2086" i="3"/>
  <c r="E2087" i="3"/>
  <c r="F2088" i="3"/>
  <c r="G2089" i="3"/>
  <c r="H2090" i="3"/>
  <c r="I2091" i="3"/>
  <c r="K2092" i="3"/>
  <c r="D2094" i="3"/>
  <c r="E2095" i="3"/>
  <c r="F2096" i="3"/>
  <c r="G2097" i="3"/>
  <c r="H2098" i="3"/>
  <c r="I2099" i="3"/>
  <c r="K2100" i="3"/>
  <c r="D2102" i="3"/>
  <c r="E2103" i="3"/>
  <c r="F2104" i="3"/>
  <c r="G2105" i="3"/>
  <c r="H2106" i="3"/>
  <c r="I2107" i="3"/>
  <c r="K2108" i="3"/>
  <c r="D2110" i="3"/>
  <c r="E2111" i="3"/>
  <c r="F2112" i="3"/>
  <c r="G2113" i="3"/>
  <c r="H2114" i="3"/>
  <c r="I2115" i="3"/>
  <c r="K2116" i="3"/>
  <c r="D2118" i="3"/>
  <c r="E2119" i="3"/>
  <c r="F2120" i="3"/>
  <c r="G2121" i="3"/>
  <c r="H2122" i="3"/>
  <c r="I2123" i="3"/>
  <c r="K2124" i="3"/>
  <c r="D2126" i="3"/>
  <c r="D2077" i="3"/>
  <c r="E2078" i="3"/>
  <c r="F2079" i="3"/>
  <c r="G2080" i="3"/>
  <c r="H2081" i="3"/>
  <c r="I2082" i="3"/>
  <c r="K2083" i="3"/>
  <c r="D2085" i="3"/>
  <c r="E2086" i="3"/>
  <c r="F2087" i="3"/>
  <c r="G2088" i="3"/>
  <c r="H2089" i="3"/>
  <c r="I2090" i="3"/>
  <c r="K2091" i="3"/>
  <c r="D2093" i="3"/>
  <c r="E2094" i="3"/>
  <c r="F2095" i="3"/>
  <c r="G2096" i="3"/>
  <c r="H2097" i="3"/>
  <c r="I2098" i="3"/>
  <c r="K2099" i="3"/>
  <c r="D2101" i="3"/>
  <c r="E2102" i="3"/>
  <c r="F2103" i="3"/>
  <c r="G2104" i="3"/>
  <c r="H2105" i="3"/>
  <c r="I2106" i="3"/>
  <c r="K2107" i="3"/>
  <c r="D2109" i="3"/>
  <c r="E2110" i="3"/>
  <c r="F2111" i="3"/>
  <c r="G2112" i="3"/>
  <c r="H2113" i="3"/>
  <c r="I2114" i="3"/>
  <c r="K2115" i="3"/>
  <c r="D2117" i="3"/>
  <c r="E2118" i="3"/>
  <c r="F2119" i="3"/>
  <c r="G2120" i="3"/>
  <c r="H2121" i="3"/>
  <c r="I2122" i="3"/>
  <c r="K2123" i="3"/>
  <c r="D2125" i="3"/>
  <c r="E2126" i="3"/>
  <c r="F2127" i="3"/>
  <c r="G2128" i="3"/>
  <c r="H2129" i="3"/>
  <c r="I2130" i="3"/>
  <c r="K2131" i="3"/>
  <c r="D2133" i="3"/>
  <c r="E2134" i="3"/>
  <c r="F2135" i="3"/>
  <c r="G2136" i="3"/>
  <c r="H2137" i="3"/>
  <c r="E2077" i="3"/>
  <c r="F2078" i="3"/>
  <c r="G2079" i="3"/>
  <c r="H2080" i="3"/>
  <c r="I2081" i="3"/>
  <c r="K2082" i="3"/>
  <c r="D2084" i="3"/>
  <c r="E2085" i="3"/>
  <c r="F2086" i="3"/>
  <c r="G2087" i="3"/>
  <c r="H2088" i="3"/>
  <c r="I2089" i="3"/>
  <c r="K2090" i="3"/>
  <c r="D2092" i="3"/>
  <c r="E2093" i="3"/>
  <c r="F2094" i="3"/>
  <c r="G2095" i="3"/>
  <c r="H2096" i="3"/>
  <c r="I2097" i="3"/>
  <c r="K2098" i="3"/>
  <c r="D2100" i="3"/>
  <c r="E2101" i="3"/>
  <c r="F2102" i="3"/>
  <c r="G2103" i="3"/>
  <c r="H2104" i="3"/>
  <c r="I2105" i="3"/>
  <c r="K2106" i="3"/>
  <c r="D2108" i="3"/>
  <c r="E2109" i="3"/>
  <c r="F2110" i="3"/>
  <c r="G2111" i="3"/>
  <c r="H2112" i="3"/>
  <c r="I2113" i="3"/>
  <c r="K2114" i="3"/>
  <c r="D2116" i="3"/>
  <c r="E2117" i="3"/>
  <c r="G2077" i="3"/>
  <c r="H2078" i="3"/>
  <c r="I2079" i="3"/>
  <c r="K2080" i="3"/>
  <c r="D2082" i="3"/>
  <c r="E2083" i="3"/>
  <c r="F2084" i="3"/>
  <c r="G2085" i="3"/>
  <c r="H2086" i="3"/>
  <c r="I2087" i="3"/>
  <c r="K2088" i="3"/>
  <c r="D2090" i="3"/>
  <c r="E2091" i="3"/>
  <c r="F2092" i="3"/>
  <c r="G2093" i="3"/>
  <c r="H2094" i="3"/>
  <c r="I2095" i="3"/>
  <c r="K2096" i="3"/>
  <c r="D2098" i="3"/>
  <c r="E2099" i="3"/>
  <c r="F2100" i="3"/>
  <c r="G2101" i="3"/>
  <c r="H2102" i="3"/>
  <c r="I2103" i="3"/>
  <c r="K2104" i="3"/>
  <c r="D2106" i="3"/>
  <c r="E2107" i="3"/>
  <c r="F2108" i="3"/>
  <c r="G2109" i="3"/>
  <c r="H2110" i="3"/>
  <c r="I2111" i="3"/>
  <c r="K2112" i="3"/>
  <c r="D2114" i="3"/>
  <c r="E2115" i="3"/>
  <c r="F2116" i="3"/>
  <c r="G2117" i="3"/>
  <c r="H2118" i="3"/>
  <c r="I2119" i="3"/>
  <c r="K2120" i="3"/>
  <c r="D2122" i="3"/>
  <c r="E2123" i="3"/>
  <c r="F2124" i="3"/>
  <c r="I2078" i="3"/>
  <c r="F2083" i="3"/>
  <c r="K2087" i="3"/>
  <c r="G2092" i="3"/>
  <c r="D2097" i="3"/>
  <c r="H2101" i="3"/>
  <c r="E2106" i="3"/>
  <c r="I2110" i="3"/>
  <c r="F2115" i="3"/>
  <c r="G2119" i="3"/>
  <c r="E2122" i="3"/>
  <c r="F2125" i="3"/>
  <c r="G2127" i="3"/>
  <c r="D2129" i="3"/>
  <c r="D2131" i="3"/>
  <c r="K2132" i="3"/>
  <c r="H2134" i="3"/>
  <c r="H2136" i="3"/>
  <c r="E2138" i="3"/>
  <c r="F2139" i="3"/>
  <c r="G2140" i="3"/>
  <c r="H2141" i="3"/>
  <c r="I2142" i="3"/>
  <c r="K2143" i="3"/>
  <c r="D2145" i="3"/>
  <c r="E2146" i="3"/>
  <c r="F2147" i="3"/>
  <c r="G2148" i="3"/>
  <c r="H2149" i="3"/>
  <c r="I2150" i="3"/>
  <c r="K2151" i="3"/>
  <c r="D2153" i="3"/>
  <c r="E2154" i="3"/>
  <c r="F2155" i="3"/>
  <c r="G2156" i="3"/>
  <c r="H2157" i="3"/>
  <c r="I2158" i="3"/>
  <c r="K2159" i="3"/>
  <c r="D2161" i="3"/>
  <c r="E2162" i="3"/>
  <c r="F2163" i="3"/>
  <c r="G2164" i="3"/>
  <c r="H2165" i="3"/>
  <c r="I2166" i="3"/>
  <c r="K2167" i="3"/>
  <c r="D2169" i="3"/>
  <c r="E2170" i="3"/>
  <c r="F2171" i="3"/>
  <c r="G2172" i="3"/>
  <c r="H2173" i="3"/>
  <c r="I2174" i="3"/>
  <c r="K2175" i="3"/>
  <c r="D2177" i="3"/>
  <c r="E2178" i="3"/>
  <c r="F2179" i="3"/>
  <c r="G2180" i="3"/>
  <c r="H2181" i="3"/>
  <c r="I2182" i="3"/>
  <c r="K2183" i="3"/>
  <c r="D2185" i="3"/>
  <c r="E2186" i="3"/>
  <c r="F2187" i="3"/>
  <c r="G2188" i="3"/>
  <c r="H2189" i="3"/>
  <c r="I2190" i="3"/>
  <c r="K2191" i="3"/>
  <c r="D2193" i="3"/>
  <c r="E2194" i="3"/>
  <c r="F2195" i="3"/>
  <c r="G2196" i="3"/>
  <c r="H2197" i="3"/>
  <c r="I2198" i="3"/>
  <c r="K2199" i="3"/>
  <c r="D2201" i="3"/>
  <c r="E2202" i="3"/>
  <c r="F2203" i="3"/>
  <c r="G2204" i="3"/>
  <c r="H2205" i="3"/>
  <c r="I2206" i="3"/>
  <c r="K2207" i="3"/>
  <c r="D2209" i="3"/>
  <c r="E2210" i="3"/>
  <c r="F2211" i="3"/>
  <c r="G2212" i="3"/>
  <c r="H2213" i="3"/>
  <c r="I2214" i="3"/>
  <c r="K2215" i="3"/>
  <c r="D2217" i="3"/>
  <c r="E2218" i="3"/>
  <c r="F2219" i="3"/>
  <c r="G2220" i="3"/>
  <c r="H2221" i="3"/>
  <c r="I2222" i="3"/>
  <c r="K2223" i="3"/>
  <c r="D2225" i="3"/>
  <c r="E2226" i="3"/>
  <c r="F2227" i="3"/>
  <c r="G2228" i="3"/>
  <c r="H2229" i="3"/>
  <c r="I2230" i="3"/>
  <c r="K2231" i="3"/>
  <c r="D2233" i="3"/>
  <c r="E2234" i="3"/>
  <c r="F2235" i="3"/>
  <c r="G2236" i="3"/>
  <c r="H2237" i="3"/>
  <c r="I2238" i="3"/>
  <c r="K2239" i="3"/>
  <c r="D2241" i="3"/>
  <c r="E2242" i="3"/>
  <c r="F2243" i="3"/>
  <c r="G2244" i="3"/>
  <c r="H2245" i="3"/>
  <c r="I2246" i="3"/>
  <c r="K2247" i="3"/>
  <c r="D2249" i="3"/>
  <c r="E2250" i="3"/>
  <c r="F2251" i="3"/>
  <c r="G2252" i="3"/>
  <c r="H2253" i="3"/>
  <c r="I2254" i="3"/>
  <c r="K2255" i="3"/>
  <c r="D2257" i="3"/>
  <c r="E2258" i="3"/>
  <c r="F2259" i="3"/>
  <c r="G2260" i="3"/>
  <c r="H2261" i="3"/>
  <c r="I2262" i="3"/>
  <c r="K2263" i="3"/>
  <c r="D2265" i="3"/>
  <c r="E2266" i="3"/>
  <c r="F2267" i="3"/>
  <c r="G2268" i="3"/>
  <c r="H2269" i="3"/>
  <c r="I2270" i="3"/>
  <c r="K2271" i="3"/>
  <c r="D2273" i="3"/>
  <c r="E2274" i="3"/>
  <c r="F2275" i="3"/>
  <c r="G2276" i="3"/>
  <c r="H2277" i="3"/>
  <c r="I2278" i="3"/>
  <c r="K2279" i="3"/>
  <c r="D2281" i="3"/>
  <c r="E2282" i="3"/>
  <c r="F2283" i="3"/>
  <c r="H2079" i="3"/>
  <c r="E2084" i="3"/>
  <c r="I2088" i="3"/>
  <c r="F2093" i="3"/>
  <c r="K2097" i="3"/>
  <c r="G2102" i="3"/>
  <c r="D2107" i="3"/>
  <c r="H2111" i="3"/>
  <c r="E2116" i="3"/>
  <c r="H2119" i="3"/>
  <c r="K2122" i="3"/>
  <c r="G2125" i="3"/>
  <c r="H2127" i="3"/>
  <c r="G2129" i="3"/>
  <c r="E2131" i="3"/>
  <c r="E2133" i="3"/>
  <c r="I2134" i="3"/>
  <c r="I2136" i="3"/>
  <c r="F2138" i="3"/>
  <c r="G2139" i="3"/>
  <c r="H2140" i="3"/>
  <c r="I2141" i="3"/>
  <c r="K2142" i="3"/>
  <c r="D2144" i="3"/>
  <c r="E2145" i="3"/>
  <c r="F2146" i="3"/>
  <c r="G2147" i="3"/>
  <c r="H2148" i="3"/>
  <c r="I2149" i="3"/>
  <c r="K2150" i="3"/>
  <c r="D2152" i="3"/>
  <c r="E2153" i="3"/>
  <c r="F2154" i="3"/>
  <c r="G2155" i="3"/>
  <c r="H2156" i="3"/>
  <c r="I2157" i="3"/>
  <c r="K2158" i="3"/>
  <c r="D2160" i="3"/>
  <c r="E2161" i="3"/>
  <c r="F2162" i="3"/>
  <c r="G2163" i="3"/>
  <c r="H2164" i="3"/>
  <c r="I2165" i="3"/>
  <c r="K2166" i="3"/>
  <c r="D2168" i="3"/>
  <c r="E2169" i="3"/>
  <c r="F2170" i="3"/>
  <c r="G2171" i="3"/>
  <c r="H2172" i="3"/>
  <c r="I2173" i="3"/>
  <c r="K2174" i="3"/>
  <c r="D2176" i="3"/>
  <c r="E2177" i="3"/>
  <c r="F2178" i="3"/>
  <c r="G2179" i="3"/>
  <c r="H2180" i="3"/>
  <c r="I2181" i="3"/>
  <c r="K2182" i="3"/>
  <c r="D2184" i="3"/>
  <c r="E2185" i="3"/>
  <c r="F2186" i="3"/>
  <c r="G2187" i="3"/>
  <c r="H2188" i="3"/>
  <c r="I2189" i="3"/>
  <c r="K2190" i="3"/>
  <c r="D2192" i="3"/>
  <c r="E2193" i="3"/>
  <c r="F2194" i="3"/>
  <c r="G2195" i="3"/>
  <c r="H2196" i="3"/>
  <c r="I2197" i="3"/>
  <c r="K2198" i="3"/>
  <c r="D2200" i="3"/>
  <c r="E2201" i="3"/>
  <c r="F2202" i="3"/>
  <c r="G2203" i="3"/>
  <c r="H2204" i="3"/>
  <c r="I2205" i="3"/>
  <c r="K2206" i="3"/>
  <c r="D2208" i="3"/>
  <c r="E2209" i="3"/>
  <c r="F2210" i="3"/>
  <c r="G2211" i="3"/>
  <c r="H2212" i="3"/>
  <c r="I2213" i="3"/>
  <c r="K2214" i="3"/>
  <c r="D2216" i="3"/>
  <c r="E2217" i="3"/>
  <c r="F2218" i="3"/>
  <c r="G2219" i="3"/>
  <c r="H2220" i="3"/>
  <c r="I2221" i="3"/>
  <c r="K2222" i="3"/>
  <c r="D2224" i="3"/>
  <c r="E2225" i="3"/>
  <c r="F2226" i="3"/>
  <c r="G2227" i="3"/>
  <c r="H2228" i="3"/>
  <c r="I2229" i="3"/>
  <c r="K2230" i="3"/>
  <c r="D2232" i="3"/>
  <c r="E2233" i="3"/>
  <c r="F2234" i="3"/>
  <c r="G2235" i="3"/>
  <c r="H2236" i="3"/>
  <c r="I2237" i="3"/>
  <c r="K2238" i="3"/>
  <c r="D2240" i="3"/>
  <c r="E2241" i="3"/>
  <c r="F2242" i="3"/>
  <c r="G2243" i="3"/>
  <c r="H2244" i="3"/>
  <c r="I2245" i="3"/>
  <c r="K2246" i="3"/>
  <c r="D2248" i="3"/>
  <c r="E2249" i="3"/>
  <c r="F2250" i="3"/>
  <c r="G2251" i="3"/>
  <c r="H2252" i="3"/>
  <c r="I2253" i="3"/>
  <c r="K2254" i="3"/>
  <c r="D2256" i="3"/>
  <c r="K2079" i="3"/>
  <c r="G2084" i="3"/>
  <c r="D2089" i="3"/>
  <c r="H2093" i="3"/>
  <c r="E2098" i="3"/>
  <c r="I2102" i="3"/>
  <c r="F2107" i="3"/>
  <c r="K2111" i="3"/>
  <c r="G2116" i="3"/>
  <c r="K2119" i="3"/>
  <c r="D2123" i="3"/>
  <c r="H2125" i="3"/>
  <c r="I2127" i="3"/>
  <c r="I2129" i="3"/>
  <c r="F2131" i="3"/>
  <c r="F2133" i="3"/>
  <c r="E2135" i="3"/>
  <c r="K2136" i="3"/>
  <c r="G2138" i="3"/>
  <c r="H2139" i="3"/>
  <c r="I2140" i="3"/>
  <c r="K2141" i="3"/>
  <c r="D2143" i="3"/>
  <c r="E2144" i="3"/>
  <c r="F2145" i="3"/>
  <c r="G2146" i="3"/>
  <c r="H2147" i="3"/>
  <c r="I2148" i="3"/>
  <c r="K2149" i="3"/>
  <c r="D2151" i="3"/>
  <c r="E2152" i="3"/>
  <c r="F2153" i="3"/>
  <c r="G2154" i="3"/>
  <c r="H2155" i="3"/>
  <c r="I2156" i="3"/>
  <c r="K2157" i="3"/>
  <c r="D2159" i="3"/>
  <c r="E2160" i="3"/>
  <c r="F2161" i="3"/>
  <c r="G2162" i="3"/>
  <c r="H2163" i="3"/>
  <c r="I2164" i="3"/>
  <c r="K2165" i="3"/>
  <c r="D2167" i="3"/>
  <c r="E2168" i="3"/>
  <c r="F2169" i="3"/>
  <c r="G2170" i="3"/>
  <c r="H2171" i="3"/>
  <c r="I2172" i="3"/>
  <c r="K2173" i="3"/>
  <c r="D2175" i="3"/>
  <c r="E2176" i="3"/>
  <c r="F2177" i="3"/>
  <c r="G2178" i="3"/>
  <c r="H2179" i="3"/>
  <c r="I2180" i="3"/>
  <c r="K2181" i="3"/>
  <c r="D2183" i="3"/>
  <c r="E2184" i="3"/>
  <c r="F2185" i="3"/>
  <c r="G2186" i="3"/>
  <c r="H2187" i="3"/>
  <c r="I2188" i="3"/>
  <c r="K2189" i="3"/>
  <c r="D2191" i="3"/>
  <c r="E2192" i="3"/>
  <c r="F2193" i="3"/>
  <c r="G2194" i="3"/>
  <c r="H2195" i="3"/>
  <c r="I2196" i="3"/>
  <c r="K2197" i="3"/>
  <c r="D2199" i="3"/>
  <c r="E2200" i="3"/>
  <c r="F2201" i="3"/>
  <c r="G2202" i="3"/>
  <c r="H2203" i="3"/>
  <c r="I2204" i="3"/>
  <c r="K2205" i="3"/>
  <c r="D2207" i="3"/>
  <c r="E2208" i="3"/>
  <c r="F2209" i="3"/>
  <c r="G2210" i="3"/>
  <c r="H2211" i="3"/>
  <c r="I2212" i="3"/>
  <c r="K2213" i="3"/>
  <c r="D2215" i="3"/>
  <c r="E2216" i="3"/>
  <c r="F2217" i="3"/>
  <c r="G2218" i="3"/>
  <c r="H2219" i="3"/>
  <c r="I2220" i="3"/>
  <c r="K2221" i="3"/>
  <c r="D2223" i="3"/>
  <c r="E2224" i="3"/>
  <c r="F2225" i="3"/>
  <c r="G2226" i="3"/>
  <c r="H2227" i="3"/>
  <c r="I2228" i="3"/>
  <c r="K2229" i="3"/>
  <c r="D2231" i="3"/>
  <c r="E2232" i="3"/>
  <c r="F2233" i="3"/>
  <c r="G2234" i="3"/>
  <c r="H2235" i="3"/>
  <c r="I2236" i="3"/>
  <c r="K2237" i="3"/>
  <c r="D2239" i="3"/>
  <c r="E2240" i="3"/>
  <c r="F2241" i="3"/>
  <c r="G2242" i="3"/>
  <c r="H2243" i="3"/>
  <c r="I2244" i="3"/>
  <c r="K2245" i="3"/>
  <c r="D2247" i="3"/>
  <c r="E2248" i="3"/>
  <c r="F2249" i="3"/>
  <c r="G2250" i="3"/>
  <c r="H2251" i="3"/>
  <c r="I2252" i="3"/>
  <c r="K2253" i="3"/>
  <c r="D2255" i="3"/>
  <c r="E2256" i="3"/>
  <c r="F2257" i="3"/>
  <c r="G2258" i="3"/>
  <c r="H2259" i="3"/>
  <c r="I2260" i="3"/>
  <c r="K2261" i="3"/>
  <c r="D2263" i="3"/>
  <c r="E2264" i="3"/>
  <c r="F2265" i="3"/>
  <c r="G2266" i="3"/>
  <c r="H2267" i="3"/>
  <c r="I2268" i="3"/>
  <c r="K2269" i="3"/>
  <c r="D2271" i="3"/>
  <c r="E2272" i="3"/>
  <c r="F2273" i="3"/>
  <c r="G2274" i="3"/>
  <c r="H2275" i="3"/>
  <c r="I2276" i="3"/>
  <c r="K2277" i="3"/>
  <c r="D2279" i="3"/>
  <c r="E2280" i="3"/>
  <c r="F2281" i="3"/>
  <c r="G2282" i="3"/>
  <c r="H2283" i="3"/>
  <c r="I2284" i="3"/>
  <c r="K2285" i="3"/>
  <c r="I2080" i="3"/>
  <c r="F2085" i="3"/>
  <c r="K2089" i="3"/>
  <c r="G2094" i="3"/>
  <c r="D2099" i="3"/>
  <c r="H2103" i="3"/>
  <c r="E2108" i="3"/>
  <c r="I2112" i="3"/>
  <c r="F2117" i="3"/>
  <c r="H2120" i="3"/>
  <c r="F2123" i="3"/>
  <c r="F2126" i="3"/>
  <c r="K2127" i="3"/>
  <c r="K2129" i="3"/>
  <c r="I2131" i="3"/>
  <c r="G2133" i="3"/>
  <c r="G2135" i="3"/>
  <c r="D2137" i="3"/>
  <c r="H2138" i="3"/>
  <c r="I2139" i="3"/>
  <c r="K2140" i="3"/>
  <c r="D2142" i="3"/>
  <c r="E2143" i="3"/>
  <c r="F2144" i="3"/>
  <c r="G2145" i="3"/>
  <c r="H2146" i="3"/>
  <c r="I2147" i="3"/>
  <c r="K2148" i="3"/>
  <c r="D2150" i="3"/>
  <c r="E2151" i="3"/>
  <c r="F2152" i="3"/>
  <c r="G2153" i="3"/>
  <c r="H2154" i="3"/>
  <c r="I2155" i="3"/>
  <c r="K2156" i="3"/>
  <c r="D2158" i="3"/>
  <c r="E2159" i="3"/>
  <c r="F2160" i="3"/>
  <c r="G2161" i="3"/>
  <c r="H2162" i="3"/>
  <c r="I2163" i="3"/>
  <c r="K2164" i="3"/>
  <c r="D2166" i="3"/>
  <c r="E2167" i="3"/>
  <c r="F2168" i="3"/>
  <c r="G2169" i="3"/>
  <c r="H2170" i="3"/>
  <c r="I2171" i="3"/>
  <c r="K2172" i="3"/>
  <c r="D2174" i="3"/>
  <c r="E2175" i="3"/>
  <c r="F2176" i="3"/>
  <c r="G2177" i="3"/>
  <c r="H2178" i="3"/>
  <c r="I2179" i="3"/>
  <c r="K2180" i="3"/>
  <c r="D2182" i="3"/>
  <c r="E2183" i="3"/>
  <c r="F2184" i="3"/>
  <c r="G2185" i="3"/>
  <c r="H2186" i="3"/>
  <c r="I2187" i="3"/>
  <c r="K2188" i="3"/>
  <c r="D2190" i="3"/>
  <c r="E2191" i="3"/>
  <c r="F2192" i="3"/>
  <c r="G2193" i="3"/>
  <c r="H2194" i="3"/>
  <c r="I2195" i="3"/>
  <c r="K2196" i="3"/>
  <c r="D2198" i="3"/>
  <c r="E2199" i="3"/>
  <c r="F2200" i="3"/>
  <c r="G2201" i="3"/>
  <c r="H2202" i="3"/>
  <c r="I2203" i="3"/>
  <c r="K2204" i="3"/>
  <c r="D2206" i="3"/>
  <c r="E2207" i="3"/>
  <c r="F2208" i="3"/>
  <c r="G2209" i="3"/>
  <c r="H2210" i="3"/>
  <c r="I2211" i="3"/>
  <c r="K2212" i="3"/>
  <c r="D2214" i="3"/>
  <c r="E2215" i="3"/>
  <c r="F2216" i="3"/>
  <c r="G2217" i="3"/>
  <c r="H2218" i="3"/>
  <c r="I2219" i="3"/>
  <c r="K2220" i="3"/>
  <c r="D2222" i="3"/>
  <c r="E2223" i="3"/>
  <c r="F2224" i="3"/>
  <c r="G2225" i="3"/>
  <c r="H2226" i="3"/>
  <c r="K2228" i="3"/>
  <c r="D2230" i="3"/>
  <c r="E2231" i="3"/>
  <c r="F2232" i="3"/>
  <c r="G2233" i="3"/>
  <c r="H2234" i="3"/>
  <c r="I2235" i="3"/>
  <c r="K2236" i="3"/>
  <c r="D2238" i="3"/>
  <c r="E2239" i="3"/>
  <c r="F2240" i="3"/>
  <c r="G2241" i="3"/>
  <c r="H2242" i="3"/>
  <c r="I2243" i="3"/>
  <c r="K2244" i="3"/>
  <c r="D2246" i="3"/>
  <c r="E2247" i="3"/>
  <c r="F2248" i="3"/>
  <c r="G2249" i="3"/>
  <c r="H2250" i="3"/>
  <c r="I2251" i="3"/>
  <c r="D2081" i="3"/>
  <c r="H2085" i="3"/>
  <c r="E2090" i="3"/>
  <c r="I2094" i="3"/>
  <c r="F2099" i="3"/>
  <c r="K2103" i="3"/>
  <c r="G2108" i="3"/>
  <c r="D2113" i="3"/>
  <c r="H2117" i="3"/>
  <c r="I2120" i="3"/>
  <c r="D2124" i="3"/>
  <c r="G2126" i="3"/>
  <c r="F2128" i="3"/>
  <c r="D2130" i="3"/>
  <c r="D2132" i="3"/>
  <c r="H2133" i="3"/>
  <c r="H2135" i="3"/>
  <c r="G2137" i="3"/>
  <c r="I2138" i="3"/>
  <c r="K2139" i="3"/>
  <c r="D2141" i="3"/>
  <c r="E2142" i="3"/>
  <c r="F2143" i="3"/>
  <c r="G2144" i="3"/>
  <c r="H2145" i="3"/>
  <c r="I2146" i="3"/>
  <c r="K2147" i="3"/>
  <c r="D2149" i="3"/>
  <c r="E2150" i="3"/>
  <c r="F2151" i="3"/>
  <c r="G2152" i="3"/>
  <c r="H2153" i="3"/>
  <c r="I2154" i="3"/>
  <c r="K2155" i="3"/>
  <c r="D2157" i="3"/>
  <c r="E2158" i="3"/>
  <c r="F2159" i="3"/>
  <c r="G2160" i="3"/>
  <c r="H2161" i="3"/>
  <c r="I2162" i="3"/>
  <c r="K2163" i="3"/>
  <c r="D2165" i="3"/>
  <c r="E2166" i="3"/>
  <c r="F2167" i="3"/>
  <c r="G2168" i="3"/>
  <c r="H2169" i="3"/>
  <c r="I2170" i="3"/>
  <c r="K2171" i="3"/>
  <c r="D2173" i="3"/>
  <c r="E2174" i="3"/>
  <c r="F2175" i="3"/>
  <c r="G2176" i="3"/>
  <c r="H2177" i="3"/>
  <c r="I2178" i="3"/>
  <c r="K2179" i="3"/>
  <c r="D2181" i="3"/>
  <c r="E2182" i="3"/>
  <c r="F2183" i="3"/>
  <c r="G2184" i="3"/>
  <c r="H2185" i="3"/>
  <c r="I2186" i="3"/>
  <c r="K2187" i="3"/>
  <c r="D2189" i="3"/>
  <c r="E2190" i="3"/>
  <c r="F2191" i="3"/>
  <c r="G2192" i="3"/>
  <c r="H2193" i="3"/>
  <c r="I2194" i="3"/>
  <c r="K2195" i="3"/>
  <c r="D2197" i="3"/>
  <c r="E2198" i="3"/>
  <c r="F2199" i="3"/>
  <c r="G2200" i="3"/>
  <c r="H2201" i="3"/>
  <c r="I2202" i="3"/>
  <c r="K2203" i="3"/>
  <c r="D2205" i="3"/>
  <c r="E2206" i="3"/>
  <c r="F2207" i="3"/>
  <c r="G2208" i="3"/>
  <c r="H2209" i="3"/>
  <c r="I2210" i="3"/>
  <c r="K2211" i="3"/>
  <c r="D2213" i="3"/>
  <c r="E2214" i="3"/>
  <c r="F2215" i="3"/>
  <c r="G2216" i="3"/>
  <c r="H2217" i="3"/>
  <c r="I2218" i="3"/>
  <c r="K2219" i="3"/>
  <c r="D2221" i="3"/>
  <c r="E2222" i="3"/>
  <c r="F2223" i="3"/>
  <c r="G2224" i="3"/>
  <c r="H2225" i="3"/>
  <c r="I2226" i="3"/>
  <c r="K2227" i="3"/>
  <c r="D2229" i="3"/>
  <c r="E2230" i="3"/>
  <c r="F2231" i="3"/>
  <c r="G2232" i="3"/>
  <c r="H2233" i="3"/>
  <c r="I2234" i="3"/>
  <c r="K2235" i="3"/>
  <c r="D2237" i="3"/>
  <c r="E2238" i="3"/>
  <c r="F2239" i="3"/>
  <c r="G2240" i="3"/>
  <c r="H2241" i="3"/>
  <c r="I2242" i="3"/>
  <c r="K2243" i="3"/>
  <c r="D2245" i="3"/>
  <c r="E2246" i="3"/>
  <c r="F2247" i="3"/>
  <c r="G2248" i="3"/>
  <c r="H2249" i="3"/>
  <c r="I2250" i="3"/>
  <c r="K2251" i="3"/>
  <c r="D2253" i="3"/>
  <c r="E2254" i="3"/>
  <c r="F2255" i="3"/>
  <c r="G2256" i="3"/>
  <c r="H2257" i="3"/>
  <c r="I2258" i="3"/>
  <c r="K2259" i="3"/>
  <c r="D2261" i="3"/>
  <c r="E2262" i="3"/>
  <c r="F2263" i="3"/>
  <c r="G2264" i="3"/>
  <c r="H2265" i="3"/>
  <c r="I2266" i="3"/>
  <c r="K2267" i="3"/>
  <c r="D2269" i="3"/>
  <c r="E2270" i="3"/>
  <c r="F2271" i="3"/>
  <c r="G2272" i="3"/>
  <c r="H2273" i="3"/>
  <c r="I2274" i="3"/>
  <c r="K2275" i="3"/>
  <c r="D2277" i="3"/>
  <c r="F2077" i="3"/>
  <c r="K2081" i="3"/>
  <c r="G2086" i="3"/>
  <c r="D2091" i="3"/>
  <c r="H2095" i="3"/>
  <c r="E2100" i="3"/>
  <c r="I2104" i="3"/>
  <c r="F2109" i="3"/>
  <c r="K2113" i="3"/>
  <c r="F2118" i="3"/>
  <c r="D2121" i="3"/>
  <c r="E2124" i="3"/>
  <c r="H2126" i="3"/>
  <c r="H2128" i="3"/>
  <c r="E2130" i="3"/>
  <c r="E2132" i="3"/>
  <c r="D2134" i="3"/>
  <c r="I2135" i="3"/>
  <c r="I2137" i="3"/>
  <c r="K2138" i="3"/>
  <c r="D2140" i="3"/>
  <c r="E2141" i="3"/>
  <c r="F2142" i="3"/>
  <c r="G2143" i="3"/>
  <c r="H2144" i="3"/>
  <c r="I2145" i="3"/>
  <c r="K2146" i="3"/>
  <c r="D2148" i="3"/>
  <c r="E2149" i="3"/>
  <c r="F2150" i="3"/>
  <c r="G2151" i="3"/>
  <c r="H2152" i="3"/>
  <c r="I2153" i="3"/>
  <c r="K2154" i="3"/>
  <c r="D2156" i="3"/>
  <c r="E2157" i="3"/>
  <c r="F2158" i="3"/>
  <c r="G2159" i="3"/>
  <c r="H2160" i="3"/>
  <c r="I2161" i="3"/>
  <c r="K2162" i="3"/>
  <c r="D2164" i="3"/>
  <c r="E2165" i="3"/>
  <c r="F2166" i="3"/>
  <c r="G2167" i="3"/>
  <c r="H2168" i="3"/>
  <c r="I2169" i="3"/>
  <c r="K2170" i="3"/>
  <c r="D2172" i="3"/>
  <c r="E2173" i="3"/>
  <c r="F2174" i="3"/>
  <c r="G2175" i="3"/>
  <c r="H2176" i="3"/>
  <c r="I2177" i="3"/>
  <c r="K2178" i="3"/>
  <c r="D2180" i="3"/>
  <c r="E2181" i="3"/>
  <c r="F2182" i="3"/>
  <c r="G2183" i="3"/>
  <c r="H2184" i="3"/>
  <c r="I2185" i="3"/>
  <c r="K2186" i="3"/>
  <c r="D2188" i="3"/>
  <c r="E2189" i="3"/>
  <c r="F2190" i="3"/>
  <c r="G2191" i="3"/>
  <c r="H2192" i="3"/>
  <c r="I2193" i="3"/>
  <c r="K2194" i="3"/>
  <c r="D2196" i="3"/>
  <c r="E2197" i="3"/>
  <c r="H2087" i="3"/>
  <c r="K2105" i="3"/>
  <c r="K2121" i="3"/>
  <c r="K2130" i="3"/>
  <c r="D2138" i="3"/>
  <c r="H2142" i="3"/>
  <c r="E2147" i="3"/>
  <c r="I2151" i="3"/>
  <c r="F2156" i="3"/>
  <c r="K2160" i="3"/>
  <c r="G2165" i="3"/>
  <c r="D2170" i="3"/>
  <c r="H2174" i="3"/>
  <c r="E2179" i="3"/>
  <c r="I2183" i="3"/>
  <c r="F2188" i="3"/>
  <c r="K2192" i="3"/>
  <c r="G2197" i="3"/>
  <c r="I2200" i="3"/>
  <c r="D2204" i="3"/>
  <c r="H2206" i="3"/>
  <c r="K2209" i="3"/>
  <c r="E2213" i="3"/>
  <c r="I2215" i="3"/>
  <c r="D2219" i="3"/>
  <c r="F2222" i="3"/>
  <c r="K2224" i="3"/>
  <c r="E2228" i="3"/>
  <c r="G2231" i="3"/>
  <c r="D2234" i="3"/>
  <c r="F2237" i="3"/>
  <c r="H2240" i="3"/>
  <c r="E2243" i="3"/>
  <c r="G2246" i="3"/>
  <c r="I2249" i="3"/>
  <c r="F2252" i="3"/>
  <c r="H2254" i="3"/>
  <c r="K2256" i="3"/>
  <c r="K2258" i="3"/>
  <c r="H2260" i="3"/>
  <c r="G2262" i="3"/>
  <c r="F2264" i="3"/>
  <c r="D2266" i="3"/>
  <c r="D2268" i="3"/>
  <c r="I2269" i="3"/>
  <c r="H2271" i="3"/>
  <c r="G2273" i="3"/>
  <c r="E2275" i="3"/>
  <c r="E2277" i="3"/>
  <c r="H2278" i="3"/>
  <c r="F2280" i="3"/>
  <c r="I2281" i="3"/>
  <c r="E2283" i="3"/>
  <c r="H2284" i="3"/>
  <c r="D2286" i="3"/>
  <c r="E2287" i="3"/>
  <c r="F2288" i="3"/>
  <c r="G2289" i="3"/>
  <c r="H2290" i="3"/>
  <c r="I2291" i="3"/>
  <c r="K2292" i="3"/>
  <c r="D2294" i="3"/>
  <c r="E2295" i="3"/>
  <c r="F2296" i="3"/>
  <c r="G2297" i="3"/>
  <c r="H2298" i="3"/>
  <c r="I2299" i="3"/>
  <c r="K2300" i="3"/>
  <c r="D2302" i="3"/>
  <c r="E2303" i="3"/>
  <c r="F2304" i="3"/>
  <c r="G2305" i="3"/>
  <c r="H2306" i="3"/>
  <c r="I2307" i="3"/>
  <c r="K2308" i="3"/>
  <c r="D2310" i="3"/>
  <c r="E2311" i="3"/>
  <c r="F2312" i="3"/>
  <c r="G2313" i="3"/>
  <c r="H2314" i="3"/>
  <c r="I2315" i="3"/>
  <c r="K2316" i="3"/>
  <c r="D2318" i="3"/>
  <c r="E2319" i="3"/>
  <c r="F2320" i="3"/>
  <c r="G2321" i="3"/>
  <c r="H2322" i="3"/>
  <c r="I2323" i="3"/>
  <c r="K2324" i="3"/>
  <c r="D2326" i="3"/>
  <c r="E2327" i="3"/>
  <c r="F2328" i="3"/>
  <c r="G2329" i="3"/>
  <c r="H2330" i="3"/>
  <c r="I2331" i="3"/>
  <c r="K2332" i="3"/>
  <c r="D2334" i="3"/>
  <c r="E2335" i="3"/>
  <c r="F2336" i="3"/>
  <c r="G2337" i="3"/>
  <c r="H2338" i="3"/>
  <c r="I2339" i="3"/>
  <c r="K2340" i="3"/>
  <c r="D2342" i="3"/>
  <c r="E2343" i="3"/>
  <c r="F2344" i="3"/>
  <c r="G2345" i="3"/>
  <c r="H2346" i="3"/>
  <c r="I2347" i="3"/>
  <c r="K2348" i="3"/>
  <c r="D2350" i="3"/>
  <c r="E2351" i="3"/>
  <c r="F2352" i="3"/>
  <c r="G2353" i="3"/>
  <c r="H2354" i="3"/>
  <c r="I2355" i="3"/>
  <c r="K2356" i="3"/>
  <c r="D2358" i="3"/>
  <c r="E2359" i="3"/>
  <c r="F2091" i="3"/>
  <c r="H2109" i="3"/>
  <c r="G2124" i="3"/>
  <c r="F2132" i="3"/>
  <c r="D2139" i="3"/>
  <c r="H2143" i="3"/>
  <c r="E2148" i="3"/>
  <c r="I2152" i="3"/>
  <c r="F2157" i="3"/>
  <c r="K2161" i="3"/>
  <c r="G2166" i="3"/>
  <c r="D2171" i="3"/>
  <c r="H2175" i="3"/>
  <c r="E2180" i="3"/>
  <c r="I2184" i="3"/>
  <c r="F2189" i="3"/>
  <c r="K2193" i="3"/>
  <c r="F2198" i="3"/>
  <c r="K2200" i="3"/>
  <c r="E2204" i="3"/>
  <c r="G2207" i="3"/>
  <c r="D2210" i="3"/>
  <c r="F2213" i="3"/>
  <c r="H2216" i="3"/>
  <c r="E2219" i="3"/>
  <c r="G2222" i="3"/>
  <c r="I2225" i="3"/>
  <c r="F2228" i="3"/>
  <c r="H2231" i="3"/>
  <c r="K2234" i="3"/>
  <c r="G2237" i="3"/>
  <c r="I2240" i="3"/>
  <c r="D2244" i="3"/>
  <c r="H2246" i="3"/>
  <c r="K2249" i="3"/>
  <c r="K2252" i="3"/>
  <c r="E2255" i="3"/>
  <c r="E2257" i="3"/>
  <c r="D2259" i="3"/>
  <c r="K2260" i="3"/>
  <c r="H2262" i="3"/>
  <c r="H2264" i="3"/>
  <c r="F2266" i="3"/>
  <c r="E2268" i="3"/>
  <c r="D2270" i="3"/>
  <c r="I2271" i="3"/>
  <c r="I2273" i="3"/>
  <c r="G2275" i="3"/>
  <c r="F2277" i="3"/>
  <c r="K2278" i="3"/>
  <c r="G2280" i="3"/>
  <c r="K2281" i="3"/>
  <c r="G2283" i="3"/>
  <c r="K2284" i="3"/>
  <c r="E2286" i="3"/>
  <c r="F2287" i="3"/>
  <c r="G2288" i="3"/>
  <c r="H2289" i="3"/>
  <c r="I2290" i="3"/>
  <c r="K2291" i="3"/>
  <c r="D2293" i="3"/>
  <c r="E2294" i="3"/>
  <c r="F2295" i="3"/>
  <c r="G2296" i="3"/>
  <c r="H2297" i="3"/>
  <c r="I2298" i="3"/>
  <c r="K2299" i="3"/>
  <c r="D2301" i="3"/>
  <c r="E2302" i="3"/>
  <c r="F2303" i="3"/>
  <c r="G2304" i="3"/>
  <c r="H2305" i="3"/>
  <c r="I2306" i="3"/>
  <c r="K2307" i="3"/>
  <c r="D2309" i="3"/>
  <c r="E2310" i="3"/>
  <c r="F2311" i="3"/>
  <c r="G2312" i="3"/>
  <c r="H2313" i="3"/>
  <c r="I2314" i="3"/>
  <c r="K2315" i="3"/>
  <c r="D2317" i="3"/>
  <c r="E2318" i="3"/>
  <c r="F2319" i="3"/>
  <c r="G2320" i="3"/>
  <c r="H2321" i="3"/>
  <c r="I2322" i="3"/>
  <c r="K2323" i="3"/>
  <c r="D2325" i="3"/>
  <c r="E2326" i="3"/>
  <c r="F2327" i="3"/>
  <c r="G2328" i="3"/>
  <c r="H2329" i="3"/>
  <c r="I2330" i="3"/>
  <c r="K2331" i="3"/>
  <c r="D2333" i="3"/>
  <c r="E2334" i="3"/>
  <c r="F2335" i="3"/>
  <c r="G2336" i="3"/>
  <c r="H2337" i="3"/>
  <c r="I2338" i="3"/>
  <c r="K2339" i="3"/>
  <c r="D2341" i="3"/>
  <c r="E2342" i="3"/>
  <c r="F2343" i="3"/>
  <c r="G2344" i="3"/>
  <c r="H2345" i="3"/>
  <c r="I2346" i="3"/>
  <c r="K2347" i="3"/>
  <c r="D2349" i="3"/>
  <c r="E2350" i="3"/>
  <c r="F2351" i="3"/>
  <c r="G2352" i="3"/>
  <c r="H2353" i="3"/>
  <c r="I2354" i="3"/>
  <c r="K2355" i="3"/>
  <c r="D2357" i="3"/>
  <c r="E2358" i="3"/>
  <c r="F2359" i="3"/>
  <c r="G2360" i="3"/>
  <c r="H2361" i="3"/>
  <c r="I2362" i="3"/>
  <c r="K2363" i="3"/>
  <c r="D2365" i="3"/>
  <c r="E2366" i="3"/>
  <c r="F2367" i="3"/>
  <c r="G2368" i="3"/>
  <c r="H2369" i="3"/>
  <c r="I2370" i="3"/>
  <c r="K2371" i="3"/>
  <c r="D2373" i="3"/>
  <c r="E2374" i="3"/>
  <c r="F2375" i="3"/>
  <c r="G2376" i="3"/>
  <c r="H2377" i="3"/>
  <c r="I2378" i="3"/>
  <c r="K2379" i="3"/>
  <c r="D2381" i="3"/>
  <c r="E2382" i="3"/>
  <c r="F2383" i="3"/>
  <c r="G2384" i="3"/>
  <c r="H2385" i="3"/>
  <c r="I2386" i="3"/>
  <c r="K2387" i="3"/>
  <c r="D2389" i="3"/>
  <c r="E2390" i="3"/>
  <c r="I2076" i="3"/>
  <c r="E1732" i="3"/>
  <c r="F1733" i="3"/>
  <c r="G1734" i="3"/>
  <c r="H1735" i="3"/>
  <c r="I1736" i="3"/>
  <c r="K1737" i="3"/>
  <c r="D1739" i="3"/>
  <c r="E1740" i="3"/>
  <c r="F1741" i="3"/>
  <c r="G1742" i="3"/>
  <c r="H1743" i="3"/>
  <c r="I1744" i="3"/>
  <c r="K1745" i="3"/>
  <c r="D1747" i="3"/>
  <c r="E1748" i="3"/>
  <c r="F1749" i="3"/>
  <c r="G1750" i="3"/>
  <c r="H1751" i="3"/>
  <c r="I1752" i="3"/>
  <c r="K1753" i="3"/>
  <c r="D1755" i="3"/>
  <c r="E2092" i="3"/>
  <c r="G2110" i="3"/>
  <c r="E2125" i="3"/>
  <c r="G2132" i="3"/>
  <c r="E2139" i="3"/>
  <c r="I2143" i="3"/>
  <c r="F2148" i="3"/>
  <c r="K2152" i="3"/>
  <c r="G2157" i="3"/>
  <c r="D2162" i="3"/>
  <c r="H2166" i="3"/>
  <c r="E2171" i="3"/>
  <c r="I2175" i="3"/>
  <c r="F2180" i="3"/>
  <c r="K2184" i="3"/>
  <c r="G2189" i="3"/>
  <c r="D2194" i="3"/>
  <c r="G2198" i="3"/>
  <c r="I2201" i="3"/>
  <c r="F2204" i="3"/>
  <c r="H2207" i="3"/>
  <c r="K2210" i="3"/>
  <c r="G2213" i="3"/>
  <c r="I2216" i="3"/>
  <c r="D2220" i="3"/>
  <c r="H2222" i="3"/>
  <c r="K2225" i="3"/>
  <c r="E2229" i="3"/>
  <c r="I2231" i="3"/>
  <c r="D2235" i="3"/>
  <c r="F2238" i="3"/>
  <c r="K2240" i="3"/>
  <c r="E2244" i="3"/>
  <c r="G2247" i="3"/>
  <c r="D2250" i="3"/>
  <c r="E2253" i="3"/>
  <c r="G2255" i="3"/>
  <c r="G2257" i="3"/>
  <c r="E2259" i="3"/>
  <c r="E2261" i="3"/>
  <c r="K2262" i="3"/>
  <c r="I2264" i="3"/>
  <c r="H2266" i="3"/>
  <c r="F2268" i="3"/>
  <c r="F2270" i="3"/>
  <c r="D2272" i="3"/>
  <c r="K2273" i="3"/>
  <c r="I2275" i="3"/>
  <c r="G2277" i="3"/>
  <c r="E2279" i="3"/>
  <c r="H2280" i="3"/>
  <c r="D2282" i="3"/>
  <c r="I2283" i="3"/>
  <c r="D2285" i="3"/>
  <c r="F2286" i="3"/>
  <c r="G2287" i="3"/>
  <c r="H2288" i="3"/>
  <c r="I2289" i="3"/>
  <c r="K2290" i="3"/>
  <c r="D2292" i="3"/>
  <c r="E2293" i="3"/>
  <c r="F2294" i="3"/>
  <c r="G2295" i="3"/>
  <c r="H2296" i="3"/>
  <c r="I2297" i="3"/>
  <c r="K2298" i="3"/>
  <c r="D2300" i="3"/>
  <c r="E2301" i="3"/>
  <c r="F2302" i="3"/>
  <c r="G2303" i="3"/>
  <c r="H2304" i="3"/>
  <c r="I2305" i="3"/>
  <c r="K2306" i="3"/>
  <c r="D2308" i="3"/>
  <c r="E2309" i="3"/>
  <c r="F2310" i="3"/>
  <c r="G2311" i="3"/>
  <c r="H2312" i="3"/>
  <c r="I2313" i="3"/>
  <c r="K2314" i="3"/>
  <c r="D2316" i="3"/>
  <c r="E2317" i="3"/>
  <c r="F2318" i="3"/>
  <c r="G2319" i="3"/>
  <c r="H2320" i="3"/>
  <c r="I2321" i="3"/>
  <c r="K2322" i="3"/>
  <c r="D2324" i="3"/>
  <c r="E2325" i="3"/>
  <c r="F2326" i="3"/>
  <c r="G2327" i="3"/>
  <c r="H2328" i="3"/>
  <c r="I2329" i="3"/>
  <c r="K2330" i="3"/>
  <c r="D2332" i="3"/>
  <c r="E2333" i="3"/>
  <c r="F2334" i="3"/>
  <c r="G2335" i="3"/>
  <c r="H2336" i="3"/>
  <c r="I2337" i="3"/>
  <c r="K2338" i="3"/>
  <c r="D2340" i="3"/>
  <c r="E2341" i="3"/>
  <c r="F2342" i="3"/>
  <c r="G2343" i="3"/>
  <c r="H2344" i="3"/>
  <c r="I2345" i="3"/>
  <c r="K2346" i="3"/>
  <c r="D2348" i="3"/>
  <c r="E2349" i="3"/>
  <c r="F2350" i="3"/>
  <c r="G2351" i="3"/>
  <c r="H2352" i="3"/>
  <c r="I2353" i="3"/>
  <c r="K2354" i="3"/>
  <c r="D2356" i="3"/>
  <c r="E2357" i="3"/>
  <c r="F2358" i="3"/>
  <c r="G2359" i="3"/>
  <c r="H2360" i="3"/>
  <c r="I2361" i="3"/>
  <c r="K2362" i="3"/>
  <c r="D2364" i="3"/>
  <c r="E2365" i="3"/>
  <c r="F2366" i="3"/>
  <c r="G2367" i="3"/>
  <c r="H2368" i="3"/>
  <c r="I2369" i="3"/>
  <c r="K2370" i="3"/>
  <c r="D2372" i="3"/>
  <c r="E2373" i="3"/>
  <c r="F2374" i="3"/>
  <c r="G2375" i="3"/>
  <c r="H2376" i="3"/>
  <c r="I2377" i="3"/>
  <c r="K2378" i="3"/>
  <c r="D2380" i="3"/>
  <c r="E2381" i="3"/>
  <c r="F2382" i="3"/>
  <c r="G2383" i="3"/>
  <c r="H2384" i="3"/>
  <c r="I2385" i="3"/>
  <c r="K2386" i="3"/>
  <c r="D2388" i="3"/>
  <c r="E2389" i="3"/>
  <c r="F2390" i="3"/>
  <c r="H2077" i="3"/>
  <c r="K2095" i="3"/>
  <c r="E2114" i="3"/>
  <c r="I2126" i="3"/>
  <c r="F2134" i="3"/>
  <c r="E2140" i="3"/>
  <c r="I2144" i="3"/>
  <c r="F2149" i="3"/>
  <c r="K2153" i="3"/>
  <c r="G2158" i="3"/>
  <c r="D2163" i="3"/>
  <c r="H2167" i="3"/>
  <c r="E2172" i="3"/>
  <c r="I2176" i="3"/>
  <c r="F2181" i="3"/>
  <c r="K2185" i="3"/>
  <c r="G2190" i="3"/>
  <c r="D2195" i="3"/>
  <c r="H2198" i="3"/>
  <c r="K2201" i="3"/>
  <c r="E2205" i="3"/>
  <c r="I2207" i="3"/>
  <c r="D2211" i="3"/>
  <c r="F2214" i="3"/>
  <c r="K2216" i="3"/>
  <c r="E2220" i="3"/>
  <c r="G2223" i="3"/>
  <c r="D2226" i="3"/>
  <c r="F2229" i="3"/>
  <c r="H2232" i="3"/>
  <c r="E2235" i="3"/>
  <c r="G2238" i="3"/>
  <c r="I2241" i="3"/>
  <c r="F2244" i="3"/>
  <c r="H2247" i="3"/>
  <c r="K2250" i="3"/>
  <c r="F2253" i="3"/>
  <c r="H2255" i="3"/>
  <c r="I2257" i="3"/>
  <c r="G2259" i="3"/>
  <c r="F2261" i="3"/>
  <c r="E2263" i="3"/>
  <c r="K2264" i="3"/>
  <c r="K2266" i="3"/>
  <c r="H2268" i="3"/>
  <c r="G2270" i="3"/>
  <c r="F2272" i="3"/>
  <c r="D2274" i="3"/>
  <c r="D2276" i="3"/>
  <c r="I2277" i="3"/>
  <c r="F2279" i="3"/>
  <c r="I2280" i="3"/>
  <c r="F2282" i="3"/>
  <c r="K2283" i="3"/>
  <c r="E2285" i="3"/>
  <c r="G2286" i="3"/>
  <c r="H2287" i="3"/>
  <c r="I2288" i="3"/>
  <c r="K2289" i="3"/>
  <c r="D2291" i="3"/>
  <c r="E2292" i="3"/>
  <c r="F2293" i="3"/>
  <c r="G2294" i="3"/>
  <c r="H2295" i="3"/>
  <c r="I2296" i="3"/>
  <c r="K2297" i="3"/>
  <c r="D2299" i="3"/>
  <c r="E2300" i="3"/>
  <c r="F2301" i="3"/>
  <c r="G2302" i="3"/>
  <c r="H2303" i="3"/>
  <c r="I2304" i="3"/>
  <c r="K2305" i="3"/>
  <c r="D2307" i="3"/>
  <c r="E2308" i="3"/>
  <c r="F2309" i="3"/>
  <c r="G2310" i="3"/>
  <c r="H2311" i="3"/>
  <c r="I2312" i="3"/>
  <c r="K2313" i="3"/>
  <c r="D2315" i="3"/>
  <c r="E2316" i="3"/>
  <c r="F2317" i="3"/>
  <c r="G2318" i="3"/>
  <c r="H2319" i="3"/>
  <c r="I2320" i="3"/>
  <c r="K2321" i="3"/>
  <c r="D2323" i="3"/>
  <c r="E2324" i="3"/>
  <c r="F2325" i="3"/>
  <c r="G2326" i="3"/>
  <c r="H2327" i="3"/>
  <c r="I2328" i="3"/>
  <c r="K2329" i="3"/>
  <c r="D2331" i="3"/>
  <c r="E2332" i="3"/>
  <c r="F2333" i="3"/>
  <c r="G2334" i="3"/>
  <c r="H2335" i="3"/>
  <c r="I2336" i="3"/>
  <c r="K2337" i="3"/>
  <c r="D2339" i="3"/>
  <c r="E2340" i="3"/>
  <c r="F2341" i="3"/>
  <c r="G2342" i="3"/>
  <c r="H2343" i="3"/>
  <c r="I2344" i="3"/>
  <c r="K2345" i="3"/>
  <c r="D2347" i="3"/>
  <c r="E2348" i="3"/>
  <c r="F2349" i="3"/>
  <c r="G2350" i="3"/>
  <c r="H2351" i="3"/>
  <c r="I2352" i="3"/>
  <c r="K2353" i="3"/>
  <c r="D2355" i="3"/>
  <c r="E2356" i="3"/>
  <c r="F2357" i="3"/>
  <c r="G2358" i="3"/>
  <c r="H2359" i="3"/>
  <c r="I2360" i="3"/>
  <c r="K2361" i="3"/>
  <c r="D2363" i="3"/>
  <c r="E2364" i="3"/>
  <c r="F2365" i="3"/>
  <c r="G2366" i="3"/>
  <c r="H2367" i="3"/>
  <c r="I2368" i="3"/>
  <c r="K2369" i="3"/>
  <c r="D2371" i="3"/>
  <c r="E2372" i="3"/>
  <c r="F2373" i="3"/>
  <c r="G2374" i="3"/>
  <c r="H2375" i="3"/>
  <c r="I2376" i="3"/>
  <c r="K2377" i="3"/>
  <c r="D2379" i="3"/>
  <c r="E2380" i="3"/>
  <c r="F2381" i="3"/>
  <c r="G2382" i="3"/>
  <c r="H2383" i="3"/>
  <c r="I2384" i="3"/>
  <c r="K2385" i="3"/>
  <c r="D2387" i="3"/>
  <c r="E2388" i="3"/>
  <c r="F2389" i="3"/>
  <c r="G2390" i="3"/>
  <c r="H2076" i="3"/>
  <c r="G1732" i="3"/>
  <c r="H1733" i="3"/>
  <c r="I1734" i="3"/>
  <c r="K1735" i="3"/>
  <c r="D1737" i="3"/>
  <c r="E1738" i="3"/>
  <c r="F1739" i="3"/>
  <c r="G1740" i="3"/>
  <c r="H1741" i="3"/>
  <c r="I1742" i="3"/>
  <c r="K1743" i="3"/>
  <c r="D1745" i="3"/>
  <c r="E1746" i="3"/>
  <c r="F1747" i="3"/>
  <c r="G1748" i="3"/>
  <c r="H1749" i="3"/>
  <c r="I1750" i="3"/>
  <c r="K1751" i="3"/>
  <c r="D1753" i="3"/>
  <c r="E1754" i="3"/>
  <c r="G2078" i="3"/>
  <c r="I2096" i="3"/>
  <c r="D2115" i="3"/>
  <c r="E2127" i="3"/>
  <c r="G2134" i="3"/>
  <c r="F2140" i="3"/>
  <c r="K2144" i="3"/>
  <c r="G2149" i="3"/>
  <c r="D2154" i="3"/>
  <c r="H2158" i="3"/>
  <c r="E2163" i="3"/>
  <c r="I2167" i="3"/>
  <c r="F2172" i="3"/>
  <c r="K2176" i="3"/>
  <c r="G2181" i="3"/>
  <c r="D2186" i="3"/>
  <c r="H2190" i="3"/>
  <c r="E2195" i="3"/>
  <c r="G2199" i="3"/>
  <c r="D2202" i="3"/>
  <c r="F2205" i="3"/>
  <c r="H2208" i="3"/>
  <c r="E2211" i="3"/>
  <c r="G2214" i="3"/>
  <c r="I2217" i="3"/>
  <c r="F2220" i="3"/>
  <c r="H2223" i="3"/>
  <c r="K2226" i="3"/>
  <c r="G2229" i="3"/>
  <c r="I2232" i="3"/>
  <c r="D2236" i="3"/>
  <c r="H2238" i="3"/>
  <c r="K2241" i="3"/>
  <c r="E2245" i="3"/>
  <c r="I2247" i="3"/>
  <c r="D2251" i="3"/>
  <c r="G2253" i="3"/>
  <c r="I2255" i="3"/>
  <c r="K2257" i="3"/>
  <c r="I2259" i="3"/>
  <c r="G2261" i="3"/>
  <c r="G2263" i="3"/>
  <c r="E2265" i="3"/>
  <c r="D2267" i="3"/>
  <c r="K2268" i="3"/>
  <c r="H2270" i="3"/>
  <c r="H2272" i="3"/>
  <c r="F2274" i="3"/>
  <c r="E2276" i="3"/>
  <c r="D2278" i="3"/>
  <c r="G2279" i="3"/>
  <c r="K2280" i="3"/>
  <c r="H2282" i="3"/>
  <c r="D2284" i="3"/>
  <c r="F2285" i="3"/>
  <c r="H2286" i="3"/>
  <c r="I2287" i="3"/>
  <c r="K2288" i="3"/>
  <c r="D2290" i="3"/>
  <c r="E2291" i="3"/>
  <c r="F2292" i="3"/>
  <c r="G2293" i="3"/>
  <c r="H2294" i="3"/>
  <c r="I2295" i="3"/>
  <c r="K2296" i="3"/>
  <c r="D2298" i="3"/>
  <c r="E2299" i="3"/>
  <c r="F2300" i="3"/>
  <c r="G2301" i="3"/>
  <c r="H2302" i="3"/>
  <c r="I2303" i="3"/>
  <c r="K2304" i="3"/>
  <c r="D2306" i="3"/>
  <c r="E2307" i="3"/>
  <c r="F2308" i="3"/>
  <c r="G2309" i="3"/>
  <c r="H2310" i="3"/>
  <c r="I2311" i="3"/>
  <c r="K2312" i="3"/>
  <c r="D2314" i="3"/>
  <c r="E2315" i="3"/>
  <c r="F2316" i="3"/>
  <c r="G2317" i="3"/>
  <c r="H2318" i="3"/>
  <c r="I2319" i="3"/>
  <c r="K2320" i="3"/>
  <c r="D2322" i="3"/>
  <c r="E2323" i="3"/>
  <c r="F2324" i="3"/>
  <c r="G2325" i="3"/>
  <c r="H2326" i="3"/>
  <c r="I2327" i="3"/>
  <c r="K2328" i="3"/>
  <c r="D2330" i="3"/>
  <c r="E2331" i="3"/>
  <c r="F2332" i="3"/>
  <c r="G2333" i="3"/>
  <c r="H2334" i="3"/>
  <c r="I2335" i="3"/>
  <c r="K2336" i="3"/>
  <c r="D2338" i="3"/>
  <c r="E2339" i="3"/>
  <c r="F2340" i="3"/>
  <c r="G2341" i="3"/>
  <c r="H2342" i="3"/>
  <c r="I2343" i="3"/>
  <c r="K2344" i="3"/>
  <c r="D2346" i="3"/>
  <c r="E2347" i="3"/>
  <c r="F2348" i="3"/>
  <c r="G2349" i="3"/>
  <c r="H2350" i="3"/>
  <c r="I2351" i="3"/>
  <c r="K2352" i="3"/>
  <c r="D2354" i="3"/>
  <c r="E2355" i="3"/>
  <c r="F2356" i="3"/>
  <c r="G2357" i="3"/>
  <c r="H2358" i="3"/>
  <c r="I2359" i="3"/>
  <c r="K2360" i="3"/>
  <c r="D2362" i="3"/>
  <c r="E2363" i="3"/>
  <c r="F2364" i="3"/>
  <c r="G2365" i="3"/>
  <c r="H2366" i="3"/>
  <c r="I2367" i="3"/>
  <c r="K2368" i="3"/>
  <c r="D2370" i="3"/>
  <c r="E2371" i="3"/>
  <c r="F2372" i="3"/>
  <c r="G2373" i="3"/>
  <c r="H2374" i="3"/>
  <c r="I2375" i="3"/>
  <c r="K2376" i="3"/>
  <c r="D2378" i="3"/>
  <c r="E2379" i="3"/>
  <c r="F2380" i="3"/>
  <c r="G2381" i="3"/>
  <c r="H2382" i="3"/>
  <c r="I2383" i="3"/>
  <c r="K2384" i="3"/>
  <c r="D2386" i="3"/>
  <c r="E2387" i="3"/>
  <c r="F2388" i="3"/>
  <c r="G2389" i="3"/>
  <c r="H2390" i="3"/>
  <c r="G2076" i="3"/>
  <c r="H1732" i="3"/>
  <c r="I1733" i="3"/>
  <c r="K1734" i="3"/>
  <c r="D1736" i="3"/>
  <c r="E1737" i="3"/>
  <c r="F1738" i="3"/>
  <c r="G1739" i="3"/>
  <c r="D2083" i="3"/>
  <c r="F2101" i="3"/>
  <c r="I2118" i="3"/>
  <c r="K2128" i="3"/>
  <c r="F2136" i="3"/>
  <c r="G2141" i="3"/>
  <c r="D2146" i="3"/>
  <c r="H2150" i="3"/>
  <c r="E2155" i="3"/>
  <c r="I2159" i="3"/>
  <c r="F2164" i="3"/>
  <c r="K2168" i="3"/>
  <c r="G2173" i="3"/>
  <c r="D2178" i="3"/>
  <c r="H2182" i="3"/>
  <c r="E2187" i="3"/>
  <c r="I2191" i="3"/>
  <c r="F2196" i="3"/>
  <c r="I2199" i="3"/>
  <c r="D2203" i="3"/>
  <c r="F2206" i="3"/>
  <c r="K2208" i="3"/>
  <c r="E2212" i="3"/>
  <c r="G2215" i="3"/>
  <c r="D2218" i="3"/>
  <c r="F2221" i="3"/>
  <c r="H2224" i="3"/>
  <c r="E2227" i="3"/>
  <c r="G2230" i="3"/>
  <c r="I2233" i="3"/>
  <c r="F2236" i="3"/>
  <c r="H2239" i="3"/>
  <c r="K2242" i="3"/>
  <c r="G2245" i="3"/>
  <c r="I2248" i="3"/>
  <c r="D2252" i="3"/>
  <c r="F2254" i="3"/>
  <c r="H2256" i="3"/>
  <c r="F2258" i="3"/>
  <c r="E2260" i="3"/>
  <c r="D2262" i="3"/>
  <c r="I2263" i="3"/>
  <c r="I2265" i="3"/>
  <c r="G2267" i="3"/>
  <c r="F2269" i="3"/>
  <c r="E2271" i="3"/>
  <c r="K2272" i="3"/>
  <c r="K2274" i="3"/>
  <c r="H2276" i="3"/>
  <c r="F2278" i="3"/>
  <c r="I2279" i="3"/>
  <c r="G2281" i="3"/>
  <c r="K2282" i="3"/>
  <c r="F2284" i="3"/>
  <c r="H2285" i="3"/>
  <c r="K2286" i="3"/>
  <c r="D2288" i="3"/>
  <c r="E2289" i="3"/>
  <c r="F2290" i="3"/>
  <c r="G2291" i="3"/>
  <c r="H2292" i="3"/>
  <c r="I2293" i="3"/>
  <c r="K2294" i="3"/>
  <c r="D2296" i="3"/>
  <c r="E2297" i="3"/>
  <c r="F2298" i="3"/>
  <c r="G2299" i="3"/>
  <c r="H2300" i="3"/>
  <c r="I2301" i="3"/>
  <c r="K2302" i="3"/>
  <c r="D2304" i="3"/>
  <c r="E2305" i="3"/>
  <c r="F2306" i="3"/>
  <c r="G2307" i="3"/>
  <c r="H2308" i="3"/>
  <c r="I2309" i="3"/>
  <c r="K2310" i="3"/>
  <c r="D2312" i="3"/>
  <c r="E2313" i="3"/>
  <c r="F2314" i="3"/>
  <c r="G2315" i="3"/>
  <c r="H2316" i="3"/>
  <c r="I2317" i="3"/>
  <c r="K2318" i="3"/>
  <c r="D2320" i="3"/>
  <c r="E2321" i="3"/>
  <c r="F2322" i="3"/>
  <c r="G2323" i="3"/>
  <c r="H2324" i="3"/>
  <c r="I2325" i="3"/>
  <c r="K2326" i="3"/>
  <c r="D2328" i="3"/>
  <c r="E2329" i="3"/>
  <c r="F2330" i="3"/>
  <c r="G2331" i="3"/>
  <c r="H2332" i="3"/>
  <c r="I2333" i="3"/>
  <c r="K2334" i="3"/>
  <c r="D2336" i="3"/>
  <c r="E2337" i="3"/>
  <c r="F2338" i="3"/>
  <c r="G2339" i="3"/>
  <c r="H2340" i="3"/>
  <c r="I2341" i="3"/>
  <c r="K2342" i="3"/>
  <c r="D2344" i="3"/>
  <c r="E2345" i="3"/>
  <c r="F2346" i="3"/>
  <c r="G2347" i="3"/>
  <c r="H2348" i="3"/>
  <c r="I2349" i="3"/>
  <c r="K2350" i="3"/>
  <c r="D2352" i="3"/>
  <c r="E2353" i="3"/>
  <c r="F2354" i="3"/>
  <c r="G2355" i="3"/>
  <c r="H2356" i="3"/>
  <c r="I2357" i="3"/>
  <c r="K2358" i="3"/>
  <c r="D2360" i="3"/>
  <c r="E2361" i="3"/>
  <c r="F2362" i="3"/>
  <c r="G2363" i="3"/>
  <c r="H2364" i="3"/>
  <c r="I2365" i="3"/>
  <c r="K2366" i="3"/>
  <c r="D2368" i="3"/>
  <c r="E2369" i="3"/>
  <c r="F2370" i="3"/>
  <c r="G2371" i="3"/>
  <c r="H2372" i="3"/>
  <c r="I2373" i="3"/>
  <c r="K2374" i="3"/>
  <c r="D2376" i="3"/>
  <c r="E2377" i="3"/>
  <c r="F2378" i="3"/>
  <c r="G2379" i="3"/>
  <c r="H2380" i="3"/>
  <c r="I2381" i="3"/>
  <c r="K2382" i="3"/>
  <c r="D2384" i="3"/>
  <c r="E2385" i="3"/>
  <c r="F2386" i="3"/>
  <c r="G2387" i="3"/>
  <c r="H2388" i="3"/>
  <c r="I2121" i="3"/>
  <c r="D2147" i="3"/>
  <c r="F2165" i="3"/>
  <c r="H2183" i="3"/>
  <c r="H2200" i="3"/>
  <c r="F2212" i="3"/>
  <c r="I2224" i="3"/>
  <c r="E2237" i="3"/>
  <c r="K2248" i="3"/>
  <c r="H2258" i="3"/>
  <c r="K2265" i="3"/>
  <c r="E2273" i="3"/>
  <c r="D2280" i="3"/>
  <c r="I2285" i="3"/>
  <c r="G2290" i="3"/>
  <c r="D2295" i="3"/>
  <c r="H2299" i="3"/>
  <c r="E2304" i="3"/>
  <c r="I2308" i="3"/>
  <c r="F2313" i="3"/>
  <c r="K2317" i="3"/>
  <c r="G2322" i="3"/>
  <c r="D2327" i="3"/>
  <c r="H2331" i="3"/>
  <c r="E2336" i="3"/>
  <c r="I2340" i="3"/>
  <c r="F2345" i="3"/>
  <c r="K2349" i="3"/>
  <c r="G2354" i="3"/>
  <c r="D2359" i="3"/>
  <c r="G2362" i="3"/>
  <c r="H2365" i="3"/>
  <c r="F2368" i="3"/>
  <c r="H2371" i="3"/>
  <c r="I2374" i="3"/>
  <c r="G2377" i="3"/>
  <c r="I2380" i="3"/>
  <c r="K2383" i="3"/>
  <c r="H2386" i="3"/>
  <c r="I2389" i="3"/>
  <c r="F2076" i="3"/>
  <c r="E1733" i="3"/>
  <c r="E1735" i="3"/>
  <c r="K1736" i="3"/>
  <c r="I1738" i="3"/>
  <c r="H1740" i="3"/>
  <c r="D1742" i="3"/>
  <c r="G1743" i="3"/>
  <c r="E1745" i="3"/>
  <c r="H1746" i="3"/>
  <c r="D1748" i="3"/>
  <c r="I1749" i="3"/>
  <c r="E1751" i="3"/>
  <c r="H1752" i="3"/>
  <c r="F1754" i="3"/>
  <c r="H1755" i="3"/>
  <c r="I1756" i="3"/>
  <c r="K1757" i="3"/>
  <c r="D1759" i="3"/>
  <c r="E1760" i="3"/>
  <c r="F1761" i="3"/>
  <c r="G1762" i="3"/>
  <c r="H1763" i="3"/>
  <c r="I1764" i="3"/>
  <c r="K1765" i="3"/>
  <c r="D1767" i="3"/>
  <c r="E1768" i="3"/>
  <c r="F1769" i="3"/>
  <c r="G1770" i="3"/>
  <c r="H1771" i="3"/>
  <c r="I1772" i="3"/>
  <c r="K1773" i="3"/>
  <c r="D1775" i="3"/>
  <c r="E1776" i="3"/>
  <c r="F1777" i="3"/>
  <c r="G1778" i="3"/>
  <c r="H1779" i="3"/>
  <c r="I1780" i="3"/>
  <c r="K1781" i="3"/>
  <c r="D1783" i="3"/>
  <c r="E1784" i="3"/>
  <c r="F1785" i="3"/>
  <c r="G1786" i="3"/>
  <c r="H1787" i="3"/>
  <c r="I1788" i="3"/>
  <c r="K1789" i="3"/>
  <c r="D1791" i="3"/>
  <c r="E1792" i="3"/>
  <c r="F1793" i="3"/>
  <c r="G1794" i="3"/>
  <c r="H1795" i="3"/>
  <c r="I1796" i="3"/>
  <c r="K1797" i="3"/>
  <c r="D1799" i="3"/>
  <c r="E1800" i="3"/>
  <c r="F1801" i="3"/>
  <c r="G1802" i="3"/>
  <c r="H1803" i="3"/>
  <c r="I1804" i="3"/>
  <c r="K1805" i="3"/>
  <c r="D1807" i="3"/>
  <c r="E1808" i="3"/>
  <c r="F1809" i="3"/>
  <c r="G1810" i="3"/>
  <c r="H1811" i="3"/>
  <c r="I1812" i="3"/>
  <c r="K1813" i="3"/>
  <c r="D1815" i="3"/>
  <c r="E1816" i="3"/>
  <c r="F1817" i="3"/>
  <c r="G1818" i="3"/>
  <c r="H1819" i="3"/>
  <c r="I1820" i="3"/>
  <c r="K1821" i="3"/>
  <c r="D1823" i="3"/>
  <c r="E1824" i="3"/>
  <c r="F1825" i="3"/>
  <c r="G1826" i="3"/>
  <c r="H1827" i="3"/>
  <c r="I1828" i="3"/>
  <c r="K1829" i="3"/>
  <c r="D1831" i="3"/>
  <c r="E1832" i="3"/>
  <c r="F1833" i="3"/>
  <c r="G1834" i="3"/>
  <c r="H1835" i="3"/>
  <c r="I1836" i="3"/>
  <c r="K1837" i="3"/>
  <c r="D1839" i="3"/>
  <c r="E1840" i="3"/>
  <c r="F1841" i="3"/>
  <c r="G1842" i="3"/>
  <c r="H1843" i="3"/>
  <c r="I1844" i="3"/>
  <c r="K1845" i="3"/>
  <c r="D1847" i="3"/>
  <c r="E1848" i="3"/>
  <c r="F1849" i="3"/>
  <c r="G1850" i="3"/>
  <c r="H1851" i="3"/>
  <c r="I1852" i="3"/>
  <c r="K1853" i="3"/>
  <c r="D1855" i="3"/>
  <c r="E1856" i="3"/>
  <c r="F1857" i="3"/>
  <c r="G1858" i="3"/>
  <c r="H1859" i="3"/>
  <c r="I1860" i="3"/>
  <c r="K1861" i="3"/>
  <c r="D1863" i="3"/>
  <c r="E1864" i="3"/>
  <c r="F1865" i="3"/>
  <c r="G1866" i="3"/>
  <c r="H1867" i="3"/>
  <c r="I1868" i="3"/>
  <c r="K1869" i="3"/>
  <c r="D1871" i="3"/>
  <c r="E1872" i="3"/>
  <c r="F1873" i="3"/>
  <c r="G1874" i="3"/>
  <c r="H1875" i="3"/>
  <c r="I1876" i="3"/>
  <c r="K1877" i="3"/>
  <c r="D1879" i="3"/>
  <c r="E1880" i="3"/>
  <c r="F1881" i="3"/>
  <c r="G1882" i="3"/>
  <c r="H1883" i="3"/>
  <c r="I1884" i="3"/>
  <c r="K1885" i="3"/>
  <c r="I2128" i="3"/>
  <c r="G2150" i="3"/>
  <c r="I2168" i="3"/>
  <c r="D2187" i="3"/>
  <c r="K2202" i="3"/>
  <c r="H2214" i="3"/>
  <c r="D2227" i="3"/>
  <c r="G2239" i="3"/>
  <c r="E2251" i="3"/>
  <c r="D2260" i="3"/>
  <c r="E2267" i="3"/>
  <c r="H2274" i="3"/>
  <c r="E2281" i="3"/>
  <c r="I2286" i="3"/>
  <c r="F2291" i="3"/>
  <c r="K2295" i="3"/>
  <c r="G2300" i="3"/>
  <c r="D2305" i="3"/>
  <c r="H2309" i="3"/>
  <c r="E2314" i="3"/>
  <c r="I2318" i="3"/>
  <c r="F2323" i="3"/>
  <c r="K2327" i="3"/>
  <c r="G2332" i="3"/>
  <c r="D2337" i="3"/>
  <c r="H2341" i="3"/>
  <c r="E2346" i="3"/>
  <c r="I2350" i="3"/>
  <c r="F2355" i="3"/>
  <c r="K2359" i="3"/>
  <c r="H2362" i="3"/>
  <c r="K2365" i="3"/>
  <c r="D2369" i="3"/>
  <c r="I2371" i="3"/>
  <c r="D2375" i="3"/>
  <c r="E2378" i="3"/>
  <c r="K2380" i="3"/>
  <c r="E2384" i="3"/>
  <c r="F2387" i="3"/>
  <c r="K2389" i="3"/>
  <c r="E2076" i="3"/>
  <c r="G1733" i="3"/>
  <c r="F1735" i="3"/>
  <c r="F1737" i="3"/>
  <c r="K1738" i="3"/>
  <c r="I1740" i="3"/>
  <c r="E1742" i="3"/>
  <c r="I1743" i="3"/>
  <c r="F1745" i="3"/>
  <c r="I1746" i="3"/>
  <c r="F1748" i="3"/>
  <c r="K1749" i="3"/>
  <c r="F1751" i="3"/>
  <c r="K1752" i="3"/>
  <c r="G1754" i="3"/>
  <c r="I1755" i="3"/>
  <c r="K1756" i="3"/>
  <c r="D1758" i="3"/>
  <c r="E1759" i="3"/>
  <c r="F1760" i="3"/>
  <c r="G1761" i="3"/>
  <c r="H1762" i="3"/>
  <c r="I1763" i="3"/>
  <c r="K1764" i="3"/>
  <c r="D1766" i="3"/>
  <c r="E1767" i="3"/>
  <c r="F1768" i="3"/>
  <c r="G1769" i="3"/>
  <c r="H1770" i="3"/>
  <c r="I1771" i="3"/>
  <c r="K1772" i="3"/>
  <c r="D1774" i="3"/>
  <c r="E1775" i="3"/>
  <c r="F1776" i="3"/>
  <c r="G1777" i="3"/>
  <c r="H1778" i="3"/>
  <c r="I1779" i="3"/>
  <c r="K1780" i="3"/>
  <c r="D1782" i="3"/>
  <c r="E1783" i="3"/>
  <c r="F1784" i="3"/>
  <c r="G1785" i="3"/>
  <c r="H1786" i="3"/>
  <c r="H2130" i="3"/>
  <c r="H2151" i="3"/>
  <c r="K2169" i="3"/>
  <c r="E2188" i="3"/>
  <c r="E2203" i="3"/>
  <c r="H2215" i="3"/>
  <c r="D2228" i="3"/>
  <c r="I2239" i="3"/>
  <c r="E2252" i="3"/>
  <c r="F2260" i="3"/>
  <c r="I2267" i="3"/>
  <c r="D2275" i="3"/>
  <c r="H2281" i="3"/>
  <c r="D2287" i="3"/>
  <c r="H2291" i="3"/>
  <c r="E2296" i="3"/>
  <c r="I2300" i="3"/>
  <c r="F2305" i="3"/>
  <c r="K2309" i="3"/>
  <c r="G2314" i="3"/>
  <c r="D2319" i="3"/>
  <c r="H2323" i="3"/>
  <c r="E2328" i="3"/>
  <c r="I2332" i="3"/>
  <c r="F2337" i="3"/>
  <c r="L2337" i="3" s="1"/>
  <c r="K2341" i="3"/>
  <c r="G2346" i="3"/>
  <c r="D2351" i="3"/>
  <c r="H2355" i="3"/>
  <c r="E2360" i="3"/>
  <c r="F2363" i="3"/>
  <c r="D2366" i="3"/>
  <c r="F2369" i="3"/>
  <c r="G2372" i="3"/>
  <c r="E2375" i="3"/>
  <c r="G2378" i="3"/>
  <c r="H2381" i="3"/>
  <c r="F2384" i="3"/>
  <c r="H2387" i="3"/>
  <c r="D2390" i="3"/>
  <c r="D2076" i="3"/>
  <c r="K1733" i="3"/>
  <c r="G1735" i="3"/>
  <c r="G1737" i="3"/>
  <c r="E1739" i="3"/>
  <c r="K1740" i="3"/>
  <c r="F1742" i="3"/>
  <c r="D1744" i="3"/>
  <c r="G1745" i="3"/>
  <c r="K1746" i="3"/>
  <c r="H1748" i="3"/>
  <c r="D1750" i="3"/>
  <c r="G1751" i="3"/>
  <c r="E1753" i="3"/>
  <c r="H1754" i="3"/>
  <c r="K1755" i="3"/>
  <c r="D1757" i="3"/>
  <c r="E1758" i="3"/>
  <c r="F1759" i="3"/>
  <c r="G1760" i="3"/>
  <c r="H1761" i="3"/>
  <c r="I1762" i="3"/>
  <c r="K1763" i="3"/>
  <c r="D1765" i="3"/>
  <c r="E1766" i="3"/>
  <c r="F1767" i="3"/>
  <c r="G1768" i="3"/>
  <c r="H1769" i="3"/>
  <c r="I1770" i="3"/>
  <c r="K1771" i="3"/>
  <c r="D1773" i="3"/>
  <c r="E1774" i="3"/>
  <c r="F1775" i="3"/>
  <c r="G1776" i="3"/>
  <c r="H1777" i="3"/>
  <c r="I1778" i="3"/>
  <c r="K1779" i="3"/>
  <c r="D1781" i="3"/>
  <c r="E1782" i="3"/>
  <c r="F1783" i="3"/>
  <c r="G1784" i="3"/>
  <c r="H1785" i="3"/>
  <c r="I1786" i="3"/>
  <c r="K1787" i="3"/>
  <c r="D1789" i="3"/>
  <c r="E2082" i="3"/>
  <c r="K2135" i="3"/>
  <c r="D2155" i="3"/>
  <c r="F2173" i="3"/>
  <c r="H2191" i="3"/>
  <c r="G2205" i="3"/>
  <c r="K2217" i="3"/>
  <c r="F2230" i="3"/>
  <c r="D2242" i="3"/>
  <c r="D2254" i="3"/>
  <c r="I2261" i="3"/>
  <c r="E2269" i="3"/>
  <c r="F2276" i="3"/>
  <c r="I2282" i="3"/>
  <c r="K2287" i="3"/>
  <c r="G2292" i="3"/>
  <c r="D2297" i="3"/>
  <c r="H2301" i="3"/>
  <c r="E2306" i="3"/>
  <c r="I2310" i="3"/>
  <c r="F2315" i="3"/>
  <c r="K2319" i="3"/>
  <c r="G2324" i="3"/>
  <c r="D2329" i="3"/>
  <c r="H2333" i="3"/>
  <c r="E2338" i="3"/>
  <c r="I2342" i="3"/>
  <c r="F2347" i="3"/>
  <c r="K2351" i="3"/>
  <c r="G2356" i="3"/>
  <c r="F2360" i="3"/>
  <c r="H2363" i="3"/>
  <c r="I2366" i="3"/>
  <c r="G2369" i="3"/>
  <c r="I2372" i="3"/>
  <c r="K2375" i="3"/>
  <c r="H2378" i="3"/>
  <c r="K2381" i="3"/>
  <c r="D2385" i="3"/>
  <c r="I2387" i="3"/>
  <c r="I2390" i="3"/>
  <c r="D1732" i="3"/>
  <c r="D1734" i="3"/>
  <c r="I1735" i="3"/>
  <c r="H1737" i="3"/>
  <c r="H1739" i="3"/>
  <c r="D1741" i="3"/>
  <c r="H1742" i="3"/>
  <c r="E1744" i="3"/>
  <c r="H1745" i="3"/>
  <c r="E1747" i="3"/>
  <c r="I1748" i="3"/>
  <c r="E1750" i="3"/>
  <c r="I1751" i="3"/>
  <c r="F1753" i="3"/>
  <c r="I1754" i="3"/>
  <c r="D1756" i="3"/>
  <c r="E1757" i="3"/>
  <c r="F1758" i="3"/>
  <c r="G1759" i="3"/>
  <c r="H1760" i="3"/>
  <c r="I1761" i="3"/>
  <c r="K1762" i="3"/>
  <c r="D1764" i="3"/>
  <c r="E1765" i="3"/>
  <c r="F1766" i="3"/>
  <c r="G1767" i="3"/>
  <c r="H1768" i="3"/>
  <c r="I1769" i="3"/>
  <c r="K1770" i="3"/>
  <c r="D1772" i="3"/>
  <c r="E1773" i="3"/>
  <c r="F1774" i="3"/>
  <c r="G1775" i="3"/>
  <c r="H1776" i="3"/>
  <c r="I1777" i="3"/>
  <c r="K1778" i="3"/>
  <c r="D1780" i="3"/>
  <c r="I2086" i="3"/>
  <c r="K2137" i="3"/>
  <c r="E2156" i="3"/>
  <c r="G2174" i="3"/>
  <c r="I2192" i="3"/>
  <c r="G2206" i="3"/>
  <c r="K2218" i="3"/>
  <c r="H2230" i="3"/>
  <c r="D2243" i="3"/>
  <c r="G2254" i="3"/>
  <c r="F2262" i="3"/>
  <c r="G2269" i="3"/>
  <c r="K2276" i="3"/>
  <c r="D2283" i="3"/>
  <c r="E2288" i="3"/>
  <c r="I2292" i="3"/>
  <c r="F2297" i="3"/>
  <c r="K2301" i="3"/>
  <c r="G2306" i="3"/>
  <c r="D2311" i="3"/>
  <c r="H2315" i="3"/>
  <c r="E2320" i="3"/>
  <c r="I2324" i="3"/>
  <c r="F2329" i="3"/>
  <c r="K2333" i="3"/>
  <c r="G2338" i="3"/>
  <c r="D2343" i="3"/>
  <c r="H2347" i="3"/>
  <c r="E2352" i="3"/>
  <c r="I2356" i="3"/>
  <c r="D2361" i="3"/>
  <c r="I2363" i="3"/>
  <c r="D2367" i="3"/>
  <c r="E2370" i="3"/>
  <c r="K2372" i="3"/>
  <c r="E2376" i="3"/>
  <c r="F2379" i="3"/>
  <c r="D2382" i="3"/>
  <c r="F2385" i="3"/>
  <c r="G2388" i="3"/>
  <c r="K2390" i="3"/>
  <c r="F1732" i="3"/>
  <c r="E1734" i="3"/>
  <c r="E1736" i="3"/>
  <c r="I1737" i="3"/>
  <c r="I1739" i="3"/>
  <c r="E1741" i="3"/>
  <c r="K1742" i="3"/>
  <c r="F1744" i="3"/>
  <c r="I1745" i="3"/>
  <c r="G1747" i="3"/>
  <c r="K1748" i="3"/>
  <c r="F1750" i="3"/>
  <c r="D1752" i="3"/>
  <c r="G1753" i="3"/>
  <c r="K1754" i="3"/>
  <c r="E1756" i="3"/>
  <c r="F1757" i="3"/>
  <c r="G1758" i="3"/>
  <c r="H1759" i="3"/>
  <c r="I1760" i="3"/>
  <c r="K1761" i="3"/>
  <c r="D1763" i="3"/>
  <c r="E1764" i="3"/>
  <c r="F1765" i="3"/>
  <c r="G1766" i="3"/>
  <c r="H1767" i="3"/>
  <c r="I1768" i="3"/>
  <c r="K1769" i="3"/>
  <c r="D1771" i="3"/>
  <c r="E1772" i="3"/>
  <c r="F1773" i="3"/>
  <c r="G1774" i="3"/>
  <c r="H1775" i="3"/>
  <c r="I1776" i="3"/>
  <c r="K1777" i="3"/>
  <c r="D1779" i="3"/>
  <c r="E1780" i="3"/>
  <c r="F1781" i="3"/>
  <c r="G1782" i="3"/>
  <c r="H1783" i="3"/>
  <c r="I1784" i="3"/>
  <c r="K1785" i="3"/>
  <c r="D1787" i="3"/>
  <c r="E1788" i="3"/>
  <c r="F1789" i="3"/>
  <c r="G1790" i="3"/>
  <c r="H1791" i="3"/>
  <c r="I1792" i="3"/>
  <c r="K1793" i="3"/>
  <c r="D2105" i="3"/>
  <c r="G2142" i="3"/>
  <c r="I2160" i="3"/>
  <c r="D2179" i="3"/>
  <c r="F2197" i="3"/>
  <c r="I2209" i="3"/>
  <c r="G2221" i="3"/>
  <c r="K2233" i="3"/>
  <c r="F2246" i="3"/>
  <c r="I2256" i="3"/>
  <c r="D2264" i="3"/>
  <c r="G2271" i="3"/>
  <c r="G2278" i="3"/>
  <c r="G2284" i="3"/>
  <c r="F2289" i="3"/>
  <c r="K2293" i="3"/>
  <c r="G2298" i="3"/>
  <c r="D2303" i="3"/>
  <c r="H2307" i="3"/>
  <c r="E2312" i="3"/>
  <c r="I2316" i="3"/>
  <c r="F2321" i="3"/>
  <c r="L2321" i="3" s="1"/>
  <c r="K2325" i="3"/>
  <c r="G2330" i="3"/>
  <c r="D2335" i="3"/>
  <c r="H2339" i="3"/>
  <c r="E2344" i="3"/>
  <c r="I2348" i="3"/>
  <c r="F2353" i="3"/>
  <c r="K2357" i="3"/>
  <c r="G2361" i="3"/>
  <c r="I2364" i="3"/>
  <c r="K2367" i="3"/>
  <c r="H2370" i="3"/>
  <c r="K2373" i="3"/>
  <c r="D2377" i="3"/>
  <c r="I2379" i="3"/>
  <c r="D2383" i="3"/>
  <c r="E2386" i="3"/>
  <c r="K2388" i="3"/>
  <c r="K1732" i="3"/>
  <c r="H1734" i="3"/>
  <c r="G1736" i="3"/>
  <c r="G1738" i="3"/>
  <c r="D1740" i="3"/>
  <c r="I1741" i="3"/>
  <c r="E1743" i="3"/>
  <c r="H1744" i="3"/>
  <c r="F1746" i="3"/>
  <c r="I1747" i="3"/>
  <c r="E1749" i="3"/>
  <c r="K1750" i="3"/>
  <c r="F1752" i="3"/>
  <c r="I1753" i="3"/>
  <c r="F1755" i="3"/>
  <c r="G1756" i="3"/>
  <c r="H1757" i="3"/>
  <c r="I1758" i="3"/>
  <c r="K1759" i="3"/>
  <c r="D1761" i="3"/>
  <c r="E1762" i="3"/>
  <c r="F1763" i="3"/>
  <c r="G1764" i="3"/>
  <c r="H1765" i="3"/>
  <c r="I1766" i="3"/>
  <c r="K1767" i="3"/>
  <c r="D1769" i="3"/>
  <c r="E1770" i="3"/>
  <c r="F1771" i="3"/>
  <c r="G1772" i="3"/>
  <c r="H1773" i="3"/>
  <c r="I1774" i="3"/>
  <c r="K1775" i="3"/>
  <c r="D1777" i="3"/>
  <c r="K2145" i="3"/>
  <c r="D2212" i="3"/>
  <c r="D2258" i="3"/>
  <c r="G2285" i="3"/>
  <c r="K2303" i="3"/>
  <c r="E2322" i="3"/>
  <c r="G2340" i="3"/>
  <c r="I2358" i="3"/>
  <c r="F2371" i="3"/>
  <c r="E2383" i="3"/>
  <c r="I1732" i="3"/>
  <c r="K1739" i="3"/>
  <c r="D1746" i="3"/>
  <c r="E1752" i="3"/>
  <c r="G1757" i="3"/>
  <c r="D1762" i="3"/>
  <c r="H1766" i="3"/>
  <c r="E1771" i="3"/>
  <c r="I1775" i="3"/>
  <c r="F1779" i="3"/>
  <c r="I1781" i="3"/>
  <c r="D1784" i="3"/>
  <c r="F1786" i="3"/>
  <c r="G1788" i="3"/>
  <c r="E1790" i="3"/>
  <c r="I1791" i="3"/>
  <c r="E1793" i="3"/>
  <c r="I1794" i="3"/>
  <c r="D1796" i="3"/>
  <c r="F1797" i="3"/>
  <c r="H1798" i="3"/>
  <c r="K1799" i="3"/>
  <c r="E1801" i="3"/>
  <c r="H1802" i="3"/>
  <c r="K1803" i="3"/>
  <c r="E1805" i="3"/>
  <c r="G1806" i="3"/>
  <c r="I1807" i="3"/>
  <c r="D1809" i="3"/>
  <c r="F1810" i="3"/>
  <c r="I1811" i="3"/>
  <c r="D1813" i="3"/>
  <c r="F1814" i="3"/>
  <c r="H1815" i="3"/>
  <c r="K1816" i="3"/>
  <c r="E1818" i="3"/>
  <c r="G1819" i="3"/>
  <c r="K1820" i="3"/>
  <c r="E1822" i="3"/>
  <c r="G1823" i="3"/>
  <c r="I1824" i="3"/>
  <c r="D1826" i="3"/>
  <c r="F1827" i="3"/>
  <c r="H1828" i="3"/>
  <c r="D1830" i="3"/>
  <c r="F1831" i="3"/>
  <c r="H1832" i="3"/>
  <c r="K1833" i="3"/>
  <c r="E1835" i="3"/>
  <c r="G1836" i="3"/>
  <c r="I1837" i="3"/>
  <c r="E1839" i="3"/>
  <c r="G1840" i="3"/>
  <c r="I1841" i="3"/>
  <c r="D1843" i="3"/>
  <c r="F1844" i="3"/>
  <c r="H1845" i="3"/>
  <c r="K1846" i="3"/>
  <c r="F1848" i="3"/>
  <c r="H1849" i="3"/>
  <c r="K1850" i="3"/>
  <c r="E1852" i="3"/>
  <c r="G1853" i="3"/>
  <c r="I1854" i="3"/>
  <c r="D1856" i="3"/>
  <c r="G1857" i="3"/>
  <c r="I1858" i="3"/>
  <c r="D1860" i="3"/>
  <c r="F1861" i="3"/>
  <c r="H1862" i="3"/>
  <c r="K1863" i="3"/>
  <c r="E1865" i="3"/>
  <c r="H1866" i="3"/>
  <c r="K1867" i="3"/>
  <c r="E1869" i="3"/>
  <c r="G1870" i="3"/>
  <c r="I1871" i="3"/>
  <c r="D1873" i="3"/>
  <c r="F1874" i="3"/>
  <c r="I1875" i="3"/>
  <c r="D1877" i="3"/>
  <c r="F1878" i="3"/>
  <c r="H1879" i="3"/>
  <c r="K1880" i="3"/>
  <c r="E1882" i="3"/>
  <c r="G1883" i="3"/>
  <c r="K1884" i="3"/>
  <c r="E1886" i="3"/>
  <c r="F1887" i="3"/>
  <c r="G1888" i="3"/>
  <c r="H1889" i="3"/>
  <c r="I1890" i="3"/>
  <c r="K1891" i="3"/>
  <c r="D1893" i="3"/>
  <c r="E1894" i="3"/>
  <c r="F1895" i="3"/>
  <c r="G1896" i="3"/>
  <c r="H1897" i="3"/>
  <c r="I1898" i="3"/>
  <c r="K1899" i="3"/>
  <c r="D1901" i="3"/>
  <c r="E1902" i="3"/>
  <c r="F1903" i="3"/>
  <c r="G1904" i="3"/>
  <c r="H1905" i="3"/>
  <c r="I1906" i="3"/>
  <c r="K1907" i="3"/>
  <c r="D1909" i="3"/>
  <c r="E1910" i="3"/>
  <c r="F1911" i="3"/>
  <c r="G1912" i="3"/>
  <c r="H1913" i="3"/>
  <c r="I1914" i="3"/>
  <c r="K1915" i="3"/>
  <c r="D1917" i="3"/>
  <c r="E1918" i="3"/>
  <c r="F1919" i="3"/>
  <c r="G1920" i="3"/>
  <c r="H1921" i="3"/>
  <c r="I1922" i="3"/>
  <c r="K1923" i="3"/>
  <c r="D1925" i="3"/>
  <c r="E1926" i="3"/>
  <c r="F1927" i="3"/>
  <c r="G1928" i="3"/>
  <c r="H1929" i="3"/>
  <c r="I1930" i="3"/>
  <c r="K1931" i="3"/>
  <c r="D1933" i="3"/>
  <c r="E1934" i="3"/>
  <c r="F1935" i="3"/>
  <c r="G1936" i="3"/>
  <c r="H1937" i="3"/>
  <c r="I1938" i="3"/>
  <c r="K1939" i="3"/>
  <c r="D1941" i="3"/>
  <c r="H2159" i="3"/>
  <c r="E2221" i="3"/>
  <c r="H2263" i="3"/>
  <c r="D2289" i="3"/>
  <c r="F2307" i="3"/>
  <c r="H2325" i="3"/>
  <c r="K2343" i="3"/>
  <c r="F2361" i="3"/>
  <c r="H2373" i="3"/>
  <c r="G2385" i="3"/>
  <c r="D1733" i="3"/>
  <c r="F1740" i="3"/>
  <c r="G1746" i="3"/>
  <c r="G1752" i="3"/>
  <c r="I1757" i="3"/>
  <c r="F1762" i="3"/>
  <c r="K1766" i="3"/>
  <c r="G1771" i="3"/>
  <c r="D1776" i="3"/>
  <c r="G1779" i="3"/>
  <c r="F1782" i="3"/>
  <c r="H1784" i="3"/>
  <c r="K1786" i="3"/>
  <c r="H1788" i="3"/>
  <c r="F1790" i="3"/>
  <c r="K1791" i="3"/>
  <c r="G1793" i="3"/>
  <c r="K1794" i="3"/>
  <c r="E1796" i="3"/>
  <c r="G1797" i="3"/>
  <c r="I1798" i="3"/>
  <c r="D1800" i="3"/>
  <c r="G1801" i="3"/>
  <c r="I1802" i="3"/>
  <c r="D1804" i="3"/>
  <c r="F1805" i="3"/>
  <c r="H1806" i="3"/>
  <c r="K1807" i="3"/>
  <c r="E1809" i="3"/>
  <c r="H1810" i="3"/>
  <c r="K1811" i="3"/>
  <c r="E1813" i="3"/>
  <c r="G1814" i="3"/>
  <c r="I1815" i="3"/>
  <c r="D1817" i="3"/>
  <c r="F1818" i="3"/>
  <c r="I1819" i="3"/>
  <c r="D1821" i="3"/>
  <c r="F1822" i="3"/>
  <c r="H1823" i="3"/>
  <c r="K1824" i="3"/>
  <c r="E1826" i="3"/>
  <c r="G1827" i="3"/>
  <c r="K1828" i="3"/>
  <c r="E1830" i="3"/>
  <c r="G1831" i="3"/>
  <c r="I1832" i="3"/>
  <c r="D1834" i="3"/>
  <c r="F1835" i="3"/>
  <c r="H1836" i="3"/>
  <c r="D1838" i="3"/>
  <c r="F1839" i="3"/>
  <c r="H1840" i="3"/>
  <c r="K1841" i="3"/>
  <c r="E1843" i="3"/>
  <c r="G1844" i="3"/>
  <c r="I1845" i="3"/>
  <c r="E1847" i="3"/>
  <c r="G1848" i="3"/>
  <c r="I1849" i="3"/>
  <c r="D1851" i="3"/>
  <c r="F1852" i="3"/>
  <c r="H1853" i="3"/>
  <c r="K1854" i="3"/>
  <c r="F1856" i="3"/>
  <c r="H1857" i="3"/>
  <c r="K1858" i="3"/>
  <c r="E1860" i="3"/>
  <c r="G1861" i="3"/>
  <c r="I1862" i="3"/>
  <c r="D1864" i="3"/>
  <c r="G1865" i="3"/>
  <c r="I1866" i="3"/>
  <c r="D1868" i="3"/>
  <c r="F1869" i="3"/>
  <c r="H1870" i="3"/>
  <c r="K1871" i="3"/>
  <c r="E1873" i="3"/>
  <c r="H1874" i="3"/>
  <c r="K1875" i="3"/>
  <c r="E1877" i="3"/>
  <c r="G1878" i="3"/>
  <c r="I1879" i="3"/>
  <c r="D1881" i="3"/>
  <c r="F1882" i="3"/>
  <c r="I1883" i="3"/>
  <c r="D1885" i="3"/>
  <c r="F1886" i="3"/>
  <c r="G1887" i="3"/>
  <c r="H1888" i="3"/>
  <c r="I1889" i="3"/>
  <c r="K1890" i="3"/>
  <c r="D1892" i="3"/>
  <c r="E1893" i="3"/>
  <c r="F1894" i="3"/>
  <c r="G1895" i="3"/>
  <c r="H1896" i="3"/>
  <c r="I1897" i="3"/>
  <c r="K1898" i="3"/>
  <c r="D1900" i="3"/>
  <c r="E1901" i="3"/>
  <c r="F1902" i="3"/>
  <c r="G1903" i="3"/>
  <c r="H1904" i="3"/>
  <c r="I1905" i="3"/>
  <c r="K1906" i="3"/>
  <c r="D1908" i="3"/>
  <c r="E1909" i="3"/>
  <c r="F1910" i="3"/>
  <c r="G1911" i="3"/>
  <c r="H1912" i="3"/>
  <c r="I1913" i="3"/>
  <c r="K1914" i="3"/>
  <c r="D1916" i="3"/>
  <c r="E1917" i="3"/>
  <c r="F1918" i="3"/>
  <c r="G1919" i="3"/>
  <c r="H1920" i="3"/>
  <c r="I1921" i="3"/>
  <c r="K1922" i="3"/>
  <c r="D1924" i="3"/>
  <c r="E1925" i="3"/>
  <c r="F1926" i="3"/>
  <c r="G1927" i="3"/>
  <c r="H1928" i="3"/>
  <c r="I1929" i="3"/>
  <c r="K1930" i="3"/>
  <c r="D1932" i="3"/>
  <c r="E1933" i="3"/>
  <c r="F1934" i="3"/>
  <c r="G1935" i="3"/>
  <c r="H1936" i="3"/>
  <c r="I1937" i="3"/>
  <c r="K1938" i="3"/>
  <c r="D1940" i="3"/>
  <c r="E1941" i="3"/>
  <c r="F1942" i="3"/>
  <c r="G1943" i="3"/>
  <c r="H1944" i="3"/>
  <c r="I1945" i="3"/>
  <c r="E2164" i="3"/>
  <c r="I2223" i="3"/>
  <c r="G2265" i="3"/>
  <c r="E2290" i="3"/>
  <c r="G2308" i="3"/>
  <c r="I2326" i="3"/>
  <c r="D2345" i="3"/>
  <c r="E2362" i="3"/>
  <c r="D2374" i="3"/>
  <c r="G2386" i="3"/>
  <c r="F1734" i="3"/>
  <c r="G1741" i="3"/>
  <c r="H1747" i="3"/>
  <c r="H1753" i="3"/>
  <c r="H1758" i="3"/>
  <c r="E1763" i="3"/>
  <c r="I1767" i="3"/>
  <c r="F1772" i="3"/>
  <c r="K1776" i="3"/>
  <c r="F1780" i="3"/>
  <c r="H1782" i="3"/>
  <c r="K1784" i="3"/>
  <c r="E1787" i="3"/>
  <c r="K1788" i="3"/>
  <c r="H1790" i="3"/>
  <c r="D1792" i="3"/>
  <c r="H1793" i="3"/>
  <c r="D1795" i="3"/>
  <c r="F1796" i="3"/>
  <c r="H1797" i="3"/>
  <c r="K1798" i="3"/>
  <c r="F1800" i="3"/>
  <c r="H1801" i="3"/>
  <c r="K1802" i="3"/>
  <c r="E1804" i="3"/>
  <c r="G1805" i="3"/>
  <c r="I1806" i="3"/>
  <c r="D1808" i="3"/>
  <c r="G1809" i="3"/>
  <c r="I1810" i="3"/>
  <c r="D1812" i="3"/>
  <c r="F1813" i="3"/>
  <c r="H1814" i="3"/>
  <c r="K1815" i="3"/>
  <c r="E1817" i="3"/>
  <c r="H1818" i="3"/>
  <c r="K1819" i="3"/>
  <c r="E1821" i="3"/>
  <c r="G1822" i="3"/>
  <c r="I1823" i="3"/>
  <c r="D1825" i="3"/>
  <c r="F1826" i="3"/>
  <c r="I1827" i="3"/>
  <c r="D1829" i="3"/>
  <c r="F1830" i="3"/>
  <c r="H1831" i="3"/>
  <c r="K1832" i="3"/>
  <c r="E1834" i="3"/>
  <c r="G1835" i="3"/>
  <c r="K1836" i="3"/>
  <c r="E1838" i="3"/>
  <c r="G1839" i="3"/>
  <c r="I1840" i="3"/>
  <c r="D1842" i="3"/>
  <c r="F1843" i="3"/>
  <c r="H1844" i="3"/>
  <c r="D1846" i="3"/>
  <c r="F1847" i="3"/>
  <c r="H1848" i="3"/>
  <c r="K1849" i="3"/>
  <c r="E1851" i="3"/>
  <c r="G1852" i="3"/>
  <c r="I1853" i="3"/>
  <c r="E1855" i="3"/>
  <c r="G1856" i="3"/>
  <c r="I1857" i="3"/>
  <c r="D1859" i="3"/>
  <c r="F1860" i="3"/>
  <c r="H1861" i="3"/>
  <c r="K1862" i="3"/>
  <c r="F1864" i="3"/>
  <c r="H1865" i="3"/>
  <c r="K1866" i="3"/>
  <c r="E1868" i="3"/>
  <c r="G1869" i="3"/>
  <c r="I1870" i="3"/>
  <c r="D1872" i="3"/>
  <c r="G1873" i="3"/>
  <c r="I1874" i="3"/>
  <c r="D1876" i="3"/>
  <c r="F1877" i="3"/>
  <c r="H1878" i="3"/>
  <c r="K1879" i="3"/>
  <c r="E1881" i="3"/>
  <c r="H1882" i="3"/>
  <c r="K1883" i="3"/>
  <c r="E1885" i="3"/>
  <c r="G1886" i="3"/>
  <c r="H1887" i="3"/>
  <c r="I1888" i="3"/>
  <c r="K1889" i="3"/>
  <c r="D1891" i="3"/>
  <c r="E1892" i="3"/>
  <c r="F1893" i="3"/>
  <c r="G1894" i="3"/>
  <c r="H1895" i="3"/>
  <c r="I1896" i="3"/>
  <c r="K1897" i="3"/>
  <c r="D1899" i="3"/>
  <c r="E1900" i="3"/>
  <c r="F1901" i="3"/>
  <c r="G1902" i="3"/>
  <c r="H1903" i="3"/>
  <c r="I1904" i="3"/>
  <c r="K1905" i="3"/>
  <c r="D1907" i="3"/>
  <c r="E1908" i="3"/>
  <c r="F1909" i="3"/>
  <c r="G1910" i="3"/>
  <c r="H1911" i="3"/>
  <c r="I1912" i="3"/>
  <c r="K1913" i="3"/>
  <c r="D1915" i="3"/>
  <c r="E1916" i="3"/>
  <c r="F1917" i="3"/>
  <c r="G1918" i="3"/>
  <c r="H1919" i="3"/>
  <c r="I1920" i="3"/>
  <c r="K1921" i="3"/>
  <c r="D1923" i="3"/>
  <c r="E1924" i="3"/>
  <c r="F1925" i="3"/>
  <c r="G1926" i="3"/>
  <c r="H1927" i="3"/>
  <c r="I1928" i="3"/>
  <c r="K1929" i="3"/>
  <c r="D1931" i="3"/>
  <c r="E1932" i="3"/>
  <c r="F1933" i="3"/>
  <c r="G1934" i="3"/>
  <c r="H1935" i="3"/>
  <c r="I1936" i="3"/>
  <c r="K1937" i="3"/>
  <c r="D1939" i="3"/>
  <c r="E1940" i="3"/>
  <c r="F1941" i="3"/>
  <c r="G1942" i="3"/>
  <c r="H1943" i="3"/>
  <c r="I1944" i="3"/>
  <c r="K1945" i="3"/>
  <c r="D1947" i="3"/>
  <c r="E1948" i="3"/>
  <c r="F1949" i="3"/>
  <c r="G1950" i="3"/>
  <c r="H1951" i="3"/>
  <c r="I1952" i="3"/>
  <c r="K1953" i="3"/>
  <c r="D1955" i="3"/>
  <c r="E1956" i="3"/>
  <c r="F1957" i="3"/>
  <c r="G1958" i="3"/>
  <c r="H1959" i="3"/>
  <c r="I1960" i="3"/>
  <c r="K1961" i="3"/>
  <c r="D1963" i="3"/>
  <c r="E1964" i="3"/>
  <c r="F1965" i="3"/>
  <c r="G1966" i="3"/>
  <c r="H1967" i="3"/>
  <c r="I1968" i="3"/>
  <c r="K2177" i="3"/>
  <c r="K2232" i="3"/>
  <c r="K2270" i="3"/>
  <c r="H2293" i="3"/>
  <c r="K2311" i="3"/>
  <c r="E2330" i="3"/>
  <c r="G2348" i="3"/>
  <c r="G2364" i="3"/>
  <c r="F2376" i="3"/>
  <c r="I2388" i="3"/>
  <c r="D1735" i="3"/>
  <c r="K1741" i="3"/>
  <c r="K1747" i="3"/>
  <c r="D1754" i="3"/>
  <c r="K1758" i="3"/>
  <c r="G1763" i="3"/>
  <c r="D1768" i="3"/>
  <c r="H1772" i="3"/>
  <c r="E1777" i="3"/>
  <c r="G1780" i="3"/>
  <c r="I1782" i="3"/>
  <c r="D1785" i="3"/>
  <c r="F1787" i="3"/>
  <c r="E1789" i="3"/>
  <c r="I1790" i="3"/>
  <c r="F1792" i="3"/>
  <c r="I1793" i="3"/>
  <c r="E1795" i="3"/>
  <c r="G1796" i="3"/>
  <c r="I1797" i="3"/>
  <c r="E1799" i="3"/>
  <c r="G1800" i="3"/>
  <c r="I1801" i="3"/>
  <c r="D1803" i="3"/>
  <c r="F1804" i="3"/>
  <c r="H1805" i="3"/>
  <c r="K1806" i="3"/>
  <c r="F1808" i="3"/>
  <c r="H1809" i="3"/>
  <c r="K1810" i="3"/>
  <c r="E1812" i="3"/>
  <c r="G1813" i="3"/>
  <c r="I1814" i="3"/>
  <c r="D1816" i="3"/>
  <c r="G1817" i="3"/>
  <c r="I1818" i="3"/>
  <c r="D1820" i="3"/>
  <c r="F1821" i="3"/>
  <c r="H1822" i="3"/>
  <c r="K1823" i="3"/>
  <c r="E1825" i="3"/>
  <c r="H1826" i="3"/>
  <c r="K1827" i="3"/>
  <c r="E1829" i="3"/>
  <c r="G1830" i="3"/>
  <c r="I1831" i="3"/>
  <c r="D1833" i="3"/>
  <c r="F1834" i="3"/>
  <c r="I1835" i="3"/>
  <c r="D1837" i="3"/>
  <c r="F1838" i="3"/>
  <c r="H1839" i="3"/>
  <c r="K1840" i="3"/>
  <c r="E1842" i="3"/>
  <c r="G1843" i="3"/>
  <c r="K1844" i="3"/>
  <c r="E1846" i="3"/>
  <c r="G1847" i="3"/>
  <c r="I1848" i="3"/>
  <c r="D1850" i="3"/>
  <c r="F1851" i="3"/>
  <c r="H1852" i="3"/>
  <c r="D1854" i="3"/>
  <c r="F1855" i="3"/>
  <c r="H1856" i="3"/>
  <c r="K1857" i="3"/>
  <c r="E1859" i="3"/>
  <c r="G1860" i="3"/>
  <c r="I1861" i="3"/>
  <c r="E1863" i="3"/>
  <c r="G1864" i="3"/>
  <c r="I1865" i="3"/>
  <c r="D1867" i="3"/>
  <c r="F1868" i="3"/>
  <c r="H1869" i="3"/>
  <c r="K1870" i="3"/>
  <c r="F1872" i="3"/>
  <c r="H1873" i="3"/>
  <c r="K1874" i="3"/>
  <c r="E1876" i="3"/>
  <c r="G1877" i="3"/>
  <c r="I1878" i="3"/>
  <c r="D1880" i="3"/>
  <c r="G1881" i="3"/>
  <c r="I1882" i="3"/>
  <c r="D1884" i="3"/>
  <c r="F1885" i="3"/>
  <c r="H1886" i="3"/>
  <c r="I1887" i="3"/>
  <c r="K1888" i="3"/>
  <c r="D1890" i="3"/>
  <c r="E1891" i="3"/>
  <c r="F1892" i="3"/>
  <c r="G1893" i="3"/>
  <c r="H1894" i="3"/>
  <c r="I1895" i="3"/>
  <c r="K1896" i="3"/>
  <c r="D1898" i="3"/>
  <c r="E1899" i="3"/>
  <c r="F1900" i="3"/>
  <c r="G1901" i="3"/>
  <c r="H1902" i="3"/>
  <c r="I1903" i="3"/>
  <c r="K1904" i="3"/>
  <c r="D1906" i="3"/>
  <c r="E1907" i="3"/>
  <c r="F1908" i="3"/>
  <c r="G1909" i="3"/>
  <c r="H1910" i="3"/>
  <c r="I1911" i="3"/>
  <c r="K1912" i="3"/>
  <c r="D1914" i="3"/>
  <c r="E1915" i="3"/>
  <c r="F1916" i="3"/>
  <c r="G1917" i="3"/>
  <c r="H1918" i="3"/>
  <c r="I1919" i="3"/>
  <c r="K1920" i="3"/>
  <c r="D1922" i="3"/>
  <c r="E1923" i="3"/>
  <c r="F1924" i="3"/>
  <c r="G1925" i="3"/>
  <c r="H1926" i="3"/>
  <c r="I1927" i="3"/>
  <c r="K1928" i="3"/>
  <c r="D1930" i="3"/>
  <c r="E1931" i="3"/>
  <c r="F1932" i="3"/>
  <c r="G1933" i="3"/>
  <c r="H1934" i="3"/>
  <c r="I1935" i="3"/>
  <c r="K1936" i="3"/>
  <c r="D1938" i="3"/>
  <c r="E1939" i="3"/>
  <c r="F1940" i="3"/>
  <c r="G1941" i="3"/>
  <c r="H1942" i="3"/>
  <c r="I1943" i="3"/>
  <c r="K1944" i="3"/>
  <c r="D1946" i="3"/>
  <c r="E1947" i="3"/>
  <c r="F1948" i="3"/>
  <c r="G1949" i="3"/>
  <c r="H1950" i="3"/>
  <c r="I1951" i="3"/>
  <c r="K1952" i="3"/>
  <c r="D1954" i="3"/>
  <c r="E1955" i="3"/>
  <c r="F1956" i="3"/>
  <c r="G1957" i="3"/>
  <c r="H1958" i="3"/>
  <c r="I1959" i="3"/>
  <c r="K1960" i="3"/>
  <c r="D1962" i="3"/>
  <c r="E1963" i="3"/>
  <c r="F1964" i="3"/>
  <c r="G1965" i="3"/>
  <c r="H1966" i="3"/>
  <c r="I1967" i="3"/>
  <c r="K1968" i="3"/>
  <c r="G2182" i="3"/>
  <c r="E2236" i="3"/>
  <c r="I2272" i="3"/>
  <c r="I2294" i="3"/>
  <c r="D2313" i="3"/>
  <c r="G2118" i="3"/>
  <c r="H2199" i="3"/>
  <c r="H2248" i="3"/>
  <c r="H2279" i="3"/>
  <c r="F2299" i="3"/>
  <c r="H2317" i="3"/>
  <c r="K2335" i="3"/>
  <c r="E2354" i="3"/>
  <c r="E2368" i="3"/>
  <c r="G2380" i="3"/>
  <c r="D1738" i="3"/>
  <c r="G1744" i="3"/>
  <c r="H1750" i="3"/>
  <c r="F1756" i="3"/>
  <c r="K1760" i="3"/>
  <c r="G1765" i="3"/>
  <c r="D1770" i="3"/>
  <c r="H1774" i="3"/>
  <c r="F1778" i="3"/>
  <c r="G1781" i="3"/>
  <c r="I1783" i="3"/>
  <c r="D1786" i="3"/>
  <c r="D1788" i="3"/>
  <c r="I1789" i="3"/>
  <c r="F1791" i="3"/>
  <c r="K1792" i="3"/>
  <c r="F1794" i="3"/>
  <c r="I1795" i="3"/>
  <c r="D1797" i="3"/>
  <c r="F1798" i="3"/>
  <c r="H1799" i="3"/>
  <c r="K1800" i="3"/>
  <c r="E1802" i="3"/>
  <c r="G1803" i="3"/>
  <c r="K1804" i="3"/>
  <c r="E1806" i="3"/>
  <c r="I2208" i="3"/>
  <c r="D2321" i="3"/>
  <c r="E2367" i="3"/>
  <c r="K2076" i="3"/>
  <c r="G1749" i="3"/>
  <c r="F1764" i="3"/>
  <c r="K1774" i="3"/>
  <c r="G1783" i="3"/>
  <c r="G1789" i="3"/>
  <c r="D1793" i="3"/>
  <c r="K1796" i="3"/>
  <c r="H1800" i="3"/>
  <c r="I1803" i="3"/>
  <c r="F1807" i="3"/>
  <c r="K1809" i="3"/>
  <c r="G1812" i="3"/>
  <c r="E1815" i="3"/>
  <c r="I1817" i="3"/>
  <c r="F1820" i="3"/>
  <c r="K1822" i="3"/>
  <c r="H1825" i="3"/>
  <c r="E1828" i="3"/>
  <c r="I1830" i="3"/>
  <c r="G1833" i="3"/>
  <c r="D1836" i="3"/>
  <c r="H1838" i="3"/>
  <c r="E1841" i="3"/>
  <c r="K1843" i="3"/>
  <c r="G1846" i="3"/>
  <c r="D1849" i="3"/>
  <c r="I1851" i="3"/>
  <c r="F1854" i="3"/>
  <c r="K1856" i="3"/>
  <c r="G1859" i="3"/>
  <c r="E1862" i="3"/>
  <c r="I1864" i="3"/>
  <c r="F1867" i="3"/>
  <c r="D1870" i="3"/>
  <c r="H1872" i="3"/>
  <c r="E1875" i="3"/>
  <c r="I1877" i="3"/>
  <c r="G1880" i="3"/>
  <c r="D1883" i="3"/>
  <c r="H1885" i="3"/>
  <c r="D1888" i="3"/>
  <c r="F1890" i="3"/>
  <c r="H1892" i="3"/>
  <c r="K1894" i="3"/>
  <c r="E1897" i="3"/>
  <c r="G1899" i="3"/>
  <c r="I1901" i="3"/>
  <c r="D1904" i="3"/>
  <c r="F1906" i="3"/>
  <c r="H1908" i="3"/>
  <c r="K1910" i="3"/>
  <c r="E1913" i="3"/>
  <c r="G1915" i="3"/>
  <c r="I1917" i="3"/>
  <c r="D1920" i="3"/>
  <c r="F1922" i="3"/>
  <c r="H1924" i="3"/>
  <c r="K1926" i="3"/>
  <c r="E1929" i="3"/>
  <c r="G1931" i="3"/>
  <c r="I1933" i="3"/>
  <c r="D1936" i="3"/>
  <c r="F1938" i="3"/>
  <c r="H1940" i="3"/>
  <c r="I1942" i="3"/>
  <c r="F1944" i="3"/>
  <c r="F1946" i="3"/>
  <c r="I1947" i="3"/>
  <c r="E1949" i="3"/>
  <c r="K1950" i="3"/>
  <c r="F1952" i="3"/>
  <c r="I1953" i="3"/>
  <c r="G1955" i="3"/>
  <c r="K1956" i="3"/>
  <c r="F1958" i="3"/>
  <c r="D1960" i="3"/>
  <c r="G1961" i="3"/>
  <c r="K1962" i="3"/>
  <c r="H1964" i="3"/>
  <c r="D1966" i="3"/>
  <c r="G1967" i="3"/>
  <c r="E1969" i="3"/>
  <c r="F1970" i="3"/>
  <c r="G1971" i="3"/>
  <c r="H1972" i="3"/>
  <c r="I1973" i="3"/>
  <c r="K1974" i="3"/>
  <c r="D1976" i="3"/>
  <c r="E1977" i="3"/>
  <c r="F1978" i="3"/>
  <c r="G1979" i="3"/>
  <c r="H1980" i="3"/>
  <c r="I1981" i="3"/>
  <c r="K1982" i="3"/>
  <c r="D1984" i="3"/>
  <c r="E1985" i="3"/>
  <c r="F1986" i="3"/>
  <c r="G1987" i="3"/>
  <c r="H1988" i="3"/>
  <c r="I1989" i="3"/>
  <c r="K1990" i="3"/>
  <c r="D1992" i="3"/>
  <c r="E1993" i="3"/>
  <c r="F1994" i="3"/>
  <c r="G1995" i="3"/>
  <c r="H1996" i="3"/>
  <c r="I1997" i="3"/>
  <c r="K1998" i="3"/>
  <c r="D2000" i="3"/>
  <c r="E2001" i="3"/>
  <c r="F2002" i="3"/>
  <c r="G2003" i="3"/>
  <c r="H2004" i="3"/>
  <c r="I2005" i="3"/>
  <c r="K2006" i="3"/>
  <c r="D2008" i="3"/>
  <c r="E2009" i="3"/>
  <c r="F2010" i="3"/>
  <c r="G2011" i="3"/>
  <c r="H2012" i="3"/>
  <c r="I2013" i="3"/>
  <c r="K2014" i="3"/>
  <c r="D2016" i="3"/>
  <c r="E2017" i="3"/>
  <c r="F2018" i="3"/>
  <c r="G2019" i="3"/>
  <c r="H2020" i="3"/>
  <c r="I2021" i="3"/>
  <c r="K2022" i="3"/>
  <c r="D2024" i="3"/>
  <c r="E2025" i="3"/>
  <c r="F2026" i="3"/>
  <c r="G2027" i="3"/>
  <c r="H2028" i="3"/>
  <c r="I2029" i="3"/>
  <c r="K2030" i="3"/>
  <c r="D2032" i="3"/>
  <c r="E2033" i="3"/>
  <c r="F2034" i="3"/>
  <c r="G2035" i="3"/>
  <c r="H2036" i="3"/>
  <c r="I2037" i="3"/>
  <c r="F2245" i="3"/>
  <c r="F2331" i="3"/>
  <c r="G2370" i="3"/>
  <c r="F1736" i="3"/>
  <c r="D1751" i="3"/>
  <c r="H1764" i="3"/>
  <c r="D1778" i="3"/>
  <c r="K1783" i="3"/>
  <c r="H1789" i="3"/>
  <c r="D1794" i="3"/>
  <c r="E1797" i="3"/>
  <c r="I1800" i="3"/>
  <c r="G1804" i="3"/>
  <c r="G1807" i="3"/>
  <c r="D1810" i="3"/>
  <c r="H1812" i="3"/>
  <c r="F1815" i="3"/>
  <c r="K1817" i="3"/>
  <c r="G1820" i="3"/>
  <c r="E1823" i="3"/>
  <c r="I1825" i="3"/>
  <c r="F1828" i="3"/>
  <c r="K1830" i="3"/>
  <c r="H1833" i="3"/>
  <c r="E1836" i="3"/>
  <c r="I1838" i="3"/>
  <c r="G1841" i="3"/>
  <c r="D1844" i="3"/>
  <c r="H1846" i="3"/>
  <c r="E1849" i="3"/>
  <c r="K1851" i="3"/>
  <c r="G1854" i="3"/>
  <c r="D1857" i="3"/>
  <c r="I1859" i="3"/>
  <c r="F1862" i="3"/>
  <c r="K1864" i="3"/>
  <c r="G1867" i="3"/>
  <c r="E1870" i="3"/>
  <c r="I1872" i="3"/>
  <c r="F1875" i="3"/>
  <c r="D1878" i="3"/>
  <c r="H1880" i="3"/>
  <c r="E1883" i="3"/>
  <c r="I1885" i="3"/>
  <c r="E1888" i="3"/>
  <c r="G1890" i="3"/>
  <c r="I1892" i="3"/>
  <c r="D1895" i="3"/>
  <c r="F1897" i="3"/>
  <c r="H1899" i="3"/>
  <c r="K1901" i="3"/>
  <c r="E1904" i="3"/>
  <c r="G1906" i="3"/>
  <c r="I1908" i="3"/>
  <c r="D1911" i="3"/>
  <c r="F1913" i="3"/>
  <c r="H1915" i="3"/>
  <c r="K1917" i="3"/>
  <c r="E1920" i="3"/>
  <c r="G1922" i="3"/>
  <c r="I1924" i="3"/>
  <c r="D1927" i="3"/>
  <c r="F1929" i="3"/>
  <c r="H1931" i="3"/>
  <c r="K1933" i="3"/>
  <c r="E1936" i="3"/>
  <c r="G1938" i="3"/>
  <c r="I1940" i="3"/>
  <c r="K1942" i="3"/>
  <c r="G1944" i="3"/>
  <c r="G1946" i="3"/>
  <c r="K1947" i="3"/>
  <c r="H1949" i="3"/>
  <c r="D1951" i="3"/>
  <c r="G1952" i="3"/>
  <c r="E1954" i="3"/>
  <c r="H1955" i="3"/>
  <c r="D1957" i="3"/>
  <c r="I1958" i="3"/>
  <c r="E1960" i="3"/>
  <c r="H1961" i="3"/>
  <c r="F1963" i="3"/>
  <c r="I1964" i="3"/>
  <c r="E1966" i="3"/>
  <c r="K1967" i="3"/>
  <c r="F1969" i="3"/>
  <c r="G1970" i="3"/>
  <c r="H1971" i="3"/>
  <c r="I1972" i="3"/>
  <c r="K1973" i="3"/>
  <c r="D1975" i="3"/>
  <c r="E1976" i="3"/>
  <c r="F1977" i="3"/>
  <c r="G1978" i="3"/>
  <c r="H1979" i="3"/>
  <c r="I1980" i="3"/>
  <c r="K1981" i="3"/>
  <c r="D1983" i="3"/>
  <c r="E1984" i="3"/>
  <c r="F1985" i="3"/>
  <c r="G1986" i="3"/>
  <c r="H1987" i="3"/>
  <c r="I1988" i="3"/>
  <c r="K1989" i="3"/>
  <c r="D1991" i="3"/>
  <c r="E1992" i="3"/>
  <c r="F1993" i="3"/>
  <c r="G1994" i="3"/>
  <c r="H1995" i="3"/>
  <c r="I1996" i="3"/>
  <c r="K1997" i="3"/>
  <c r="D1999" i="3"/>
  <c r="E2000" i="3"/>
  <c r="F2001" i="3"/>
  <c r="G2002" i="3"/>
  <c r="H2003" i="3"/>
  <c r="I2004" i="3"/>
  <c r="K2005" i="3"/>
  <c r="D2007" i="3"/>
  <c r="E2008" i="3"/>
  <c r="F2009" i="3"/>
  <c r="G2010" i="3"/>
  <c r="H2011" i="3"/>
  <c r="I2012" i="3"/>
  <c r="K2013" i="3"/>
  <c r="D2015" i="3"/>
  <c r="E2016" i="3"/>
  <c r="F2017" i="3"/>
  <c r="G2018" i="3"/>
  <c r="H2019" i="3"/>
  <c r="I2020" i="3"/>
  <c r="K2021" i="3"/>
  <c r="D2023" i="3"/>
  <c r="E2024" i="3"/>
  <c r="F2025" i="3"/>
  <c r="G2026" i="3"/>
  <c r="H2027" i="3"/>
  <c r="I2028" i="3"/>
  <c r="K2029" i="3"/>
  <c r="D2031" i="3"/>
  <c r="F2256" i="3"/>
  <c r="I2334" i="3"/>
  <c r="F2377" i="3"/>
  <c r="H1736" i="3"/>
  <c r="E1755" i="3"/>
  <c r="I1765" i="3"/>
  <c r="E1778" i="3"/>
  <c r="E1785" i="3"/>
  <c r="D1790" i="3"/>
  <c r="E1794" i="3"/>
  <c r="D1798" i="3"/>
  <c r="D1801" i="3"/>
  <c r="H1804" i="3"/>
  <c r="H1807" i="3"/>
  <c r="E1810" i="3"/>
  <c r="K1812" i="3"/>
  <c r="G1815" i="3"/>
  <c r="D1818" i="3"/>
  <c r="H1820" i="3"/>
  <c r="F1823" i="3"/>
  <c r="K1825" i="3"/>
  <c r="G1828" i="3"/>
  <c r="E1831" i="3"/>
  <c r="I1833" i="3"/>
  <c r="F1836" i="3"/>
  <c r="K1838" i="3"/>
  <c r="H1841" i="3"/>
  <c r="E1844" i="3"/>
  <c r="I1846" i="3"/>
  <c r="G1849" i="3"/>
  <c r="D1852" i="3"/>
  <c r="H1854" i="3"/>
  <c r="E1857" i="3"/>
  <c r="K1859" i="3"/>
  <c r="G1862" i="3"/>
  <c r="D1865" i="3"/>
  <c r="I1867" i="3"/>
  <c r="F1870" i="3"/>
  <c r="K1872" i="3"/>
  <c r="G1875" i="3"/>
  <c r="E1878" i="3"/>
  <c r="I1880" i="3"/>
  <c r="F1883" i="3"/>
  <c r="D1886" i="3"/>
  <c r="F1888" i="3"/>
  <c r="H1890" i="3"/>
  <c r="K1892" i="3"/>
  <c r="E1895" i="3"/>
  <c r="G1897" i="3"/>
  <c r="I1899" i="3"/>
  <c r="D1902" i="3"/>
  <c r="F1904" i="3"/>
  <c r="H1906" i="3"/>
  <c r="K1908" i="3"/>
  <c r="E1911" i="3"/>
  <c r="G1913" i="3"/>
  <c r="I1915" i="3"/>
  <c r="D1918" i="3"/>
  <c r="F1920" i="3"/>
  <c r="H1922" i="3"/>
  <c r="K1924" i="3"/>
  <c r="E1927" i="3"/>
  <c r="G1929" i="3"/>
  <c r="I1931" i="3"/>
  <c r="D1934" i="3"/>
  <c r="F1936" i="3"/>
  <c r="H1938" i="3"/>
  <c r="K1940" i="3"/>
  <c r="D1943" i="3"/>
  <c r="D1945" i="3"/>
  <c r="H1946" i="3"/>
  <c r="D1948" i="3"/>
  <c r="I1949" i="3"/>
  <c r="E1951" i="3"/>
  <c r="H1952" i="3"/>
  <c r="F1954" i="3"/>
  <c r="I1955" i="3"/>
  <c r="E1957" i="3"/>
  <c r="K1958" i="3"/>
  <c r="F1960" i="3"/>
  <c r="I1961" i="3"/>
  <c r="G1963" i="3"/>
  <c r="K1964" i="3"/>
  <c r="F1966" i="3"/>
  <c r="D1968" i="3"/>
  <c r="G1969" i="3"/>
  <c r="H1970" i="3"/>
  <c r="I1971" i="3"/>
  <c r="K1972" i="3"/>
  <c r="D1974" i="3"/>
  <c r="E1975" i="3"/>
  <c r="F1976" i="3"/>
  <c r="G1977" i="3"/>
  <c r="H1978" i="3"/>
  <c r="I1979" i="3"/>
  <c r="K1980" i="3"/>
  <c r="D1982" i="3"/>
  <c r="E1983" i="3"/>
  <c r="F1984" i="3"/>
  <c r="G1985" i="3"/>
  <c r="H1986" i="3"/>
  <c r="I1987" i="3"/>
  <c r="K1988" i="3"/>
  <c r="D1990" i="3"/>
  <c r="E1991" i="3"/>
  <c r="F1992" i="3"/>
  <c r="G1993" i="3"/>
  <c r="H1994" i="3"/>
  <c r="I1995" i="3"/>
  <c r="K1996" i="3"/>
  <c r="D1998" i="3"/>
  <c r="E1999" i="3"/>
  <c r="F2000" i="3"/>
  <c r="G2001" i="3"/>
  <c r="H2002" i="3"/>
  <c r="I2003" i="3"/>
  <c r="K2004" i="3"/>
  <c r="D2006" i="3"/>
  <c r="E2007" i="3"/>
  <c r="F2008" i="3"/>
  <c r="G2009" i="3"/>
  <c r="H2010" i="3"/>
  <c r="I2011" i="3"/>
  <c r="K2012" i="3"/>
  <c r="D2014" i="3"/>
  <c r="E2015" i="3"/>
  <c r="F2016" i="3"/>
  <c r="G2017" i="3"/>
  <c r="H2018" i="3"/>
  <c r="I2019" i="3"/>
  <c r="K2020" i="3"/>
  <c r="D2022" i="3"/>
  <c r="E2023" i="3"/>
  <c r="F2024" i="3"/>
  <c r="G2025" i="3"/>
  <c r="H2026" i="3"/>
  <c r="I2027" i="3"/>
  <c r="K2028" i="3"/>
  <c r="E2278" i="3"/>
  <c r="F2339" i="3"/>
  <c r="H2379" i="3"/>
  <c r="H1738" i="3"/>
  <c r="G1755" i="3"/>
  <c r="K1768" i="3"/>
  <c r="E1779" i="3"/>
  <c r="I1785" i="3"/>
  <c r="K1790" i="3"/>
  <c r="H1794" i="3"/>
  <c r="E1798" i="3"/>
  <c r="K1801" i="3"/>
  <c r="D1805" i="3"/>
  <c r="G1808" i="3"/>
  <c r="D1811" i="3"/>
  <c r="H1813" i="3"/>
  <c r="F1816" i="3"/>
  <c r="K1818" i="3"/>
  <c r="G1821" i="3"/>
  <c r="D1824" i="3"/>
  <c r="I1826" i="3"/>
  <c r="F1829" i="3"/>
  <c r="K1831" i="3"/>
  <c r="H1834" i="3"/>
  <c r="E1837" i="3"/>
  <c r="I1839" i="3"/>
  <c r="F1842" i="3"/>
  <c r="D1845" i="3"/>
  <c r="H1847" i="3"/>
  <c r="E1850" i="3"/>
  <c r="K1852" i="3"/>
  <c r="G1855" i="3"/>
  <c r="D1858" i="3"/>
  <c r="H1860" i="3"/>
  <c r="F1863" i="3"/>
  <c r="K1865" i="3"/>
  <c r="G1868" i="3"/>
  <c r="E1871" i="3"/>
  <c r="I1873" i="3"/>
  <c r="F1876" i="3"/>
  <c r="K1878" i="3"/>
  <c r="H1881" i="3"/>
  <c r="E1884" i="3"/>
  <c r="I1886" i="3"/>
  <c r="D1889" i="3"/>
  <c r="F1891" i="3"/>
  <c r="H1893" i="3"/>
  <c r="K1895" i="3"/>
  <c r="E1898" i="3"/>
  <c r="G1900" i="3"/>
  <c r="I1902" i="3"/>
  <c r="D1905" i="3"/>
  <c r="F1907" i="3"/>
  <c r="H1909" i="3"/>
  <c r="K1911" i="3"/>
  <c r="E1914" i="3"/>
  <c r="G1916" i="3"/>
  <c r="I1918" i="3"/>
  <c r="D1921" i="3"/>
  <c r="F1923" i="3"/>
  <c r="H1925" i="3"/>
  <c r="K1927" i="3"/>
  <c r="E1930" i="3"/>
  <c r="G1932" i="3"/>
  <c r="I1934" i="3"/>
  <c r="D1937" i="3"/>
  <c r="F1939" i="3"/>
  <c r="H1941" i="3"/>
  <c r="E1943" i="3"/>
  <c r="E1945" i="3"/>
  <c r="I1946" i="3"/>
  <c r="G1948" i="3"/>
  <c r="K1949" i="3"/>
  <c r="F1951" i="3"/>
  <c r="D1953" i="3"/>
  <c r="G1954" i="3"/>
  <c r="K1955" i="3"/>
  <c r="H1957" i="3"/>
  <c r="D1959" i="3"/>
  <c r="G1960" i="3"/>
  <c r="E1962" i="3"/>
  <c r="H1963" i="3"/>
  <c r="D1965" i="3"/>
  <c r="I1966" i="3"/>
  <c r="E1968" i="3"/>
  <c r="H1969" i="3"/>
  <c r="I1970" i="3"/>
  <c r="K1971" i="3"/>
  <c r="D1973" i="3"/>
  <c r="E1974" i="3"/>
  <c r="F1975" i="3"/>
  <c r="G1976" i="3"/>
  <c r="H1977" i="3"/>
  <c r="I1978" i="3"/>
  <c r="K1979" i="3"/>
  <c r="D1981" i="3"/>
  <c r="E1982" i="3"/>
  <c r="F1983" i="3"/>
  <c r="G1984" i="3"/>
  <c r="H1985" i="3"/>
  <c r="I1986" i="3"/>
  <c r="K1987" i="3"/>
  <c r="D1989" i="3"/>
  <c r="E1990" i="3"/>
  <c r="F1991" i="3"/>
  <c r="G1992" i="3"/>
  <c r="H1993" i="3"/>
  <c r="I1994" i="3"/>
  <c r="K1995" i="3"/>
  <c r="D1997" i="3"/>
  <c r="E1998" i="3"/>
  <c r="F1999" i="3"/>
  <c r="G2000" i="3"/>
  <c r="H2001" i="3"/>
  <c r="I2002" i="3"/>
  <c r="K2003" i="3"/>
  <c r="D2005" i="3"/>
  <c r="E2006" i="3"/>
  <c r="F2007" i="3"/>
  <c r="G2008" i="3"/>
  <c r="H2009" i="3"/>
  <c r="I2010" i="3"/>
  <c r="K2011" i="3"/>
  <c r="D2013" i="3"/>
  <c r="E2014" i="3"/>
  <c r="F2015" i="3"/>
  <c r="G2016" i="3"/>
  <c r="H2017" i="3"/>
  <c r="E2284" i="3"/>
  <c r="H2349" i="3"/>
  <c r="I2382" i="3"/>
  <c r="D1743" i="3"/>
  <c r="H1756" i="3"/>
  <c r="E1769" i="3"/>
  <c r="H1780" i="3"/>
  <c r="E1786" i="3"/>
  <c r="E1791" i="3"/>
  <c r="F1795" i="3"/>
  <c r="G1798" i="3"/>
  <c r="D1802" i="3"/>
  <c r="I1805" i="3"/>
  <c r="H1808" i="3"/>
  <c r="E1811" i="3"/>
  <c r="I1813" i="3"/>
  <c r="G1816" i="3"/>
  <c r="D1819" i="3"/>
  <c r="H1821" i="3"/>
  <c r="F1824" i="3"/>
  <c r="K1826" i="3"/>
  <c r="G1829" i="3"/>
  <c r="D1832" i="3"/>
  <c r="I1834" i="3"/>
  <c r="F1837" i="3"/>
  <c r="K1839" i="3"/>
  <c r="H1842" i="3"/>
  <c r="E1845" i="3"/>
  <c r="I1847" i="3"/>
  <c r="F1850" i="3"/>
  <c r="D1853" i="3"/>
  <c r="H1855" i="3"/>
  <c r="E1858" i="3"/>
  <c r="K1860" i="3"/>
  <c r="G1863" i="3"/>
  <c r="D1866" i="3"/>
  <c r="H1868" i="3"/>
  <c r="F1871" i="3"/>
  <c r="K1873" i="3"/>
  <c r="G1876" i="3"/>
  <c r="E1879" i="3"/>
  <c r="I1881" i="3"/>
  <c r="F1884" i="3"/>
  <c r="K1886" i="3"/>
  <c r="E1889" i="3"/>
  <c r="G1891" i="3"/>
  <c r="I1893" i="3"/>
  <c r="D1896" i="3"/>
  <c r="F1898" i="3"/>
  <c r="H1900" i="3"/>
  <c r="K1902" i="3"/>
  <c r="E1905" i="3"/>
  <c r="G1907" i="3"/>
  <c r="I1909" i="3"/>
  <c r="D1912" i="3"/>
  <c r="F1914" i="3"/>
  <c r="H1916" i="3"/>
  <c r="K1918" i="3"/>
  <c r="E1921" i="3"/>
  <c r="G1923" i="3"/>
  <c r="I1925" i="3"/>
  <c r="D1928" i="3"/>
  <c r="F1930" i="3"/>
  <c r="H1932" i="3"/>
  <c r="K1934" i="3"/>
  <c r="E1937" i="3"/>
  <c r="G1939" i="3"/>
  <c r="I1941" i="3"/>
  <c r="F1943" i="3"/>
  <c r="F1945" i="3"/>
  <c r="K1946" i="3"/>
  <c r="H1948" i="3"/>
  <c r="D1950" i="3"/>
  <c r="G1951" i="3"/>
  <c r="E1953" i="3"/>
  <c r="H1954" i="3"/>
  <c r="D1956" i="3"/>
  <c r="I1957" i="3"/>
  <c r="E1959" i="3"/>
  <c r="H1960" i="3"/>
  <c r="F1962" i="3"/>
  <c r="I1963" i="3"/>
  <c r="E1965" i="3"/>
  <c r="K1966" i="3"/>
  <c r="F1968" i="3"/>
  <c r="I1969" i="3"/>
  <c r="K1970" i="3"/>
  <c r="D1972" i="3"/>
  <c r="E1973" i="3"/>
  <c r="F1974" i="3"/>
  <c r="G1975" i="3"/>
  <c r="H1976" i="3"/>
  <c r="I1977" i="3"/>
  <c r="K1978" i="3"/>
  <c r="D1980" i="3"/>
  <c r="E1981" i="3"/>
  <c r="F1982" i="3"/>
  <c r="G1983" i="3"/>
  <c r="H1984" i="3"/>
  <c r="I1985" i="3"/>
  <c r="K1986" i="3"/>
  <c r="D1988" i="3"/>
  <c r="E1989" i="3"/>
  <c r="F1990" i="3"/>
  <c r="G1991" i="3"/>
  <c r="H1992" i="3"/>
  <c r="I1993" i="3"/>
  <c r="K1994" i="3"/>
  <c r="D1996" i="3"/>
  <c r="E1997" i="3"/>
  <c r="F1998" i="3"/>
  <c r="G1999" i="3"/>
  <c r="H2000" i="3"/>
  <c r="I2001" i="3"/>
  <c r="K2002" i="3"/>
  <c r="D2004" i="3"/>
  <c r="E2005" i="3"/>
  <c r="F2006" i="3"/>
  <c r="G2007" i="3"/>
  <c r="H2008" i="3"/>
  <c r="I2009" i="3"/>
  <c r="K2010" i="3"/>
  <c r="D2012" i="3"/>
  <c r="E2013" i="3"/>
  <c r="F2014" i="3"/>
  <c r="G2015" i="3"/>
  <c r="H2016" i="3"/>
  <c r="I2017" i="3"/>
  <c r="K2018" i="3"/>
  <c r="D2020" i="3"/>
  <c r="E2021" i="3"/>
  <c r="F2022" i="3"/>
  <c r="G2023" i="3"/>
  <c r="H2024" i="3"/>
  <c r="I2025" i="3"/>
  <c r="K2026" i="3"/>
  <c r="D2028" i="3"/>
  <c r="E2029" i="3"/>
  <c r="F2030" i="3"/>
  <c r="G2031" i="3"/>
  <c r="H2032" i="3"/>
  <c r="I2033" i="3"/>
  <c r="K2034" i="3"/>
  <c r="D2036" i="3"/>
  <c r="E2037" i="3"/>
  <c r="F2038" i="3"/>
  <c r="G2039" i="3"/>
  <c r="H2040" i="3"/>
  <c r="I2041" i="3"/>
  <c r="K2042" i="3"/>
  <c r="D2044" i="3"/>
  <c r="E2045" i="3"/>
  <c r="I1731" i="3"/>
  <c r="E1387" i="3"/>
  <c r="F1388" i="3"/>
  <c r="G1389" i="3"/>
  <c r="H1390" i="3"/>
  <c r="I1391" i="3"/>
  <c r="K1392" i="3"/>
  <c r="D1394" i="3"/>
  <c r="E1395" i="3"/>
  <c r="F1396" i="3"/>
  <c r="G1397" i="3"/>
  <c r="H1398" i="3"/>
  <c r="I1399" i="3"/>
  <c r="K1400" i="3"/>
  <c r="D1402" i="3"/>
  <c r="E1403" i="3"/>
  <c r="G2100" i="3"/>
  <c r="E2298" i="3"/>
  <c r="D2353" i="3"/>
  <c r="H2389" i="3"/>
  <c r="F1743" i="3"/>
  <c r="I1759" i="3"/>
  <c r="F1770" i="3"/>
  <c r="E1781" i="3"/>
  <c r="G1787" i="3"/>
  <c r="G1791" i="3"/>
  <c r="G1795" i="3"/>
  <c r="F1799" i="3"/>
  <c r="F1802" i="3"/>
  <c r="D1806" i="3"/>
  <c r="I1808" i="3"/>
  <c r="F1811" i="3"/>
  <c r="D1814" i="3"/>
  <c r="H1816" i="3"/>
  <c r="E1819" i="3"/>
  <c r="I1821" i="3"/>
  <c r="G1824" i="3"/>
  <c r="D1827" i="3"/>
  <c r="H1829" i="3"/>
  <c r="F1832" i="3"/>
  <c r="K1834" i="3"/>
  <c r="G1837" i="3"/>
  <c r="D1840" i="3"/>
  <c r="I1842" i="3"/>
  <c r="F1845" i="3"/>
  <c r="K1847" i="3"/>
  <c r="H1850" i="3"/>
  <c r="E1853" i="3"/>
  <c r="I1855" i="3"/>
  <c r="F1858" i="3"/>
  <c r="D1861" i="3"/>
  <c r="H1863" i="3"/>
  <c r="E1866" i="3"/>
  <c r="K1868" i="3"/>
  <c r="G1871" i="3"/>
  <c r="D1874" i="3"/>
  <c r="H1876" i="3"/>
  <c r="F1879" i="3"/>
  <c r="K1881" i="3"/>
  <c r="G1884" i="3"/>
  <c r="D1887" i="3"/>
  <c r="F1889" i="3"/>
  <c r="H1891" i="3"/>
  <c r="K1893" i="3"/>
  <c r="E1896" i="3"/>
  <c r="G1898" i="3"/>
  <c r="I1900" i="3"/>
  <c r="D1903" i="3"/>
  <c r="F1905" i="3"/>
  <c r="H1907" i="3"/>
  <c r="K1909" i="3"/>
  <c r="E1912" i="3"/>
  <c r="G1914" i="3"/>
  <c r="I1916" i="3"/>
  <c r="D1919" i="3"/>
  <c r="F1921" i="3"/>
  <c r="H1923" i="3"/>
  <c r="K1925" i="3"/>
  <c r="E1928" i="3"/>
  <c r="G1930" i="3"/>
  <c r="I1932" i="3"/>
  <c r="D1935" i="3"/>
  <c r="F1937" i="3"/>
  <c r="H1939" i="3"/>
  <c r="K1941" i="3"/>
  <c r="K1943" i="3"/>
  <c r="G1945" i="3"/>
  <c r="F1947" i="3"/>
  <c r="I1948" i="3"/>
  <c r="E1950" i="3"/>
  <c r="K1951" i="3"/>
  <c r="F1953" i="3"/>
  <c r="I1954" i="3"/>
  <c r="G1956" i="3"/>
  <c r="K1957" i="3"/>
  <c r="F1959" i="3"/>
  <c r="D1961" i="3"/>
  <c r="G1962" i="3"/>
  <c r="K1963" i="3"/>
  <c r="H1965" i="3"/>
  <c r="D1967" i="3"/>
  <c r="G1968" i="3"/>
  <c r="K1969" i="3"/>
  <c r="D1971" i="3"/>
  <c r="E1972" i="3"/>
  <c r="F1973" i="3"/>
  <c r="G1974" i="3"/>
  <c r="H1975" i="3"/>
  <c r="I1976" i="3"/>
  <c r="K1977" i="3"/>
  <c r="D1979" i="3"/>
  <c r="E1980" i="3"/>
  <c r="F1981" i="3"/>
  <c r="G1982" i="3"/>
  <c r="H1983" i="3"/>
  <c r="I1984" i="3"/>
  <c r="K1985" i="3"/>
  <c r="D1987" i="3"/>
  <c r="E1988" i="3"/>
  <c r="F1989" i="3"/>
  <c r="G1990" i="3"/>
  <c r="H1991" i="3"/>
  <c r="I1992" i="3"/>
  <c r="K1993" i="3"/>
  <c r="D1995" i="3"/>
  <c r="E1996" i="3"/>
  <c r="F1997" i="3"/>
  <c r="G1998" i="3"/>
  <c r="H1999" i="3"/>
  <c r="I2000" i="3"/>
  <c r="K2001" i="3"/>
  <c r="D2003" i="3"/>
  <c r="E2004" i="3"/>
  <c r="F2005" i="3"/>
  <c r="G2006" i="3"/>
  <c r="H2007" i="3"/>
  <c r="I2008" i="3"/>
  <c r="K2009" i="3"/>
  <c r="D2011" i="3"/>
  <c r="E2012" i="3"/>
  <c r="F2013" i="3"/>
  <c r="G2014" i="3"/>
  <c r="H2015" i="3"/>
  <c r="I2016" i="3"/>
  <c r="K2017" i="3"/>
  <c r="D2019" i="3"/>
  <c r="E2020" i="3"/>
  <c r="F2021" i="3"/>
  <c r="G2022" i="3"/>
  <c r="H2023" i="3"/>
  <c r="I2024" i="3"/>
  <c r="K2025" i="3"/>
  <c r="D2027" i="3"/>
  <c r="E2028" i="3"/>
  <c r="F2029" i="3"/>
  <c r="G2030" i="3"/>
  <c r="H2031" i="3"/>
  <c r="I2032" i="3"/>
  <c r="K2033" i="3"/>
  <c r="D2035" i="3"/>
  <c r="E2036" i="3"/>
  <c r="F2037" i="3"/>
  <c r="G2038" i="3"/>
  <c r="H2039" i="3"/>
  <c r="I2040" i="3"/>
  <c r="K2041" i="3"/>
  <c r="D2043" i="3"/>
  <c r="E2044" i="3"/>
  <c r="F2045" i="3"/>
  <c r="K1731" i="3"/>
  <c r="F1387" i="3"/>
  <c r="G1388" i="3"/>
  <c r="H1389" i="3"/>
  <c r="I1390" i="3"/>
  <c r="K1391" i="3"/>
  <c r="D1393" i="3"/>
  <c r="E1394" i="3"/>
  <c r="F1395" i="3"/>
  <c r="G1396" i="3"/>
  <c r="H1397" i="3"/>
  <c r="I1398" i="3"/>
  <c r="K1399" i="3"/>
  <c r="D1401" i="3"/>
  <c r="E1402" i="3"/>
  <c r="K2364" i="3"/>
  <c r="I1773" i="3"/>
  <c r="H1796" i="3"/>
  <c r="I1809" i="3"/>
  <c r="E1820" i="3"/>
  <c r="H1830" i="3"/>
  <c r="D1841" i="3"/>
  <c r="G1851" i="3"/>
  <c r="D1862" i="3"/>
  <c r="G1872" i="3"/>
  <c r="K1882" i="3"/>
  <c r="G1892" i="3"/>
  <c r="H1901" i="3"/>
  <c r="I1910" i="3"/>
  <c r="K1919" i="3"/>
  <c r="D1929" i="3"/>
  <c r="E1938" i="3"/>
  <c r="E1946" i="3"/>
  <c r="E1952" i="3"/>
  <c r="E1958" i="3"/>
  <c r="G1964" i="3"/>
  <c r="E1970" i="3"/>
  <c r="I1974" i="3"/>
  <c r="F1979" i="3"/>
  <c r="K1983" i="3"/>
  <c r="G1988" i="3"/>
  <c r="D1993" i="3"/>
  <c r="H1997" i="3"/>
  <c r="E2002" i="3"/>
  <c r="I2006" i="3"/>
  <c r="F2011" i="3"/>
  <c r="K2015" i="3"/>
  <c r="K2019" i="3"/>
  <c r="I2022" i="3"/>
  <c r="D2026" i="3"/>
  <c r="D2029" i="3"/>
  <c r="F2031" i="3"/>
  <c r="F2033" i="3"/>
  <c r="E2035" i="3"/>
  <c r="K2036" i="3"/>
  <c r="I2038" i="3"/>
  <c r="E2040" i="3"/>
  <c r="H2041" i="3"/>
  <c r="F2043" i="3"/>
  <c r="I2044" i="3"/>
  <c r="H1387" i="3"/>
  <c r="D1389" i="3"/>
  <c r="G1390" i="3"/>
  <c r="E1392" i="3"/>
  <c r="H1393" i="3"/>
  <c r="D1395" i="3"/>
  <c r="I1396" i="3"/>
  <c r="E1398" i="3"/>
  <c r="H1399" i="3"/>
  <c r="F1401" i="3"/>
  <c r="I1402" i="3"/>
  <c r="D1404" i="3"/>
  <c r="E1405" i="3"/>
  <c r="F1406" i="3"/>
  <c r="G1407" i="3"/>
  <c r="H1408" i="3"/>
  <c r="I1409" i="3"/>
  <c r="K1410" i="3"/>
  <c r="D1412" i="3"/>
  <c r="E1413" i="3"/>
  <c r="F1414" i="3"/>
  <c r="G1415" i="3"/>
  <c r="H1416" i="3"/>
  <c r="I1417" i="3"/>
  <c r="K1418" i="3"/>
  <c r="D1420" i="3"/>
  <c r="E1421" i="3"/>
  <c r="F1422" i="3"/>
  <c r="G1423" i="3"/>
  <c r="H1424" i="3"/>
  <c r="I1425" i="3"/>
  <c r="K1426" i="3"/>
  <c r="D1428" i="3"/>
  <c r="E1429" i="3"/>
  <c r="F1430" i="3"/>
  <c r="G1431" i="3"/>
  <c r="H1432" i="3"/>
  <c r="I1433" i="3"/>
  <c r="K1434" i="3"/>
  <c r="D1436" i="3"/>
  <c r="E1437" i="3"/>
  <c r="F1438" i="3"/>
  <c r="G1439" i="3"/>
  <c r="H1440" i="3"/>
  <c r="I1441" i="3"/>
  <c r="K1442" i="3"/>
  <c r="D1444" i="3"/>
  <c r="E1445" i="3"/>
  <c r="F1446" i="3"/>
  <c r="G1447" i="3"/>
  <c r="H1448" i="3"/>
  <c r="I1449" i="3"/>
  <c r="K1450" i="3"/>
  <c r="D1452" i="3"/>
  <c r="E1453" i="3"/>
  <c r="F1454" i="3"/>
  <c r="G1455" i="3"/>
  <c r="H1456" i="3"/>
  <c r="I1457" i="3"/>
  <c r="K1458" i="3"/>
  <c r="D1460" i="3"/>
  <c r="E1461" i="3"/>
  <c r="F1462" i="3"/>
  <c r="G1463" i="3"/>
  <c r="H1464" i="3"/>
  <c r="I1465" i="3"/>
  <c r="K1466" i="3"/>
  <c r="D1468" i="3"/>
  <c r="E1469" i="3"/>
  <c r="F1470" i="3"/>
  <c r="G1471" i="3"/>
  <c r="H1472" i="3"/>
  <c r="I1473" i="3"/>
  <c r="K1474" i="3"/>
  <c r="D1476" i="3"/>
  <c r="E1477" i="3"/>
  <c r="F1478" i="3"/>
  <c r="G1479" i="3"/>
  <c r="H1480" i="3"/>
  <c r="I1481" i="3"/>
  <c r="K1482" i="3"/>
  <c r="D1484" i="3"/>
  <c r="E1485" i="3"/>
  <c r="F1486" i="3"/>
  <c r="G1487" i="3"/>
  <c r="H1488" i="3"/>
  <c r="I1489" i="3"/>
  <c r="K1490" i="3"/>
  <c r="D1492" i="3"/>
  <c r="E1493" i="3"/>
  <c r="F1494" i="3"/>
  <c r="G1495" i="3"/>
  <c r="H1496" i="3"/>
  <c r="I1497" i="3"/>
  <c r="K1498" i="3"/>
  <c r="D1500" i="3"/>
  <c r="E1501" i="3"/>
  <c r="F1502" i="3"/>
  <c r="G1503" i="3"/>
  <c r="H1504" i="3"/>
  <c r="I1505" i="3"/>
  <c r="K1506" i="3"/>
  <c r="D1508" i="3"/>
  <c r="E1509" i="3"/>
  <c r="F1510" i="3"/>
  <c r="G1511" i="3"/>
  <c r="H1512" i="3"/>
  <c r="I1513" i="3"/>
  <c r="K1514" i="3"/>
  <c r="D1516" i="3"/>
  <c r="E1517" i="3"/>
  <c r="F1518" i="3"/>
  <c r="G1519" i="3"/>
  <c r="H1520" i="3"/>
  <c r="I1521" i="3"/>
  <c r="K1522" i="3"/>
  <c r="D1524" i="3"/>
  <c r="E1525" i="3"/>
  <c r="F1526" i="3"/>
  <c r="G1527" i="3"/>
  <c r="H1528" i="3"/>
  <c r="I1529" i="3"/>
  <c r="K1530" i="3"/>
  <c r="H1781" i="3"/>
  <c r="G1799" i="3"/>
  <c r="G1811" i="3"/>
  <c r="D1822" i="3"/>
  <c r="G1832" i="3"/>
  <c r="K1842" i="3"/>
  <c r="F1853" i="3"/>
  <c r="I1863" i="3"/>
  <c r="E1874" i="3"/>
  <c r="H1884" i="3"/>
  <c r="D1894" i="3"/>
  <c r="E1903" i="3"/>
  <c r="F1912" i="3"/>
  <c r="G1921" i="3"/>
  <c r="H1930" i="3"/>
  <c r="I1939" i="3"/>
  <c r="G1947" i="3"/>
  <c r="G1953" i="3"/>
  <c r="G1959" i="3"/>
  <c r="I1965" i="3"/>
  <c r="E1971" i="3"/>
  <c r="I1975" i="3"/>
  <c r="F1980" i="3"/>
  <c r="K1984" i="3"/>
  <c r="G1989" i="3"/>
  <c r="D1994" i="3"/>
  <c r="H1998" i="3"/>
  <c r="E2003" i="3"/>
  <c r="I2007" i="3"/>
  <c r="F2012" i="3"/>
  <c r="K2016" i="3"/>
  <c r="F2020" i="3"/>
  <c r="F2023" i="3"/>
  <c r="E2026" i="3"/>
  <c r="G2029" i="3"/>
  <c r="I2031" i="3"/>
  <c r="G2033" i="3"/>
  <c r="F2035" i="3"/>
  <c r="D2037" i="3"/>
  <c r="K2038" i="3"/>
  <c r="F2040" i="3"/>
  <c r="D2042" i="3"/>
  <c r="G2043" i="3"/>
  <c r="K2044" i="3"/>
  <c r="H1731" i="3"/>
  <c r="I1387" i="3"/>
  <c r="E1389" i="3"/>
  <c r="K1390" i="3"/>
  <c r="F1392" i="3"/>
  <c r="I1393" i="3"/>
  <c r="G1395" i="3"/>
  <c r="K1396" i="3"/>
  <c r="F1398" i="3"/>
  <c r="D1400" i="3"/>
  <c r="G1401" i="3"/>
  <c r="K1402" i="3"/>
  <c r="E1404" i="3"/>
  <c r="F1405" i="3"/>
  <c r="G1406" i="3"/>
  <c r="H1407" i="3"/>
  <c r="I1408" i="3"/>
  <c r="K1409" i="3"/>
  <c r="D1411" i="3"/>
  <c r="E1412" i="3"/>
  <c r="F1413" i="3"/>
  <c r="G1414" i="3"/>
  <c r="H1415" i="3"/>
  <c r="I1416" i="3"/>
  <c r="K1417" i="3"/>
  <c r="D1419" i="3"/>
  <c r="E1420" i="3"/>
  <c r="F1421" i="3"/>
  <c r="G1422" i="3"/>
  <c r="H1423" i="3"/>
  <c r="I1424" i="3"/>
  <c r="K1425" i="3"/>
  <c r="D1427" i="3"/>
  <c r="E1428" i="3"/>
  <c r="F1429" i="3"/>
  <c r="G1430" i="3"/>
  <c r="H1431" i="3"/>
  <c r="I1432" i="3"/>
  <c r="K1433" i="3"/>
  <c r="D1435" i="3"/>
  <c r="E1436" i="3"/>
  <c r="F1437" i="3"/>
  <c r="G1438" i="3"/>
  <c r="H1439" i="3"/>
  <c r="I1440" i="3"/>
  <c r="K1441" i="3"/>
  <c r="D1443" i="3"/>
  <c r="E1444" i="3"/>
  <c r="F1445" i="3"/>
  <c r="G1446" i="3"/>
  <c r="H1447" i="3"/>
  <c r="I1448" i="3"/>
  <c r="K1449" i="3"/>
  <c r="D1451" i="3"/>
  <c r="E1452" i="3"/>
  <c r="F1453" i="3"/>
  <c r="G1454" i="3"/>
  <c r="H1455" i="3"/>
  <c r="I1456" i="3"/>
  <c r="K1457" i="3"/>
  <c r="D1459" i="3"/>
  <c r="E1460" i="3"/>
  <c r="F1461" i="3"/>
  <c r="G1462" i="3"/>
  <c r="H1463" i="3"/>
  <c r="I1464" i="3"/>
  <c r="K1465" i="3"/>
  <c r="D1467" i="3"/>
  <c r="E1468" i="3"/>
  <c r="F1469" i="3"/>
  <c r="G1470" i="3"/>
  <c r="H1471" i="3"/>
  <c r="I1472" i="3"/>
  <c r="K1473" i="3"/>
  <c r="D1475" i="3"/>
  <c r="E1476" i="3"/>
  <c r="F1477" i="3"/>
  <c r="G1478" i="3"/>
  <c r="H1479" i="3"/>
  <c r="I1480" i="3"/>
  <c r="K1481" i="3"/>
  <c r="D1483" i="3"/>
  <c r="E1484" i="3"/>
  <c r="F1485" i="3"/>
  <c r="G1486" i="3"/>
  <c r="H1487" i="3"/>
  <c r="I1488" i="3"/>
  <c r="K1489" i="3"/>
  <c r="D1491" i="3"/>
  <c r="E1492" i="3"/>
  <c r="F1493" i="3"/>
  <c r="G1494" i="3"/>
  <c r="H1495" i="3"/>
  <c r="I1496" i="3"/>
  <c r="K1497" i="3"/>
  <c r="D1499" i="3"/>
  <c r="E1500" i="3"/>
  <c r="F1501" i="3"/>
  <c r="G1502" i="3"/>
  <c r="H1503" i="3"/>
  <c r="I1504" i="3"/>
  <c r="K1505" i="3"/>
  <c r="D1507" i="3"/>
  <c r="E1508" i="3"/>
  <c r="F1509" i="3"/>
  <c r="G1510" i="3"/>
  <c r="H1511" i="3"/>
  <c r="I1512" i="3"/>
  <c r="K1513" i="3"/>
  <c r="D1515" i="3"/>
  <c r="E1516" i="3"/>
  <c r="F1517" i="3"/>
  <c r="G1518" i="3"/>
  <c r="H1519" i="3"/>
  <c r="I1520" i="3"/>
  <c r="K1521" i="3"/>
  <c r="D1523" i="3"/>
  <c r="E1524" i="3"/>
  <c r="F1525" i="3"/>
  <c r="G1526" i="3"/>
  <c r="H1527" i="3"/>
  <c r="I1528" i="3"/>
  <c r="K1529" i="3"/>
  <c r="D1531" i="3"/>
  <c r="E1532" i="3"/>
  <c r="F1533" i="3"/>
  <c r="G1534" i="3"/>
  <c r="H1535" i="3"/>
  <c r="I1536" i="3"/>
  <c r="K1537" i="3"/>
  <c r="D1539" i="3"/>
  <c r="E1540" i="3"/>
  <c r="F1541" i="3"/>
  <c r="G1542" i="3"/>
  <c r="H1543" i="3"/>
  <c r="I1544" i="3"/>
  <c r="K1545" i="3"/>
  <c r="D1547" i="3"/>
  <c r="E1548" i="3"/>
  <c r="K1782" i="3"/>
  <c r="I1799" i="3"/>
  <c r="F1812" i="3"/>
  <c r="I1822" i="3"/>
  <c r="E1833" i="3"/>
  <c r="I1843" i="3"/>
  <c r="E1854" i="3"/>
  <c r="H1864" i="3"/>
  <c r="D1875" i="3"/>
  <c r="G1885" i="3"/>
  <c r="I1894" i="3"/>
  <c r="K1903" i="3"/>
  <c r="D1913" i="3"/>
  <c r="E1922" i="3"/>
  <c r="F1931" i="3"/>
  <c r="G1940" i="3"/>
  <c r="H1947" i="3"/>
  <c r="H1953" i="3"/>
  <c r="K1959" i="3"/>
  <c r="K1965" i="3"/>
  <c r="F1971" i="3"/>
  <c r="K1975" i="3"/>
  <c r="G1980" i="3"/>
  <c r="D1985" i="3"/>
  <c r="H1989" i="3"/>
  <c r="E1994" i="3"/>
  <c r="I1998" i="3"/>
  <c r="F2003" i="3"/>
  <c r="K2007" i="3"/>
  <c r="G2012" i="3"/>
  <c r="D2017" i="3"/>
  <c r="G2020" i="3"/>
  <c r="I2023" i="3"/>
  <c r="I2026" i="3"/>
  <c r="H2029" i="3"/>
  <c r="K2031" i="3"/>
  <c r="H2033" i="3"/>
  <c r="H2035" i="3"/>
  <c r="G2037" i="3"/>
  <c r="D2039" i="3"/>
  <c r="G2040" i="3"/>
  <c r="E2042" i="3"/>
  <c r="H2043" i="3"/>
  <c r="D2045" i="3"/>
  <c r="G1731" i="3"/>
  <c r="K1387" i="3"/>
  <c r="F1389" i="3"/>
  <c r="D1391" i="3"/>
  <c r="G1392" i="3"/>
  <c r="K1393" i="3"/>
  <c r="H1395" i="3"/>
  <c r="D1397" i="3"/>
  <c r="G1398" i="3"/>
  <c r="E1400" i="3"/>
  <c r="H1401" i="3"/>
  <c r="D1403" i="3"/>
  <c r="F1404" i="3"/>
  <c r="G1405" i="3"/>
  <c r="H1406" i="3"/>
  <c r="I1407" i="3"/>
  <c r="K1408" i="3"/>
  <c r="D1410" i="3"/>
  <c r="E1411" i="3"/>
  <c r="F1412" i="3"/>
  <c r="G1413" i="3"/>
  <c r="H1414" i="3"/>
  <c r="I1415" i="3"/>
  <c r="K1416" i="3"/>
  <c r="D1418" i="3"/>
  <c r="E1419" i="3"/>
  <c r="F1420" i="3"/>
  <c r="G1421" i="3"/>
  <c r="H1422" i="3"/>
  <c r="I1423" i="3"/>
  <c r="K1424" i="3"/>
  <c r="D1426" i="3"/>
  <c r="E1427" i="3"/>
  <c r="F1428" i="3"/>
  <c r="G1429" i="3"/>
  <c r="H1430" i="3"/>
  <c r="I1431" i="3"/>
  <c r="K1432" i="3"/>
  <c r="D1434" i="3"/>
  <c r="E1435" i="3"/>
  <c r="F1436" i="3"/>
  <c r="G1437" i="3"/>
  <c r="H1438" i="3"/>
  <c r="I1439" i="3"/>
  <c r="K1440" i="3"/>
  <c r="D1442" i="3"/>
  <c r="E1443" i="3"/>
  <c r="F1444" i="3"/>
  <c r="G1445" i="3"/>
  <c r="H1446" i="3"/>
  <c r="I1447" i="3"/>
  <c r="K1448" i="3"/>
  <c r="D1450" i="3"/>
  <c r="E1451" i="3"/>
  <c r="F1452" i="3"/>
  <c r="G1453" i="3"/>
  <c r="H1454" i="3"/>
  <c r="I1455" i="3"/>
  <c r="K1456" i="3"/>
  <c r="D1458" i="3"/>
  <c r="E1459" i="3"/>
  <c r="F1460" i="3"/>
  <c r="G1461" i="3"/>
  <c r="H1462" i="3"/>
  <c r="I1463" i="3"/>
  <c r="K1464" i="3"/>
  <c r="D1466" i="3"/>
  <c r="E1467" i="3"/>
  <c r="F1468" i="3"/>
  <c r="G1469" i="3"/>
  <c r="H1470" i="3"/>
  <c r="I1471" i="3"/>
  <c r="K1472" i="3"/>
  <c r="D1474" i="3"/>
  <c r="E1475" i="3"/>
  <c r="F1476" i="3"/>
  <c r="G1477" i="3"/>
  <c r="H1478" i="3"/>
  <c r="I1479" i="3"/>
  <c r="K1480" i="3"/>
  <c r="D1482" i="3"/>
  <c r="E1483" i="3"/>
  <c r="F1484" i="3"/>
  <c r="G1485" i="3"/>
  <c r="H1486" i="3"/>
  <c r="I1487" i="3"/>
  <c r="K1488" i="3"/>
  <c r="D1490" i="3"/>
  <c r="E1491" i="3"/>
  <c r="F1492" i="3"/>
  <c r="G1493" i="3"/>
  <c r="H1494" i="3"/>
  <c r="I1495" i="3"/>
  <c r="K1496" i="3"/>
  <c r="D1498" i="3"/>
  <c r="E1499" i="3"/>
  <c r="F1500" i="3"/>
  <c r="G1501" i="3"/>
  <c r="H1502" i="3"/>
  <c r="I1503" i="3"/>
  <c r="K1504" i="3"/>
  <c r="D1506" i="3"/>
  <c r="E1507" i="3"/>
  <c r="F1508" i="3"/>
  <c r="G1509" i="3"/>
  <c r="H1510" i="3"/>
  <c r="I1511" i="3"/>
  <c r="K1512" i="3"/>
  <c r="D1514" i="3"/>
  <c r="E1515" i="3"/>
  <c r="F1516" i="3"/>
  <c r="G1517" i="3"/>
  <c r="H1518" i="3"/>
  <c r="I1519" i="3"/>
  <c r="K1520" i="3"/>
  <c r="D1522" i="3"/>
  <c r="E1523" i="3"/>
  <c r="F1524" i="3"/>
  <c r="G1525" i="3"/>
  <c r="H1526" i="3"/>
  <c r="I1527" i="3"/>
  <c r="K1528" i="3"/>
  <c r="D1530" i="3"/>
  <c r="E1531" i="3"/>
  <c r="F1532" i="3"/>
  <c r="G1533" i="3"/>
  <c r="H1534" i="3"/>
  <c r="I1535" i="3"/>
  <c r="K1536" i="3"/>
  <c r="D1538" i="3"/>
  <c r="E1539" i="3"/>
  <c r="F1540" i="3"/>
  <c r="G1541" i="3"/>
  <c r="H1542" i="3"/>
  <c r="I1543" i="3"/>
  <c r="K1544" i="3"/>
  <c r="D1546" i="3"/>
  <c r="E1547" i="3"/>
  <c r="F1548" i="3"/>
  <c r="G1549" i="3"/>
  <c r="H1550" i="3"/>
  <c r="I1551" i="3"/>
  <c r="K1552" i="3"/>
  <c r="D1554" i="3"/>
  <c r="E1555" i="3"/>
  <c r="F1556" i="3"/>
  <c r="G1557" i="3"/>
  <c r="H1558" i="3"/>
  <c r="I1559" i="3"/>
  <c r="K1560" i="3"/>
  <c r="D1562" i="3"/>
  <c r="E1563" i="3"/>
  <c r="F1564" i="3"/>
  <c r="G1565" i="3"/>
  <c r="H1566" i="3"/>
  <c r="I1567" i="3"/>
  <c r="K1568" i="3"/>
  <c r="D1570" i="3"/>
  <c r="E1571" i="3"/>
  <c r="F1572" i="3"/>
  <c r="G1573" i="3"/>
  <c r="H1574" i="3"/>
  <c r="I1575" i="3"/>
  <c r="F2141" i="3"/>
  <c r="K1744" i="3"/>
  <c r="I1787" i="3"/>
  <c r="E1803" i="3"/>
  <c r="E1814" i="3"/>
  <c r="H1824" i="3"/>
  <c r="D1835" i="3"/>
  <c r="G1845" i="3"/>
  <c r="K1855" i="3"/>
  <c r="F1866" i="3"/>
  <c r="K1876" i="3"/>
  <c r="E1887" i="3"/>
  <c r="F1896" i="3"/>
  <c r="G1905" i="3"/>
  <c r="H1914" i="3"/>
  <c r="I1923" i="3"/>
  <c r="K1932" i="3"/>
  <c r="D1942" i="3"/>
  <c r="K1948" i="3"/>
  <c r="K1954" i="3"/>
  <c r="E1961" i="3"/>
  <c r="E1967" i="3"/>
  <c r="F1972" i="3"/>
  <c r="K1976" i="3"/>
  <c r="G1981" i="3"/>
  <c r="D1986" i="3"/>
  <c r="H1990" i="3"/>
  <c r="E1995" i="3"/>
  <c r="I1999" i="3"/>
  <c r="F2004" i="3"/>
  <c r="K2008" i="3"/>
  <c r="G2013" i="3"/>
  <c r="D2018" i="3"/>
  <c r="D2021" i="3"/>
  <c r="K2023" i="3"/>
  <c r="E2027" i="3"/>
  <c r="D2030" i="3"/>
  <c r="E2032" i="3"/>
  <c r="D2034" i="3"/>
  <c r="I2035" i="3"/>
  <c r="H2037" i="3"/>
  <c r="E2039" i="3"/>
  <c r="K2040" i="3"/>
  <c r="F2042" i="3"/>
  <c r="I2043" i="3"/>
  <c r="G2045" i="3"/>
  <c r="F1731" i="3"/>
  <c r="D1388" i="3"/>
  <c r="I1389" i="3"/>
  <c r="E1391" i="3"/>
  <c r="H1392" i="3"/>
  <c r="F1394" i="3"/>
  <c r="I1395" i="3"/>
  <c r="E1397" i="3"/>
  <c r="K1398" i="3"/>
  <c r="F1400" i="3"/>
  <c r="I1401" i="3"/>
  <c r="F1403" i="3"/>
  <c r="G1404" i="3"/>
  <c r="H1405" i="3"/>
  <c r="I1406" i="3"/>
  <c r="K1407" i="3"/>
  <c r="D1409" i="3"/>
  <c r="E1410" i="3"/>
  <c r="F1411" i="3"/>
  <c r="G1412" i="3"/>
  <c r="H1413" i="3"/>
  <c r="I1414" i="3"/>
  <c r="K1415" i="3"/>
  <c r="D1417" i="3"/>
  <c r="E1418" i="3"/>
  <c r="F1419" i="3"/>
  <c r="G1420" i="3"/>
  <c r="H1421" i="3"/>
  <c r="I1422" i="3"/>
  <c r="K1423" i="3"/>
  <c r="D1425" i="3"/>
  <c r="E1426" i="3"/>
  <c r="F1427" i="3"/>
  <c r="G1428" i="3"/>
  <c r="H1429" i="3"/>
  <c r="I1430" i="3"/>
  <c r="K1431" i="3"/>
  <c r="D1433" i="3"/>
  <c r="E1434" i="3"/>
  <c r="F1435" i="3"/>
  <c r="G1436" i="3"/>
  <c r="H1437" i="3"/>
  <c r="I1438" i="3"/>
  <c r="K1439" i="3"/>
  <c r="D1441" i="3"/>
  <c r="E1442" i="3"/>
  <c r="F1443" i="3"/>
  <c r="G1444" i="3"/>
  <c r="H1445" i="3"/>
  <c r="I1446" i="3"/>
  <c r="K1447" i="3"/>
  <c r="D1449" i="3"/>
  <c r="E1450" i="3"/>
  <c r="F1451" i="3"/>
  <c r="G1452" i="3"/>
  <c r="H1453" i="3"/>
  <c r="I1454" i="3"/>
  <c r="K1455" i="3"/>
  <c r="D1457" i="3"/>
  <c r="E1458" i="3"/>
  <c r="F1459" i="3"/>
  <c r="G1460" i="3"/>
  <c r="H1461" i="3"/>
  <c r="I1462" i="3"/>
  <c r="K1463" i="3"/>
  <c r="D1465" i="3"/>
  <c r="E1466" i="3"/>
  <c r="F1467" i="3"/>
  <c r="G1468" i="3"/>
  <c r="H1469" i="3"/>
  <c r="I1470" i="3"/>
  <c r="K1471" i="3"/>
  <c r="D1473" i="3"/>
  <c r="E1474" i="3"/>
  <c r="F1475" i="3"/>
  <c r="G1476" i="3"/>
  <c r="H1477" i="3"/>
  <c r="I1478" i="3"/>
  <c r="K1479" i="3"/>
  <c r="D1481" i="3"/>
  <c r="E1482" i="3"/>
  <c r="F1483" i="3"/>
  <c r="G1484" i="3"/>
  <c r="H1485" i="3"/>
  <c r="I1486" i="3"/>
  <c r="K1487" i="3"/>
  <c r="D1489" i="3"/>
  <c r="E1490" i="3"/>
  <c r="F1491" i="3"/>
  <c r="G1492" i="3"/>
  <c r="H1493" i="3"/>
  <c r="I1494" i="3"/>
  <c r="K1495" i="3"/>
  <c r="D1497" i="3"/>
  <c r="E1498" i="3"/>
  <c r="F1499" i="3"/>
  <c r="G1500" i="3"/>
  <c r="H1501" i="3"/>
  <c r="I1502" i="3"/>
  <c r="K1503" i="3"/>
  <c r="D1505" i="3"/>
  <c r="E1506" i="3"/>
  <c r="F1507" i="3"/>
  <c r="G1508" i="3"/>
  <c r="H1509" i="3"/>
  <c r="I1510" i="3"/>
  <c r="K1511" i="3"/>
  <c r="D1513" i="3"/>
  <c r="E1514" i="3"/>
  <c r="F1515" i="3"/>
  <c r="G1516" i="3"/>
  <c r="H1517" i="3"/>
  <c r="I1518" i="3"/>
  <c r="K1519" i="3"/>
  <c r="D1521" i="3"/>
  <c r="E1522" i="3"/>
  <c r="F1523" i="3"/>
  <c r="G1524" i="3"/>
  <c r="H1525" i="3"/>
  <c r="I1526" i="3"/>
  <c r="K1527" i="3"/>
  <c r="D1529" i="3"/>
  <c r="E1530" i="3"/>
  <c r="F1531" i="3"/>
  <c r="G1532" i="3"/>
  <c r="H1533" i="3"/>
  <c r="I1534" i="3"/>
  <c r="K1535" i="3"/>
  <c r="D1537" i="3"/>
  <c r="E1538" i="3"/>
  <c r="F1539" i="3"/>
  <c r="G1540" i="3"/>
  <c r="H1541" i="3"/>
  <c r="I1542" i="3"/>
  <c r="K1543" i="3"/>
  <c r="D1545" i="3"/>
  <c r="E1546" i="3"/>
  <c r="F1547" i="3"/>
  <c r="G1548" i="3"/>
  <c r="H1549" i="3"/>
  <c r="I1550" i="3"/>
  <c r="K1551" i="3"/>
  <c r="D1553" i="3"/>
  <c r="E1554" i="3"/>
  <c r="F1555" i="3"/>
  <c r="G1556" i="3"/>
  <c r="H1557" i="3"/>
  <c r="I1558" i="3"/>
  <c r="K1559" i="3"/>
  <c r="D1561" i="3"/>
  <c r="E1562" i="3"/>
  <c r="F1563" i="3"/>
  <c r="G1564" i="3"/>
  <c r="H1565" i="3"/>
  <c r="I1566" i="3"/>
  <c r="K1567" i="3"/>
  <c r="D1569" i="3"/>
  <c r="E1570" i="3"/>
  <c r="F1571" i="3"/>
  <c r="G1572" i="3"/>
  <c r="H1573" i="3"/>
  <c r="I1574" i="3"/>
  <c r="K1575" i="3"/>
  <c r="E2196" i="3"/>
  <c r="D1749" i="3"/>
  <c r="F1788" i="3"/>
  <c r="F1803" i="3"/>
  <c r="K1814" i="3"/>
  <c r="G1825" i="3"/>
  <c r="K1835" i="3"/>
  <c r="F1846" i="3"/>
  <c r="I1856" i="3"/>
  <c r="E1867" i="3"/>
  <c r="H1877" i="3"/>
  <c r="K1887" i="3"/>
  <c r="D1897" i="3"/>
  <c r="E1906" i="3"/>
  <c r="F1915" i="3"/>
  <c r="G1924" i="3"/>
  <c r="H1933" i="3"/>
  <c r="E1942" i="3"/>
  <c r="D1949" i="3"/>
  <c r="F1955" i="3"/>
  <c r="F1961" i="3"/>
  <c r="F1967" i="3"/>
  <c r="G1972" i="3"/>
  <c r="D1977" i="3"/>
  <c r="H1981" i="3"/>
  <c r="E1986" i="3"/>
  <c r="I1990" i="3"/>
  <c r="F1995" i="3"/>
  <c r="K1999" i="3"/>
  <c r="G2004" i="3"/>
  <c r="D2009" i="3"/>
  <c r="H2013" i="3"/>
  <c r="E2018" i="3"/>
  <c r="G2021" i="3"/>
  <c r="G2024" i="3"/>
  <c r="F2027" i="3"/>
  <c r="E2030" i="3"/>
  <c r="F2032" i="3"/>
  <c r="E2034" i="3"/>
  <c r="K2035" i="3"/>
  <c r="K2037" i="3"/>
  <c r="F2039" i="3"/>
  <c r="D2041" i="3"/>
  <c r="G2042" i="3"/>
  <c r="K2043" i="3"/>
  <c r="H2045" i="3"/>
  <c r="E1731" i="3"/>
  <c r="E1388" i="3"/>
  <c r="K1389" i="3"/>
  <c r="F1391" i="3"/>
  <c r="I1392" i="3"/>
  <c r="G1394" i="3"/>
  <c r="K1395" i="3"/>
  <c r="F1397" i="3"/>
  <c r="D1399" i="3"/>
  <c r="G1400" i="3"/>
  <c r="K1401" i="3"/>
  <c r="G1403" i="3"/>
  <c r="H1404" i="3"/>
  <c r="I1405" i="3"/>
  <c r="K1406" i="3"/>
  <c r="D1408" i="3"/>
  <c r="E1409" i="3"/>
  <c r="F1410" i="3"/>
  <c r="G1411" i="3"/>
  <c r="H1412" i="3"/>
  <c r="I1413" i="3"/>
  <c r="K1414" i="3"/>
  <c r="D1416" i="3"/>
  <c r="E1417" i="3"/>
  <c r="F1418" i="3"/>
  <c r="G1419" i="3"/>
  <c r="H1420" i="3"/>
  <c r="I1421" i="3"/>
  <c r="K1422" i="3"/>
  <c r="D1424" i="3"/>
  <c r="E1425" i="3"/>
  <c r="F1426" i="3"/>
  <c r="G1427" i="3"/>
  <c r="H1428" i="3"/>
  <c r="I1429" i="3"/>
  <c r="K1430" i="3"/>
  <c r="D1432" i="3"/>
  <c r="E1433" i="3"/>
  <c r="F1434" i="3"/>
  <c r="G1435" i="3"/>
  <c r="H1436" i="3"/>
  <c r="I1437" i="3"/>
  <c r="K1438" i="3"/>
  <c r="D1440" i="3"/>
  <c r="E1441" i="3"/>
  <c r="F1442" i="3"/>
  <c r="G1443" i="3"/>
  <c r="H1444" i="3"/>
  <c r="I1445" i="3"/>
  <c r="K1446" i="3"/>
  <c r="D1448" i="3"/>
  <c r="E1449" i="3"/>
  <c r="F1450" i="3"/>
  <c r="G1451" i="3"/>
  <c r="H1452" i="3"/>
  <c r="I1453" i="3"/>
  <c r="K1454" i="3"/>
  <c r="D1456" i="3"/>
  <c r="E1457" i="3"/>
  <c r="F1458" i="3"/>
  <c r="G1459" i="3"/>
  <c r="H1460" i="3"/>
  <c r="I1461" i="3"/>
  <c r="K1462" i="3"/>
  <c r="D1464" i="3"/>
  <c r="E1465" i="3"/>
  <c r="F1466" i="3"/>
  <c r="G1467" i="3"/>
  <c r="H1468" i="3"/>
  <c r="I1469" i="3"/>
  <c r="K1470" i="3"/>
  <c r="D1472" i="3"/>
  <c r="E1473" i="3"/>
  <c r="F1474" i="3"/>
  <c r="G1475" i="3"/>
  <c r="H1476" i="3"/>
  <c r="I1477" i="3"/>
  <c r="K1478" i="3"/>
  <c r="D1480" i="3"/>
  <c r="E1481" i="3"/>
  <c r="F1482" i="3"/>
  <c r="G1483" i="3"/>
  <c r="H1484" i="3"/>
  <c r="I1485" i="3"/>
  <c r="K1486" i="3"/>
  <c r="D1488" i="3"/>
  <c r="E1489" i="3"/>
  <c r="F1490" i="3"/>
  <c r="G1491" i="3"/>
  <c r="H1492" i="3"/>
  <c r="I1493" i="3"/>
  <c r="K1494" i="3"/>
  <c r="D1496" i="3"/>
  <c r="E1497" i="3"/>
  <c r="F1498" i="3"/>
  <c r="G1499" i="3"/>
  <c r="H1500" i="3"/>
  <c r="I1501" i="3"/>
  <c r="K1502" i="3"/>
  <c r="D1504" i="3"/>
  <c r="E1505" i="3"/>
  <c r="F1506" i="3"/>
  <c r="G1507" i="3"/>
  <c r="H1508" i="3"/>
  <c r="I1509" i="3"/>
  <c r="K1510" i="3"/>
  <c r="D1512" i="3"/>
  <c r="E1513" i="3"/>
  <c r="F1514" i="3"/>
  <c r="G1515" i="3"/>
  <c r="H1516" i="3"/>
  <c r="I1517" i="3"/>
  <c r="K1518" i="3"/>
  <c r="D1520" i="3"/>
  <c r="E1521" i="3"/>
  <c r="F1522" i="3"/>
  <c r="G1523" i="3"/>
  <c r="H1524" i="3"/>
  <c r="I1525" i="3"/>
  <c r="K1526" i="3"/>
  <c r="D1528" i="3"/>
  <c r="E1529" i="3"/>
  <c r="F1530" i="3"/>
  <c r="G1531" i="3"/>
  <c r="I2302" i="3"/>
  <c r="D1760" i="3"/>
  <c r="G1792" i="3"/>
  <c r="F1806" i="3"/>
  <c r="I1816" i="3"/>
  <c r="E1827" i="3"/>
  <c r="H1837" i="3"/>
  <c r="D1848" i="3"/>
  <c r="H1858" i="3"/>
  <c r="D1869" i="3"/>
  <c r="G1879" i="3"/>
  <c r="G1889" i="3"/>
  <c r="H1898" i="3"/>
  <c r="I1907" i="3"/>
  <c r="K1916" i="3"/>
  <c r="D1926" i="3"/>
  <c r="E1935" i="3"/>
  <c r="D1944" i="3"/>
  <c r="F1950" i="3"/>
  <c r="H1956" i="3"/>
  <c r="H1962" i="3"/>
  <c r="H1968" i="3"/>
  <c r="G1973" i="3"/>
  <c r="D1978" i="3"/>
  <c r="H1982" i="3"/>
  <c r="E1987" i="3"/>
  <c r="I1991" i="3"/>
  <c r="F1996" i="3"/>
  <c r="K2000" i="3"/>
  <c r="G2005" i="3"/>
  <c r="D2010" i="3"/>
  <c r="H2014" i="3"/>
  <c r="I2018" i="3"/>
  <c r="H2021" i="3"/>
  <c r="K2024" i="3"/>
  <c r="K2027" i="3"/>
  <c r="H2030" i="3"/>
  <c r="G2032" i="3"/>
  <c r="G2034" i="3"/>
  <c r="F2036" i="3"/>
  <c r="D2038" i="3"/>
  <c r="I2039" i="3"/>
  <c r="E2041" i="3"/>
  <c r="H2042" i="3"/>
  <c r="F2044" i="3"/>
  <c r="I2045" i="3"/>
  <c r="D1731" i="3"/>
  <c r="H1388" i="3"/>
  <c r="D1390" i="3"/>
  <c r="G1391" i="3"/>
  <c r="E1393" i="3"/>
  <c r="H1394" i="3"/>
  <c r="D1396" i="3"/>
  <c r="I1397" i="3"/>
  <c r="E1399" i="3"/>
  <c r="H1400" i="3"/>
  <c r="F1402" i="3"/>
  <c r="H1403" i="3"/>
  <c r="I1404" i="3"/>
  <c r="K1405" i="3"/>
  <c r="D1407" i="3"/>
  <c r="E1408" i="3"/>
  <c r="F1409" i="3"/>
  <c r="G1410" i="3"/>
  <c r="H1411" i="3"/>
  <c r="I1412" i="3"/>
  <c r="K1413" i="3"/>
  <c r="D1415" i="3"/>
  <c r="E1416" i="3"/>
  <c r="F1417" i="3"/>
  <c r="G1418" i="3"/>
  <c r="H1419" i="3"/>
  <c r="I1420" i="3"/>
  <c r="K1421" i="3"/>
  <c r="D1423" i="3"/>
  <c r="E1424" i="3"/>
  <c r="F1425" i="3"/>
  <c r="G1426" i="3"/>
  <c r="H1427" i="3"/>
  <c r="I1428" i="3"/>
  <c r="K1429" i="3"/>
  <c r="D1431" i="3"/>
  <c r="E1432" i="3"/>
  <c r="F1433" i="3"/>
  <c r="G1434" i="3"/>
  <c r="H1435" i="3"/>
  <c r="I1436" i="3"/>
  <c r="K1437" i="3"/>
  <c r="D1439" i="3"/>
  <c r="E1440" i="3"/>
  <c r="F1441" i="3"/>
  <c r="G1442" i="3"/>
  <c r="H1443" i="3"/>
  <c r="I1444" i="3"/>
  <c r="K1445" i="3"/>
  <c r="D1447" i="3"/>
  <c r="E1448" i="3"/>
  <c r="F1449" i="3"/>
  <c r="G1450" i="3"/>
  <c r="H1451" i="3"/>
  <c r="I1452" i="3"/>
  <c r="K1453" i="3"/>
  <c r="D1455" i="3"/>
  <c r="E1456" i="3"/>
  <c r="F1457" i="3"/>
  <c r="G1458" i="3"/>
  <c r="H1459" i="3"/>
  <c r="I1460" i="3"/>
  <c r="K1461" i="3"/>
  <c r="D1463" i="3"/>
  <c r="E1464" i="3"/>
  <c r="F1465" i="3"/>
  <c r="G1466" i="3"/>
  <c r="H1467" i="3"/>
  <c r="I1468" i="3"/>
  <c r="K1469" i="3"/>
  <c r="D1471" i="3"/>
  <c r="E1472" i="3"/>
  <c r="F1473" i="3"/>
  <c r="G1474" i="3"/>
  <c r="H1475" i="3"/>
  <c r="I1476" i="3"/>
  <c r="K1477" i="3"/>
  <c r="D1479" i="3"/>
  <c r="E1480" i="3"/>
  <c r="F1481" i="3"/>
  <c r="G1482" i="3"/>
  <c r="H1483" i="3"/>
  <c r="I1484" i="3"/>
  <c r="K1485" i="3"/>
  <c r="D1487" i="3"/>
  <c r="E1488" i="3"/>
  <c r="F1489" i="3"/>
  <c r="G1490" i="3"/>
  <c r="H1491" i="3"/>
  <c r="I1492" i="3"/>
  <c r="K1493" i="3"/>
  <c r="D1495" i="3"/>
  <c r="E1496" i="3"/>
  <c r="F1497" i="3"/>
  <c r="G1498" i="3"/>
  <c r="H1499" i="3"/>
  <c r="I1500" i="3"/>
  <c r="K1501" i="3"/>
  <c r="D1503" i="3"/>
  <c r="E1504" i="3"/>
  <c r="F1505" i="3"/>
  <c r="G1506" i="3"/>
  <c r="H1507" i="3"/>
  <c r="I1508" i="3"/>
  <c r="K1509" i="3"/>
  <c r="D1511" i="3"/>
  <c r="E1512" i="3"/>
  <c r="F1513" i="3"/>
  <c r="G1514" i="3"/>
  <c r="H1515" i="3"/>
  <c r="I1516" i="3"/>
  <c r="K1517" i="3"/>
  <c r="D1519" i="3"/>
  <c r="E1520" i="3"/>
  <c r="F1521" i="3"/>
  <c r="G1522" i="3"/>
  <c r="H1523" i="3"/>
  <c r="I1524" i="3"/>
  <c r="K1525" i="3"/>
  <c r="D1527" i="3"/>
  <c r="E1528" i="3"/>
  <c r="F1529" i="3"/>
  <c r="G1530" i="3"/>
  <c r="H1531" i="3"/>
  <c r="I1532" i="3"/>
  <c r="K1533" i="3"/>
  <c r="D1535" i="3"/>
  <c r="E1536" i="3"/>
  <c r="F1537" i="3"/>
  <c r="G1538" i="3"/>
  <c r="H1539" i="3"/>
  <c r="I1540" i="3"/>
  <c r="K1541" i="3"/>
  <c r="D1543" i="3"/>
  <c r="E1544" i="3"/>
  <c r="F1545" i="3"/>
  <c r="G1546" i="3"/>
  <c r="H1547" i="3"/>
  <c r="I1548" i="3"/>
  <c r="K1549" i="3"/>
  <c r="D1551" i="3"/>
  <c r="E1552" i="3"/>
  <c r="F1553" i="3"/>
  <c r="G1554" i="3"/>
  <c r="H1555" i="3"/>
  <c r="I1556" i="3"/>
  <c r="K1557" i="3"/>
  <c r="D1559" i="3"/>
  <c r="E1560" i="3"/>
  <c r="F1561" i="3"/>
  <c r="G1562" i="3"/>
  <c r="H1563" i="3"/>
  <c r="I1564" i="3"/>
  <c r="K1565" i="3"/>
  <c r="D1567" i="3"/>
  <c r="E1568" i="3"/>
  <c r="F1569" i="3"/>
  <c r="G1570" i="3"/>
  <c r="H1571" i="3"/>
  <c r="I1572" i="3"/>
  <c r="K1573" i="3"/>
  <c r="G1773" i="3"/>
  <c r="I1829" i="3"/>
  <c r="H1871" i="3"/>
  <c r="D1910" i="3"/>
  <c r="H1945" i="3"/>
  <c r="D1970" i="3"/>
  <c r="F1988" i="3"/>
  <c r="H2006" i="3"/>
  <c r="H2022" i="3"/>
  <c r="D2033" i="3"/>
  <c r="D2040" i="3"/>
  <c r="H1391" i="3"/>
  <c r="K1397" i="3"/>
  <c r="I1403" i="3"/>
  <c r="F1408" i="3"/>
  <c r="K1412" i="3"/>
  <c r="G1417" i="3"/>
  <c r="D1422" i="3"/>
  <c r="H1426" i="3"/>
  <c r="E1431" i="3"/>
  <c r="I1435" i="3"/>
  <c r="F1440" i="3"/>
  <c r="K1444" i="3"/>
  <c r="G1449" i="3"/>
  <c r="D1454" i="3"/>
  <c r="H1458" i="3"/>
  <c r="E1463" i="3"/>
  <c r="I1467" i="3"/>
  <c r="F1472" i="3"/>
  <c r="L1472" i="3" s="1"/>
  <c r="K1476" i="3"/>
  <c r="G1481" i="3"/>
  <c r="D1486" i="3"/>
  <c r="H1490" i="3"/>
  <c r="E1495" i="3"/>
  <c r="I1499" i="3"/>
  <c r="F1504" i="3"/>
  <c r="K1508" i="3"/>
  <c r="G1513" i="3"/>
  <c r="D1518" i="3"/>
  <c r="H1522" i="3"/>
  <c r="E1527" i="3"/>
  <c r="I1531" i="3"/>
  <c r="D1534" i="3"/>
  <c r="F1536" i="3"/>
  <c r="H1538" i="3"/>
  <c r="K1540" i="3"/>
  <c r="E1543" i="3"/>
  <c r="G1545" i="3"/>
  <c r="I1547" i="3"/>
  <c r="I1549" i="3"/>
  <c r="G1551" i="3"/>
  <c r="G1553" i="3"/>
  <c r="D1555" i="3"/>
  <c r="D1557" i="3"/>
  <c r="K1558" i="3"/>
  <c r="H1560" i="3"/>
  <c r="H1562" i="3"/>
  <c r="E1564" i="3"/>
  <c r="E1566" i="3"/>
  <c r="D1568" i="3"/>
  <c r="I1569" i="3"/>
  <c r="I1571" i="3"/>
  <c r="F1573" i="3"/>
  <c r="E1575" i="3"/>
  <c r="H1576" i="3"/>
  <c r="I1577" i="3"/>
  <c r="K1578" i="3"/>
  <c r="D1580" i="3"/>
  <c r="E1581" i="3"/>
  <c r="F1582" i="3"/>
  <c r="G1583" i="3"/>
  <c r="H1584" i="3"/>
  <c r="I1585" i="3"/>
  <c r="K1586" i="3"/>
  <c r="D1588" i="3"/>
  <c r="E1589" i="3"/>
  <c r="F1590" i="3"/>
  <c r="G1591" i="3"/>
  <c r="H1592" i="3"/>
  <c r="I1593" i="3"/>
  <c r="K1594" i="3"/>
  <c r="D1596" i="3"/>
  <c r="E1597" i="3"/>
  <c r="F1598" i="3"/>
  <c r="G1599" i="3"/>
  <c r="H1600" i="3"/>
  <c r="I1601" i="3"/>
  <c r="K1602" i="3"/>
  <c r="D1604" i="3"/>
  <c r="E1605" i="3"/>
  <c r="F1606" i="3"/>
  <c r="G1607" i="3"/>
  <c r="H1608" i="3"/>
  <c r="I1609" i="3"/>
  <c r="K1610" i="3"/>
  <c r="D1612" i="3"/>
  <c r="E1613" i="3"/>
  <c r="F1614" i="3"/>
  <c r="G1615" i="3"/>
  <c r="H1616" i="3"/>
  <c r="I1617" i="3"/>
  <c r="K1618" i="3"/>
  <c r="D1620" i="3"/>
  <c r="E1621" i="3"/>
  <c r="F1622" i="3"/>
  <c r="G1623" i="3"/>
  <c r="H1624" i="3"/>
  <c r="I1625" i="3"/>
  <c r="K1626" i="3"/>
  <c r="D1628" i="3"/>
  <c r="E1629" i="3"/>
  <c r="F1630" i="3"/>
  <c r="G1631" i="3"/>
  <c r="H1632" i="3"/>
  <c r="I1633" i="3"/>
  <c r="K1634" i="3"/>
  <c r="D1636" i="3"/>
  <c r="E1637" i="3"/>
  <c r="F1638" i="3"/>
  <c r="G1639" i="3"/>
  <c r="H1640" i="3"/>
  <c r="I1641" i="3"/>
  <c r="K1642" i="3"/>
  <c r="D1644" i="3"/>
  <c r="E1645" i="3"/>
  <c r="F1646" i="3"/>
  <c r="G1647" i="3"/>
  <c r="H1648" i="3"/>
  <c r="I1649" i="3"/>
  <c r="K1650" i="3"/>
  <c r="D1652" i="3"/>
  <c r="E1653" i="3"/>
  <c r="F1654" i="3"/>
  <c r="G1655" i="3"/>
  <c r="H1656" i="3"/>
  <c r="I1657" i="3"/>
  <c r="K1658" i="3"/>
  <c r="D1660" i="3"/>
  <c r="E1661" i="3"/>
  <c r="F1662" i="3"/>
  <c r="G1663" i="3"/>
  <c r="H1664" i="3"/>
  <c r="I1665" i="3"/>
  <c r="K1666" i="3"/>
  <c r="D1668" i="3"/>
  <c r="E1669" i="3"/>
  <c r="F1670" i="3"/>
  <c r="G1671" i="3"/>
  <c r="H1672" i="3"/>
  <c r="I1673" i="3"/>
  <c r="K1674" i="3"/>
  <c r="D1676" i="3"/>
  <c r="E1677" i="3"/>
  <c r="F1678" i="3"/>
  <c r="G1679" i="3"/>
  <c r="H1680" i="3"/>
  <c r="I1681" i="3"/>
  <c r="K1682" i="3"/>
  <c r="D1684" i="3"/>
  <c r="E1685" i="3"/>
  <c r="F1686" i="3"/>
  <c r="G1687" i="3"/>
  <c r="H1688" i="3"/>
  <c r="I1689" i="3"/>
  <c r="K1690" i="3"/>
  <c r="D1692" i="3"/>
  <c r="E1693" i="3"/>
  <c r="F1694" i="3"/>
  <c r="G1695" i="3"/>
  <c r="H1696" i="3"/>
  <c r="I1697" i="3"/>
  <c r="K1698" i="3"/>
  <c r="D1700" i="3"/>
  <c r="D1042" i="3"/>
  <c r="E1043" i="3"/>
  <c r="F1044" i="3"/>
  <c r="G1045" i="3"/>
  <c r="H1046" i="3"/>
  <c r="I1047" i="3"/>
  <c r="H1792" i="3"/>
  <c r="G1838" i="3"/>
  <c r="F1880" i="3"/>
  <c r="H1917" i="3"/>
  <c r="I1950" i="3"/>
  <c r="H1973" i="3"/>
  <c r="K1991" i="3"/>
  <c r="E2010" i="3"/>
  <c r="D2025" i="3"/>
  <c r="H2034" i="3"/>
  <c r="F2041" i="3"/>
  <c r="D1392" i="3"/>
  <c r="D1398" i="3"/>
  <c r="K1403" i="3"/>
  <c r="G1408" i="3"/>
  <c r="D1413" i="3"/>
  <c r="H1417" i="3"/>
  <c r="E1422" i="3"/>
  <c r="I1426" i="3"/>
  <c r="F1431" i="3"/>
  <c r="K1435" i="3"/>
  <c r="G1440" i="3"/>
  <c r="D1445" i="3"/>
  <c r="H1449" i="3"/>
  <c r="E1454" i="3"/>
  <c r="I1458" i="3"/>
  <c r="F1463" i="3"/>
  <c r="K1467" i="3"/>
  <c r="G1472" i="3"/>
  <c r="D1477" i="3"/>
  <c r="H1481" i="3"/>
  <c r="E1486" i="3"/>
  <c r="I1490" i="3"/>
  <c r="F1495" i="3"/>
  <c r="K1499" i="3"/>
  <c r="G1504" i="3"/>
  <c r="D1509" i="3"/>
  <c r="H1513" i="3"/>
  <c r="E1518" i="3"/>
  <c r="I1522" i="3"/>
  <c r="F1527" i="3"/>
  <c r="K1531" i="3"/>
  <c r="E1534" i="3"/>
  <c r="G1536" i="3"/>
  <c r="I1538" i="3"/>
  <c r="D1541" i="3"/>
  <c r="F1543" i="3"/>
  <c r="H1545" i="3"/>
  <c r="K1547" i="3"/>
  <c r="D1550" i="3"/>
  <c r="H1551" i="3"/>
  <c r="H1553" i="3"/>
  <c r="G1555" i="3"/>
  <c r="E1557" i="3"/>
  <c r="E1559" i="3"/>
  <c r="I1560" i="3"/>
  <c r="I1562" i="3"/>
  <c r="H1564" i="3"/>
  <c r="F1566" i="3"/>
  <c r="F1568" i="3"/>
  <c r="K1569" i="3"/>
  <c r="K1571" i="3"/>
  <c r="I1573" i="3"/>
  <c r="F1575" i="3"/>
  <c r="I1576" i="3"/>
  <c r="K1577" i="3"/>
  <c r="D1579" i="3"/>
  <c r="E1580" i="3"/>
  <c r="F1581" i="3"/>
  <c r="G1582" i="3"/>
  <c r="H1583" i="3"/>
  <c r="I1584" i="3"/>
  <c r="K1585" i="3"/>
  <c r="D1587" i="3"/>
  <c r="E1588" i="3"/>
  <c r="F1589" i="3"/>
  <c r="G1590" i="3"/>
  <c r="H1591" i="3"/>
  <c r="I1592" i="3"/>
  <c r="K1593" i="3"/>
  <c r="D1595" i="3"/>
  <c r="E1596" i="3"/>
  <c r="F1597" i="3"/>
  <c r="G1598" i="3"/>
  <c r="H1599" i="3"/>
  <c r="I1600" i="3"/>
  <c r="K1601" i="3"/>
  <c r="D1603" i="3"/>
  <c r="E1604" i="3"/>
  <c r="F1605" i="3"/>
  <c r="G1606" i="3"/>
  <c r="H1607" i="3"/>
  <c r="I1608" i="3"/>
  <c r="K1609" i="3"/>
  <c r="D1611" i="3"/>
  <c r="E1612" i="3"/>
  <c r="F1613" i="3"/>
  <c r="G1614" i="3"/>
  <c r="H1615" i="3"/>
  <c r="I1616" i="3"/>
  <c r="K1617" i="3"/>
  <c r="D1619" i="3"/>
  <c r="E1620" i="3"/>
  <c r="F1621" i="3"/>
  <c r="G1622" i="3"/>
  <c r="H1623" i="3"/>
  <c r="I1624" i="3"/>
  <c r="K1625" i="3"/>
  <c r="D1627" i="3"/>
  <c r="E1628" i="3"/>
  <c r="F1629" i="3"/>
  <c r="G1630" i="3"/>
  <c r="H1631" i="3"/>
  <c r="I1632" i="3"/>
  <c r="K1633" i="3"/>
  <c r="D1635" i="3"/>
  <c r="E1636" i="3"/>
  <c r="F1637" i="3"/>
  <c r="G1638" i="3"/>
  <c r="H1639" i="3"/>
  <c r="I1640" i="3"/>
  <c r="K1641" i="3"/>
  <c r="D1643" i="3"/>
  <c r="E1644" i="3"/>
  <c r="F1645" i="3"/>
  <c r="G1646" i="3"/>
  <c r="H1647" i="3"/>
  <c r="I1648" i="3"/>
  <c r="K1649" i="3"/>
  <c r="D1651" i="3"/>
  <c r="E1652" i="3"/>
  <c r="F1653" i="3"/>
  <c r="G1654" i="3"/>
  <c r="H1655" i="3"/>
  <c r="I1656" i="3"/>
  <c r="K1657" i="3"/>
  <c r="D1659" i="3"/>
  <c r="E1660" i="3"/>
  <c r="F1661" i="3"/>
  <c r="G1662" i="3"/>
  <c r="H1663" i="3"/>
  <c r="I1664" i="3"/>
  <c r="K1665" i="3"/>
  <c r="D1667" i="3"/>
  <c r="E1668" i="3"/>
  <c r="F1669" i="3"/>
  <c r="G1670" i="3"/>
  <c r="H1671" i="3"/>
  <c r="I1672" i="3"/>
  <c r="K1673" i="3"/>
  <c r="D1675" i="3"/>
  <c r="E1676" i="3"/>
  <c r="F1677" i="3"/>
  <c r="G1678" i="3"/>
  <c r="H1679" i="3"/>
  <c r="I1680" i="3"/>
  <c r="K1681" i="3"/>
  <c r="D1683" i="3"/>
  <c r="E1684" i="3"/>
  <c r="F1685" i="3"/>
  <c r="G1686" i="3"/>
  <c r="H1687" i="3"/>
  <c r="I1688" i="3"/>
  <c r="K1689" i="3"/>
  <c r="D1691" i="3"/>
  <c r="E1692" i="3"/>
  <c r="F1693" i="3"/>
  <c r="G1694" i="3"/>
  <c r="H1695" i="3"/>
  <c r="I1696" i="3"/>
  <c r="K1697" i="3"/>
  <c r="D1699" i="3"/>
  <c r="E1700" i="3"/>
  <c r="I1386" i="3"/>
  <c r="E1042" i="3"/>
  <c r="F1043" i="3"/>
  <c r="G1044" i="3"/>
  <c r="H1045" i="3"/>
  <c r="I1046" i="3"/>
  <c r="K1047" i="3"/>
  <c r="D1049" i="3"/>
  <c r="E1050" i="3"/>
  <c r="F1051" i="3"/>
  <c r="G1052" i="3"/>
  <c r="H1053" i="3"/>
  <c r="I1054" i="3"/>
  <c r="K1055" i="3"/>
  <c r="D1057" i="3"/>
  <c r="E1058" i="3"/>
  <c r="F1059" i="3"/>
  <c r="G1060" i="3"/>
  <c r="K1795" i="3"/>
  <c r="F1840" i="3"/>
  <c r="D1882" i="3"/>
  <c r="E1919" i="3"/>
  <c r="D1952" i="3"/>
  <c r="H1974" i="3"/>
  <c r="K1992" i="3"/>
  <c r="E2011" i="3"/>
  <c r="H2025" i="3"/>
  <c r="I2034" i="3"/>
  <c r="G2041" i="3"/>
  <c r="D1387" i="3"/>
  <c r="F1393" i="3"/>
  <c r="F1399" i="3"/>
  <c r="K1404" i="3"/>
  <c r="G1409" i="3"/>
  <c r="D1414" i="3"/>
  <c r="H1418" i="3"/>
  <c r="E1423" i="3"/>
  <c r="I1427" i="3"/>
  <c r="F1432" i="3"/>
  <c r="K1436" i="3"/>
  <c r="G1441" i="3"/>
  <c r="D1446" i="3"/>
  <c r="H1450" i="3"/>
  <c r="E1455" i="3"/>
  <c r="I1459" i="3"/>
  <c r="F1464" i="3"/>
  <c r="L1464" i="3" s="1"/>
  <c r="K1468" i="3"/>
  <c r="G1473" i="3"/>
  <c r="D1478" i="3"/>
  <c r="H1482" i="3"/>
  <c r="E1487" i="3"/>
  <c r="I1491" i="3"/>
  <c r="F1496" i="3"/>
  <c r="K1500" i="3"/>
  <c r="G1505" i="3"/>
  <c r="D1510" i="3"/>
  <c r="H1514" i="3"/>
  <c r="E1519" i="3"/>
  <c r="I1523" i="3"/>
  <c r="F1528" i="3"/>
  <c r="D1532" i="3"/>
  <c r="F1534" i="3"/>
  <c r="H1536" i="3"/>
  <c r="K1538" i="3"/>
  <c r="E1541" i="3"/>
  <c r="G1543" i="3"/>
  <c r="I1545" i="3"/>
  <c r="D1548" i="3"/>
  <c r="E1550" i="3"/>
  <c r="D1552" i="3"/>
  <c r="I1553" i="3"/>
  <c r="I1555" i="3"/>
  <c r="F1557" i="3"/>
  <c r="F1559" i="3"/>
  <c r="E1561" i="3"/>
  <c r="K1562" i="3"/>
  <c r="K1564" i="3"/>
  <c r="G1566" i="3"/>
  <c r="G1568" i="3"/>
  <c r="F1570" i="3"/>
  <c r="D1572" i="3"/>
  <c r="D1574" i="3"/>
  <c r="G1575" i="3"/>
  <c r="K1576" i="3"/>
  <c r="D1578" i="3"/>
  <c r="E1579" i="3"/>
  <c r="F1580" i="3"/>
  <c r="G1581" i="3"/>
  <c r="H1582" i="3"/>
  <c r="I1583" i="3"/>
  <c r="K1584" i="3"/>
  <c r="D1586" i="3"/>
  <c r="E1587" i="3"/>
  <c r="F1588" i="3"/>
  <c r="G1589" i="3"/>
  <c r="H1590" i="3"/>
  <c r="I1591" i="3"/>
  <c r="K1592" i="3"/>
  <c r="D1594" i="3"/>
  <c r="E1595" i="3"/>
  <c r="F1596" i="3"/>
  <c r="G1597" i="3"/>
  <c r="H1598" i="3"/>
  <c r="I1599" i="3"/>
  <c r="K1600" i="3"/>
  <c r="D1602" i="3"/>
  <c r="E1603" i="3"/>
  <c r="F1604" i="3"/>
  <c r="G1605" i="3"/>
  <c r="H1606" i="3"/>
  <c r="I1607" i="3"/>
  <c r="K1608" i="3"/>
  <c r="D1610" i="3"/>
  <c r="E1611" i="3"/>
  <c r="F1612" i="3"/>
  <c r="G1613" i="3"/>
  <c r="H1614" i="3"/>
  <c r="I1615" i="3"/>
  <c r="K1616" i="3"/>
  <c r="D1618" i="3"/>
  <c r="E1619" i="3"/>
  <c r="F1620" i="3"/>
  <c r="G1621" i="3"/>
  <c r="H1622" i="3"/>
  <c r="I1623" i="3"/>
  <c r="K1624" i="3"/>
  <c r="D1626" i="3"/>
  <c r="E1627" i="3"/>
  <c r="F1628" i="3"/>
  <c r="G1629" i="3"/>
  <c r="H1630" i="3"/>
  <c r="I1631" i="3"/>
  <c r="K1632" i="3"/>
  <c r="D1634" i="3"/>
  <c r="E1635" i="3"/>
  <c r="F1636" i="3"/>
  <c r="G1637" i="3"/>
  <c r="H1638" i="3"/>
  <c r="I1639" i="3"/>
  <c r="K1640" i="3"/>
  <c r="D1642" i="3"/>
  <c r="E1643" i="3"/>
  <c r="F1644" i="3"/>
  <c r="G1645" i="3"/>
  <c r="H1646" i="3"/>
  <c r="I1647" i="3"/>
  <c r="K1648" i="3"/>
  <c r="D1650" i="3"/>
  <c r="E1651" i="3"/>
  <c r="F1652" i="3"/>
  <c r="G1653" i="3"/>
  <c r="H1654" i="3"/>
  <c r="I1655" i="3"/>
  <c r="K1656" i="3"/>
  <c r="D1658" i="3"/>
  <c r="E1659" i="3"/>
  <c r="F1660" i="3"/>
  <c r="G1661" i="3"/>
  <c r="H1662" i="3"/>
  <c r="I1663" i="3"/>
  <c r="K1664" i="3"/>
  <c r="D1666" i="3"/>
  <c r="E1667" i="3"/>
  <c r="F1668" i="3"/>
  <c r="G1669" i="3"/>
  <c r="H1670" i="3"/>
  <c r="I1671" i="3"/>
  <c r="K1672" i="3"/>
  <c r="D1674" i="3"/>
  <c r="E1675" i="3"/>
  <c r="F1676" i="3"/>
  <c r="G1677" i="3"/>
  <c r="H1678" i="3"/>
  <c r="I1679" i="3"/>
  <c r="K1680" i="3"/>
  <c r="D1682" i="3"/>
  <c r="E1683" i="3"/>
  <c r="F1684" i="3"/>
  <c r="G1685" i="3"/>
  <c r="H1686" i="3"/>
  <c r="I1687" i="3"/>
  <c r="K1688" i="3"/>
  <c r="D1690" i="3"/>
  <c r="E1691" i="3"/>
  <c r="F1692" i="3"/>
  <c r="G1693" i="3"/>
  <c r="H1694" i="3"/>
  <c r="I1695" i="3"/>
  <c r="K1696" i="3"/>
  <c r="D1698" i="3"/>
  <c r="E1699" i="3"/>
  <c r="F1700" i="3"/>
  <c r="G2316" i="3"/>
  <c r="E1807" i="3"/>
  <c r="K1848" i="3"/>
  <c r="E1890" i="3"/>
  <c r="I1926" i="3"/>
  <c r="I1956" i="3"/>
  <c r="E1978" i="3"/>
  <c r="G1996" i="3"/>
  <c r="I2014" i="3"/>
  <c r="F2028" i="3"/>
  <c r="G2036" i="3"/>
  <c r="I2042" i="3"/>
  <c r="G1387" i="3"/>
  <c r="G1393" i="3"/>
  <c r="G1399" i="3"/>
  <c r="D1405" i="3"/>
  <c r="H1409" i="3"/>
  <c r="E1414" i="3"/>
  <c r="I1418" i="3"/>
  <c r="F1423" i="3"/>
  <c r="K1427" i="3"/>
  <c r="G1432" i="3"/>
  <c r="D1437" i="3"/>
  <c r="H1441" i="3"/>
  <c r="E1446" i="3"/>
  <c r="I1450" i="3"/>
  <c r="F1455" i="3"/>
  <c r="K1459" i="3"/>
  <c r="G1464" i="3"/>
  <c r="D1469" i="3"/>
  <c r="H1473" i="3"/>
  <c r="E1478" i="3"/>
  <c r="I1482" i="3"/>
  <c r="F1487" i="3"/>
  <c r="K1491" i="3"/>
  <c r="G1496" i="3"/>
  <c r="D1501" i="3"/>
  <c r="H1505" i="3"/>
  <c r="E1510" i="3"/>
  <c r="I1514" i="3"/>
  <c r="F1519" i="3"/>
  <c r="K1523" i="3"/>
  <c r="G1528" i="3"/>
  <c r="H1532" i="3"/>
  <c r="K1534" i="3"/>
  <c r="E1537" i="3"/>
  <c r="G1539" i="3"/>
  <c r="I1541" i="3"/>
  <c r="D1544" i="3"/>
  <c r="F1546" i="3"/>
  <c r="H1548" i="3"/>
  <c r="F1550" i="3"/>
  <c r="F1552" i="3"/>
  <c r="K1553" i="3"/>
  <c r="K1555" i="3"/>
  <c r="I1557" i="3"/>
  <c r="G1559" i="3"/>
  <c r="G1561" i="3"/>
  <c r="D1563" i="3"/>
  <c r="D1565" i="3"/>
  <c r="K1566" i="3"/>
  <c r="H1568" i="3"/>
  <c r="H1570" i="3"/>
  <c r="E1572" i="3"/>
  <c r="E1574" i="3"/>
  <c r="H1575" i="3"/>
  <c r="D1577" i="3"/>
  <c r="E1578" i="3"/>
  <c r="F1579" i="3"/>
  <c r="G1580" i="3"/>
  <c r="H1581" i="3"/>
  <c r="I1582" i="3"/>
  <c r="K1583" i="3"/>
  <c r="D1585" i="3"/>
  <c r="E1586" i="3"/>
  <c r="F1587" i="3"/>
  <c r="G1588" i="3"/>
  <c r="H1589" i="3"/>
  <c r="I1590" i="3"/>
  <c r="K1591" i="3"/>
  <c r="D1593" i="3"/>
  <c r="E1594" i="3"/>
  <c r="F1595" i="3"/>
  <c r="G1596" i="3"/>
  <c r="H1597" i="3"/>
  <c r="I1598" i="3"/>
  <c r="K1599" i="3"/>
  <c r="D1601" i="3"/>
  <c r="E1602" i="3"/>
  <c r="F1603" i="3"/>
  <c r="G1604" i="3"/>
  <c r="H1605" i="3"/>
  <c r="I1606" i="3"/>
  <c r="K1607" i="3"/>
  <c r="D1609" i="3"/>
  <c r="E1610" i="3"/>
  <c r="F1611" i="3"/>
  <c r="G1612" i="3"/>
  <c r="H1613" i="3"/>
  <c r="I1614" i="3"/>
  <c r="K1615" i="3"/>
  <c r="D1617" i="3"/>
  <c r="E1618" i="3"/>
  <c r="F1619" i="3"/>
  <c r="G1620" i="3"/>
  <c r="H1621" i="3"/>
  <c r="I1622" i="3"/>
  <c r="K1623" i="3"/>
  <c r="D1625" i="3"/>
  <c r="E1626" i="3"/>
  <c r="F1627" i="3"/>
  <c r="G1628" i="3"/>
  <c r="H1629" i="3"/>
  <c r="I1630" i="3"/>
  <c r="K1631" i="3"/>
  <c r="D1633" i="3"/>
  <c r="E1634" i="3"/>
  <c r="F1635" i="3"/>
  <c r="G1636" i="3"/>
  <c r="H1637" i="3"/>
  <c r="I1638" i="3"/>
  <c r="K1639" i="3"/>
  <c r="D1641" i="3"/>
  <c r="E1642" i="3"/>
  <c r="F1643" i="3"/>
  <c r="G1644" i="3"/>
  <c r="H1645" i="3"/>
  <c r="I1646" i="3"/>
  <c r="K1647" i="3"/>
  <c r="D1649" i="3"/>
  <c r="E1650" i="3"/>
  <c r="F1651" i="3"/>
  <c r="G1652" i="3"/>
  <c r="H1653" i="3"/>
  <c r="I1654" i="3"/>
  <c r="K1655" i="3"/>
  <c r="D1657" i="3"/>
  <c r="E1658" i="3"/>
  <c r="F1659" i="3"/>
  <c r="G1660" i="3"/>
  <c r="H1661" i="3"/>
  <c r="I1662" i="3"/>
  <c r="K1663" i="3"/>
  <c r="D1665" i="3"/>
  <c r="E1666" i="3"/>
  <c r="F1667" i="3"/>
  <c r="G1668" i="3"/>
  <c r="H1669" i="3"/>
  <c r="I1670" i="3"/>
  <c r="K1671" i="3"/>
  <c r="D1673" i="3"/>
  <c r="E1674" i="3"/>
  <c r="F1675" i="3"/>
  <c r="G1676" i="3"/>
  <c r="H1677" i="3"/>
  <c r="I1678" i="3"/>
  <c r="K1679" i="3"/>
  <c r="D1681" i="3"/>
  <c r="E1682" i="3"/>
  <c r="F1683" i="3"/>
  <c r="G1684" i="3"/>
  <c r="H1685" i="3"/>
  <c r="I1686" i="3"/>
  <c r="K1687" i="3"/>
  <c r="D1689" i="3"/>
  <c r="E1690" i="3"/>
  <c r="F1691" i="3"/>
  <c r="G1692" i="3"/>
  <c r="H1693" i="3"/>
  <c r="I1694" i="3"/>
  <c r="K1695" i="3"/>
  <c r="H2357" i="3"/>
  <c r="K1808" i="3"/>
  <c r="I1850" i="3"/>
  <c r="I1891" i="3"/>
  <c r="F1928" i="3"/>
  <c r="D1958" i="3"/>
  <c r="E1979" i="3"/>
  <c r="G1997" i="3"/>
  <c r="I2015" i="3"/>
  <c r="G2028" i="3"/>
  <c r="I2036" i="3"/>
  <c r="E2043" i="3"/>
  <c r="I1388" i="3"/>
  <c r="I1394" i="3"/>
  <c r="I1400" i="3"/>
  <c r="D1406" i="3"/>
  <c r="H1410" i="3"/>
  <c r="E1415" i="3"/>
  <c r="I1419" i="3"/>
  <c r="F1424" i="3"/>
  <c r="K1428" i="3"/>
  <c r="G1433" i="3"/>
  <c r="D1438" i="3"/>
  <c r="H1442" i="3"/>
  <c r="E1447" i="3"/>
  <c r="I1451" i="3"/>
  <c r="F1456" i="3"/>
  <c r="K1460" i="3"/>
  <c r="G1465" i="3"/>
  <c r="D1470" i="3"/>
  <c r="H1474" i="3"/>
  <c r="E1479" i="3"/>
  <c r="I1483" i="3"/>
  <c r="F1488" i="3"/>
  <c r="K1492" i="3"/>
  <c r="G1497" i="3"/>
  <c r="D1502" i="3"/>
  <c r="H1506" i="3"/>
  <c r="E1511" i="3"/>
  <c r="I1515" i="3"/>
  <c r="F1520" i="3"/>
  <c r="K1524" i="3"/>
  <c r="G1529" i="3"/>
  <c r="K1532" i="3"/>
  <c r="E1535" i="3"/>
  <c r="G1537" i="3"/>
  <c r="I1539" i="3"/>
  <c r="D1542" i="3"/>
  <c r="F1544" i="3"/>
  <c r="H1546" i="3"/>
  <c r="K1548" i="3"/>
  <c r="G1550" i="3"/>
  <c r="G1552" i="3"/>
  <c r="F1554" i="3"/>
  <c r="D1556" i="3"/>
  <c r="D1558" i="3"/>
  <c r="H1559" i="3"/>
  <c r="H1561" i="3"/>
  <c r="G1563" i="3"/>
  <c r="E1565" i="3"/>
  <c r="E1567" i="3"/>
  <c r="I1568" i="3"/>
  <c r="I1570" i="3"/>
  <c r="H1572" i="3"/>
  <c r="F1574" i="3"/>
  <c r="D1576" i="3"/>
  <c r="E1577" i="3"/>
  <c r="F1578" i="3"/>
  <c r="G1579" i="3"/>
  <c r="H1580" i="3"/>
  <c r="I1581" i="3"/>
  <c r="K1582" i="3"/>
  <c r="D1584" i="3"/>
  <c r="E1585" i="3"/>
  <c r="F1586" i="3"/>
  <c r="G1587" i="3"/>
  <c r="H1588" i="3"/>
  <c r="I1589" i="3"/>
  <c r="K1590" i="3"/>
  <c r="D1592" i="3"/>
  <c r="E1593" i="3"/>
  <c r="F1594" i="3"/>
  <c r="G1595" i="3"/>
  <c r="H1596" i="3"/>
  <c r="I1597" i="3"/>
  <c r="K1598" i="3"/>
  <c r="D1600" i="3"/>
  <c r="E1601" i="3"/>
  <c r="F1602" i="3"/>
  <c r="G1603" i="3"/>
  <c r="H1604" i="3"/>
  <c r="I1605" i="3"/>
  <c r="K1606" i="3"/>
  <c r="D1608" i="3"/>
  <c r="E1609" i="3"/>
  <c r="F1610" i="3"/>
  <c r="G1611" i="3"/>
  <c r="H1612" i="3"/>
  <c r="I1613" i="3"/>
  <c r="K1614" i="3"/>
  <c r="D1616" i="3"/>
  <c r="E1617" i="3"/>
  <c r="F1618" i="3"/>
  <c r="G1619" i="3"/>
  <c r="H1620" i="3"/>
  <c r="I1621" i="3"/>
  <c r="K1622" i="3"/>
  <c r="D1624" i="3"/>
  <c r="E1625" i="3"/>
  <c r="F1626" i="3"/>
  <c r="G1627" i="3"/>
  <c r="H1628" i="3"/>
  <c r="I1629" i="3"/>
  <c r="K1630" i="3"/>
  <c r="D1632" i="3"/>
  <c r="E1633" i="3"/>
  <c r="F1634" i="3"/>
  <c r="G1635" i="3"/>
  <c r="H1636" i="3"/>
  <c r="I1637" i="3"/>
  <c r="K1638" i="3"/>
  <c r="D1640" i="3"/>
  <c r="E1641" i="3"/>
  <c r="F1642" i="3"/>
  <c r="G1643" i="3"/>
  <c r="H1644" i="3"/>
  <c r="I1645" i="3"/>
  <c r="K1646" i="3"/>
  <c r="D1648" i="3"/>
  <c r="E1649" i="3"/>
  <c r="F1650" i="3"/>
  <c r="G1651" i="3"/>
  <c r="H1652" i="3"/>
  <c r="I1653" i="3"/>
  <c r="K1654" i="3"/>
  <c r="D1656" i="3"/>
  <c r="E1657" i="3"/>
  <c r="F1658" i="3"/>
  <c r="G1659" i="3"/>
  <c r="H1660" i="3"/>
  <c r="I1661" i="3"/>
  <c r="K1662" i="3"/>
  <c r="D1664" i="3"/>
  <c r="E1665" i="3"/>
  <c r="F1666" i="3"/>
  <c r="G1667" i="3"/>
  <c r="H1668" i="3"/>
  <c r="I1669" i="3"/>
  <c r="K1670" i="3"/>
  <c r="D1672" i="3"/>
  <c r="E1673" i="3"/>
  <c r="F1674" i="3"/>
  <c r="G1675" i="3"/>
  <c r="H1676" i="3"/>
  <c r="I1677" i="3"/>
  <c r="K1678" i="3"/>
  <c r="D1680" i="3"/>
  <c r="E1681" i="3"/>
  <c r="F1682" i="3"/>
  <c r="G1683" i="3"/>
  <c r="H1684" i="3"/>
  <c r="I1685" i="3"/>
  <c r="K1686" i="3"/>
  <c r="D1688" i="3"/>
  <c r="E1689" i="3"/>
  <c r="F1690" i="3"/>
  <c r="G1691" i="3"/>
  <c r="H1692" i="3"/>
  <c r="I1693" i="3"/>
  <c r="K1694" i="3"/>
  <c r="D1696" i="3"/>
  <c r="E1697" i="3"/>
  <c r="F1698" i="3"/>
  <c r="G1699" i="3"/>
  <c r="H1700" i="3"/>
  <c r="G1386" i="3"/>
  <c r="H1042" i="3"/>
  <c r="I1043" i="3"/>
  <c r="K1044" i="3"/>
  <c r="D1046" i="3"/>
  <c r="E1047" i="3"/>
  <c r="F1819" i="3"/>
  <c r="E1861" i="3"/>
  <c r="K1900" i="3"/>
  <c r="G1937" i="3"/>
  <c r="D1964" i="3"/>
  <c r="I1983" i="3"/>
  <c r="D2002" i="3"/>
  <c r="F2019" i="3"/>
  <c r="E2031" i="3"/>
  <c r="H2038" i="3"/>
  <c r="H2044" i="3"/>
  <c r="E1390" i="3"/>
  <c r="E1396" i="3"/>
  <c r="G1402" i="3"/>
  <c r="E1407" i="3"/>
  <c r="I1411" i="3"/>
  <c r="F1416" i="3"/>
  <c r="K1420" i="3"/>
  <c r="G1425" i="3"/>
  <c r="D1430" i="3"/>
  <c r="H1434" i="3"/>
  <c r="E1439" i="3"/>
  <c r="I1443" i="3"/>
  <c r="F1448" i="3"/>
  <c r="K1452" i="3"/>
  <c r="G1457" i="3"/>
  <c r="D1462" i="3"/>
  <c r="H1466" i="3"/>
  <c r="E1471" i="3"/>
  <c r="I1475" i="3"/>
  <c r="F1480" i="3"/>
  <c r="K1484" i="3"/>
  <c r="G1489" i="3"/>
  <c r="D1494" i="3"/>
  <c r="H1498" i="3"/>
  <c r="E1503" i="3"/>
  <c r="I1507" i="3"/>
  <c r="F1512" i="3"/>
  <c r="K1516" i="3"/>
  <c r="G1521" i="3"/>
  <c r="D1526" i="3"/>
  <c r="H1530" i="3"/>
  <c r="E1533" i="3"/>
  <c r="G1535" i="3"/>
  <c r="I1537" i="3"/>
  <c r="D1540" i="3"/>
  <c r="F1542" i="3"/>
  <c r="H1544" i="3"/>
  <c r="K1546" i="3"/>
  <c r="E1549" i="3"/>
  <c r="E1551" i="3"/>
  <c r="I1552" i="3"/>
  <c r="I1554" i="3"/>
  <c r="H1556" i="3"/>
  <c r="F1558" i="3"/>
  <c r="F1560" i="3"/>
  <c r="K1561" i="3"/>
  <c r="K1563" i="3"/>
  <c r="I1565" i="3"/>
  <c r="G1567" i="3"/>
  <c r="G1569" i="3"/>
  <c r="D1571" i="3"/>
  <c r="D1573" i="3"/>
  <c r="K1574" i="3"/>
  <c r="F1576" i="3"/>
  <c r="G1577" i="3"/>
  <c r="H1578" i="3"/>
  <c r="I1579" i="3"/>
  <c r="K1580" i="3"/>
  <c r="D1582" i="3"/>
  <c r="E1583" i="3"/>
  <c r="F1584" i="3"/>
  <c r="G1585" i="3"/>
  <c r="H1586" i="3"/>
  <c r="I1587" i="3"/>
  <c r="K1588" i="3"/>
  <c r="D1590" i="3"/>
  <c r="E1591" i="3"/>
  <c r="F1592" i="3"/>
  <c r="G1593" i="3"/>
  <c r="H1594" i="3"/>
  <c r="I1595" i="3"/>
  <c r="K1596" i="3"/>
  <c r="D1598" i="3"/>
  <c r="E1599" i="3"/>
  <c r="F1600" i="3"/>
  <c r="G1601" i="3"/>
  <c r="H1602" i="3"/>
  <c r="I1603" i="3"/>
  <c r="K1604" i="3"/>
  <c r="D1606" i="3"/>
  <c r="E1607" i="3"/>
  <c r="F1608" i="3"/>
  <c r="G1609" i="3"/>
  <c r="H1610" i="3"/>
  <c r="I1611" i="3"/>
  <c r="K1612" i="3"/>
  <c r="D1614" i="3"/>
  <c r="E1615" i="3"/>
  <c r="F1616" i="3"/>
  <c r="G1617" i="3"/>
  <c r="H1618" i="3"/>
  <c r="I1619" i="3"/>
  <c r="K1620" i="3"/>
  <c r="D1622" i="3"/>
  <c r="E1623" i="3"/>
  <c r="F1624" i="3"/>
  <c r="G1625" i="3"/>
  <c r="H1626" i="3"/>
  <c r="I1627" i="3"/>
  <c r="K1628" i="3"/>
  <c r="D1630" i="3"/>
  <c r="E1631" i="3"/>
  <c r="F1632" i="3"/>
  <c r="G1633" i="3"/>
  <c r="H1634" i="3"/>
  <c r="I1635" i="3"/>
  <c r="K1636" i="3"/>
  <c r="D1638" i="3"/>
  <c r="E1639" i="3"/>
  <c r="F1640" i="3"/>
  <c r="G1641" i="3"/>
  <c r="H1642" i="3"/>
  <c r="I1643" i="3"/>
  <c r="K1644" i="3"/>
  <c r="D1646" i="3"/>
  <c r="E1647" i="3"/>
  <c r="F1648" i="3"/>
  <c r="G1649" i="3"/>
  <c r="H1650" i="3"/>
  <c r="I1651" i="3"/>
  <c r="K1652" i="3"/>
  <c r="D1654" i="3"/>
  <c r="E1655" i="3"/>
  <c r="F1656" i="3"/>
  <c r="G1657" i="3"/>
  <c r="H1658" i="3"/>
  <c r="I1659" i="3"/>
  <c r="K1660" i="3"/>
  <c r="D1662" i="3"/>
  <c r="E1663" i="3"/>
  <c r="F1664" i="3"/>
  <c r="G1665" i="3"/>
  <c r="H1666" i="3"/>
  <c r="I1667" i="3"/>
  <c r="K1668" i="3"/>
  <c r="D1670" i="3"/>
  <c r="E1671" i="3"/>
  <c r="F1672" i="3"/>
  <c r="G1673" i="3"/>
  <c r="H1674" i="3"/>
  <c r="I1675" i="3"/>
  <c r="K1676" i="3"/>
  <c r="D1678" i="3"/>
  <c r="E1679" i="3"/>
  <c r="F1680" i="3"/>
  <c r="G1681" i="3"/>
  <c r="H1682" i="3"/>
  <c r="I1683" i="3"/>
  <c r="K1684" i="3"/>
  <c r="D1686" i="3"/>
  <c r="E1687" i="3"/>
  <c r="F1688" i="3"/>
  <c r="G1689" i="3"/>
  <c r="H1690" i="3"/>
  <c r="I1691" i="3"/>
  <c r="K1692" i="3"/>
  <c r="D1694" i="3"/>
  <c r="E1695" i="3"/>
  <c r="F1696" i="3"/>
  <c r="F1859" i="3"/>
  <c r="I1982" i="3"/>
  <c r="E2038" i="3"/>
  <c r="K1394" i="3"/>
  <c r="F1415" i="3"/>
  <c r="H1433" i="3"/>
  <c r="K1451" i="3"/>
  <c r="E1470" i="3"/>
  <c r="G1488" i="3"/>
  <c r="I1506" i="3"/>
  <c r="D1525" i="3"/>
  <c r="H1537" i="3"/>
  <c r="I1546" i="3"/>
  <c r="H1554" i="3"/>
  <c r="I1561" i="3"/>
  <c r="E1569" i="3"/>
  <c r="E1576" i="3"/>
  <c r="I1580" i="3"/>
  <c r="F1585" i="3"/>
  <c r="K1589" i="3"/>
  <c r="G1594" i="3"/>
  <c r="D1599" i="3"/>
  <c r="H1603" i="3"/>
  <c r="E1608" i="3"/>
  <c r="I1612" i="3"/>
  <c r="F1617" i="3"/>
  <c r="K1621" i="3"/>
  <c r="G1626" i="3"/>
  <c r="D1631" i="3"/>
  <c r="H1635" i="3"/>
  <c r="E1640" i="3"/>
  <c r="I1644" i="3"/>
  <c r="F1649" i="3"/>
  <c r="K1653" i="3"/>
  <c r="G1658" i="3"/>
  <c r="D1663" i="3"/>
  <c r="H1667" i="3"/>
  <c r="E1672" i="3"/>
  <c r="I1676" i="3"/>
  <c r="F1681" i="3"/>
  <c r="K1685" i="3"/>
  <c r="G1690" i="3"/>
  <c r="D1695" i="3"/>
  <c r="E1698" i="3"/>
  <c r="G1700" i="3"/>
  <c r="E1386" i="3"/>
  <c r="H1043" i="3"/>
  <c r="F1045" i="3"/>
  <c r="F1047" i="3"/>
  <c r="I1048" i="3"/>
  <c r="D1050" i="3"/>
  <c r="G1051" i="3"/>
  <c r="I1052" i="3"/>
  <c r="D1054" i="3"/>
  <c r="F1055" i="3"/>
  <c r="H1056" i="3"/>
  <c r="K1057" i="3"/>
  <c r="E1059" i="3"/>
  <c r="H1060" i="3"/>
  <c r="I1061" i="3"/>
  <c r="K1062" i="3"/>
  <c r="D1064" i="3"/>
  <c r="E1065" i="3"/>
  <c r="F1066" i="3"/>
  <c r="G1067" i="3"/>
  <c r="H1068" i="3"/>
  <c r="I1069" i="3"/>
  <c r="K1070" i="3"/>
  <c r="D1072" i="3"/>
  <c r="E1073" i="3"/>
  <c r="F1074" i="3"/>
  <c r="G1075" i="3"/>
  <c r="H1076" i="3"/>
  <c r="I1077" i="3"/>
  <c r="K1078" i="3"/>
  <c r="D1080" i="3"/>
  <c r="E1081" i="3"/>
  <c r="F1082" i="3"/>
  <c r="G1083" i="3"/>
  <c r="H1084" i="3"/>
  <c r="I1085" i="3"/>
  <c r="K1086" i="3"/>
  <c r="D1088" i="3"/>
  <c r="E1089" i="3"/>
  <c r="F1090" i="3"/>
  <c r="G1091" i="3"/>
  <c r="H1092" i="3"/>
  <c r="I1093" i="3"/>
  <c r="K1094" i="3"/>
  <c r="D1096" i="3"/>
  <c r="E1097" i="3"/>
  <c r="F1098" i="3"/>
  <c r="G1099" i="3"/>
  <c r="H1100" i="3"/>
  <c r="I1101" i="3"/>
  <c r="K1102" i="3"/>
  <c r="D1104" i="3"/>
  <c r="E1105" i="3"/>
  <c r="F1106" i="3"/>
  <c r="G1107" i="3"/>
  <c r="H1108" i="3"/>
  <c r="I1109" i="3"/>
  <c r="K1110" i="3"/>
  <c r="D1112" i="3"/>
  <c r="E1113" i="3"/>
  <c r="F1114" i="3"/>
  <c r="G1115" i="3"/>
  <c r="H1116" i="3"/>
  <c r="I1117" i="3"/>
  <c r="K1118" i="3"/>
  <c r="D1120" i="3"/>
  <c r="E1121" i="3"/>
  <c r="F1122" i="3"/>
  <c r="G1123" i="3"/>
  <c r="H1124" i="3"/>
  <c r="I1125" i="3"/>
  <c r="K1126" i="3"/>
  <c r="D1128" i="3"/>
  <c r="E1129" i="3"/>
  <c r="F1130" i="3"/>
  <c r="G1131" i="3"/>
  <c r="H1132" i="3"/>
  <c r="I1133" i="3"/>
  <c r="K1134" i="3"/>
  <c r="D1136" i="3"/>
  <c r="E1137" i="3"/>
  <c r="F1138" i="3"/>
  <c r="G1139" i="3"/>
  <c r="H1140" i="3"/>
  <c r="I1141" i="3"/>
  <c r="K1142" i="3"/>
  <c r="D1144" i="3"/>
  <c r="E1145" i="3"/>
  <c r="F1146" i="3"/>
  <c r="G1147" i="3"/>
  <c r="H1148" i="3"/>
  <c r="I1149" i="3"/>
  <c r="K1150" i="3"/>
  <c r="D1152" i="3"/>
  <c r="E1153" i="3"/>
  <c r="F1154" i="3"/>
  <c r="G1155" i="3"/>
  <c r="H1156" i="3"/>
  <c r="I1157" i="3"/>
  <c r="K1158" i="3"/>
  <c r="D1160" i="3"/>
  <c r="E1161" i="3"/>
  <c r="F1162" i="3"/>
  <c r="G1163" i="3"/>
  <c r="H1164" i="3"/>
  <c r="I1165" i="3"/>
  <c r="K1166" i="3"/>
  <c r="D1168" i="3"/>
  <c r="E1169" i="3"/>
  <c r="F1170" i="3"/>
  <c r="G1171" i="3"/>
  <c r="H1172" i="3"/>
  <c r="I1173" i="3"/>
  <c r="K1174" i="3"/>
  <c r="D1176" i="3"/>
  <c r="E1177" i="3"/>
  <c r="F1178" i="3"/>
  <c r="G1179" i="3"/>
  <c r="H1180" i="3"/>
  <c r="I1181" i="3"/>
  <c r="K1182" i="3"/>
  <c r="D1184" i="3"/>
  <c r="E1185" i="3"/>
  <c r="F1186" i="3"/>
  <c r="G1187" i="3"/>
  <c r="H1188" i="3"/>
  <c r="I1189" i="3"/>
  <c r="K1190" i="3"/>
  <c r="D1192" i="3"/>
  <c r="E1193" i="3"/>
  <c r="F1194" i="3"/>
  <c r="G1195" i="3"/>
  <c r="H1196" i="3"/>
  <c r="I1197" i="3"/>
  <c r="K1198" i="3"/>
  <c r="D1200" i="3"/>
  <c r="E1201" i="3"/>
  <c r="F1202" i="3"/>
  <c r="G1203" i="3"/>
  <c r="H1204" i="3"/>
  <c r="I1205" i="3"/>
  <c r="K1206" i="3"/>
  <c r="D1208" i="3"/>
  <c r="E1209" i="3"/>
  <c r="F1210" i="3"/>
  <c r="G1211" i="3"/>
  <c r="H1212" i="3"/>
  <c r="I1213" i="3"/>
  <c r="K1214" i="3"/>
  <c r="D1216" i="3"/>
  <c r="E1217" i="3"/>
  <c r="F1218" i="3"/>
  <c r="G1219" i="3"/>
  <c r="H1220" i="3"/>
  <c r="I1221" i="3"/>
  <c r="K1222" i="3"/>
  <c r="D1224" i="3"/>
  <c r="E1225" i="3"/>
  <c r="F1226" i="3"/>
  <c r="G1227" i="3"/>
  <c r="H1228" i="3"/>
  <c r="I1229" i="3"/>
  <c r="K1230" i="3"/>
  <c r="D1232" i="3"/>
  <c r="E1233" i="3"/>
  <c r="F1234" i="3"/>
  <c r="G1235" i="3"/>
  <c r="H1236" i="3"/>
  <c r="I1237" i="3"/>
  <c r="K1238" i="3"/>
  <c r="D1240" i="3"/>
  <c r="E1241" i="3"/>
  <c r="F1242" i="3"/>
  <c r="G1243" i="3"/>
  <c r="H1244" i="3"/>
  <c r="I1245" i="3"/>
  <c r="K1246" i="3"/>
  <c r="D1248" i="3"/>
  <c r="E1249" i="3"/>
  <c r="F1250" i="3"/>
  <c r="G1251" i="3"/>
  <c r="H1252" i="3"/>
  <c r="I1253" i="3"/>
  <c r="K1254" i="3"/>
  <c r="D1256" i="3"/>
  <c r="E1257" i="3"/>
  <c r="F1258" i="3"/>
  <c r="G1259" i="3"/>
  <c r="H1260" i="3"/>
  <c r="I1261" i="3"/>
  <c r="K1262" i="3"/>
  <c r="D1264" i="3"/>
  <c r="E1265" i="3"/>
  <c r="F1266" i="3"/>
  <c r="G1267" i="3"/>
  <c r="H1268" i="3"/>
  <c r="I1269" i="3"/>
  <c r="K1270" i="3"/>
  <c r="D1272" i="3"/>
  <c r="E1273" i="3"/>
  <c r="F1274" i="3"/>
  <c r="G1275" i="3"/>
  <c r="H1276" i="3"/>
  <c r="I1277" i="3"/>
  <c r="K1278" i="3"/>
  <c r="D1280" i="3"/>
  <c r="E1281" i="3"/>
  <c r="F1282" i="3"/>
  <c r="G1283" i="3"/>
  <c r="H1284" i="3"/>
  <c r="I1285" i="3"/>
  <c r="K1286" i="3"/>
  <c r="D1288" i="3"/>
  <c r="E1289" i="3"/>
  <c r="F1290" i="3"/>
  <c r="G1291" i="3"/>
  <c r="H1292" i="3"/>
  <c r="I1293" i="3"/>
  <c r="K1294" i="3"/>
  <c r="D1296" i="3"/>
  <c r="E1297" i="3"/>
  <c r="F1298" i="3"/>
  <c r="G1299" i="3"/>
  <c r="H1300" i="3"/>
  <c r="I1301" i="3"/>
  <c r="K1302" i="3"/>
  <c r="D1304" i="3"/>
  <c r="E1305" i="3"/>
  <c r="F1306" i="3"/>
  <c r="G1307" i="3"/>
  <c r="H1308" i="3"/>
  <c r="I1309" i="3"/>
  <c r="K1310" i="3"/>
  <c r="D1312" i="3"/>
  <c r="E1313" i="3"/>
  <c r="F1314" i="3"/>
  <c r="I1869" i="3"/>
  <c r="F1987" i="3"/>
  <c r="K2039" i="3"/>
  <c r="H1396" i="3"/>
  <c r="G1416" i="3"/>
  <c r="I1434" i="3"/>
  <c r="D1453" i="3"/>
  <c r="F1471" i="3"/>
  <c r="H1489" i="3"/>
  <c r="K1507" i="3"/>
  <c r="E1526" i="3"/>
  <c r="F1538" i="3"/>
  <c r="G1547" i="3"/>
  <c r="K1554" i="3"/>
  <c r="F1562" i="3"/>
  <c r="H1569" i="3"/>
  <c r="G1576" i="3"/>
  <c r="D1581" i="3"/>
  <c r="H1585" i="3"/>
  <c r="E1590" i="3"/>
  <c r="I1594" i="3"/>
  <c r="F1599" i="3"/>
  <c r="K1603" i="3"/>
  <c r="G1608" i="3"/>
  <c r="D1613" i="3"/>
  <c r="H1617" i="3"/>
  <c r="E1622" i="3"/>
  <c r="I1626" i="3"/>
  <c r="F1631" i="3"/>
  <c r="K1635" i="3"/>
  <c r="G1640" i="3"/>
  <c r="D1645" i="3"/>
  <c r="H1649" i="3"/>
  <c r="E1654" i="3"/>
  <c r="I1658" i="3"/>
  <c r="F1663" i="3"/>
  <c r="K1667" i="3"/>
  <c r="G1672" i="3"/>
  <c r="D1677" i="3"/>
  <c r="H1681" i="3"/>
  <c r="E1686" i="3"/>
  <c r="I1690" i="3"/>
  <c r="F1695" i="3"/>
  <c r="G1698" i="3"/>
  <c r="I1700" i="3"/>
  <c r="D1386" i="3"/>
  <c r="K1043" i="3"/>
  <c r="I1045" i="3"/>
  <c r="G1047" i="3"/>
  <c r="K1048" i="3"/>
  <c r="F1050" i="3"/>
  <c r="H1051" i="3"/>
  <c r="K1052" i="3"/>
  <c r="E1054" i="3"/>
  <c r="G1055" i="3"/>
  <c r="I1056" i="3"/>
  <c r="D1058" i="3"/>
  <c r="G1059" i="3"/>
  <c r="I1060" i="3"/>
  <c r="K1061" i="3"/>
  <c r="D1063" i="3"/>
  <c r="E1064" i="3"/>
  <c r="F1065" i="3"/>
  <c r="G1066" i="3"/>
  <c r="H1067" i="3"/>
  <c r="I1068" i="3"/>
  <c r="K1069" i="3"/>
  <c r="D1071" i="3"/>
  <c r="E1072" i="3"/>
  <c r="F1073" i="3"/>
  <c r="G1074" i="3"/>
  <c r="H1075" i="3"/>
  <c r="I1076" i="3"/>
  <c r="K1077" i="3"/>
  <c r="D1079" i="3"/>
  <c r="E1080" i="3"/>
  <c r="F1081" i="3"/>
  <c r="G1082" i="3"/>
  <c r="H1083" i="3"/>
  <c r="I1084" i="3"/>
  <c r="K1085" i="3"/>
  <c r="D1087" i="3"/>
  <c r="E1088" i="3"/>
  <c r="F1089" i="3"/>
  <c r="G1090" i="3"/>
  <c r="H1091" i="3"/>
  <c r="I1092" i="3"/>
  <c r="K1093" i="3"/>
  <c r="D1095" i="3"/>
  <c r="E1096" i="3"/>
  <c r="F1097" i="3"/>
  <c r="G1098" i="3"/>
  <c r="H1099" i="3"/>
  <c r="I1100" i="3"/>
  <c r="K1101" i="3"/>
  <c r="D1103" i="3"/>
  <c r="E1104" i="3"/>
  <c r="F1105" i="3"/>
  <c r="G1106" i="3"/>
  <c r="H1107" i="3"/>
  <c r="I1108" i="3"/>
  <c r="K1109" i="3"/>
  <c r="D1111" i="3"/>
  <c r="E1112" i="3"/>
  <c r="F1113" i="3"/>
  <c r="G1114" i="3"/>
  <c r="H1115" i="3"/>
  <c r="I1116" i="3"/>
  <c r="K1117" i="3"/>
  <c r="D1119" i="3"/>
  <c r="E1120" i="3"/>
  <c r="F1121" i="3"/>
  <c r="G1122" i="3"/>
  <c r="H1123" i="3"/>
  <c r="I1124" i="3"/>
  <c r="K1125" i="3"/>
  <c r="D1127" i="3"/>
  <c r="E1128" i="3"/>
  <c r="F1129" i="3"/>
  <c r="G1130" i="3"/>
  <c r="H1131" i="3"/>
  <c r="I1132" i="3"/>
  <c r="K1133" i="3"/>
  <c r="D1135" i="3"/>
  <c r="E1136" i="3"/>
  <c r="F1137" i="3"/>
  <c r="G1138" i="3"/>
  <c r="H1139" i="3"/>
  <c r="I1140" i="3"/>
  <c r="K1141" i="3"/>
  <c r="D1143" i="3"/>
  <c r="E1144" i="3"/>
  <c r="F1145" i="3"/>
  <c r="G1146" i="3"/>
  <c r="H1147" i="3"/>
  <c r="I1148" i="3"/>
  <c r="K1149" i="3"/>
  <c r="D1151" i="3"/>
  <c r="E1152" i="3"/>
  <c r="F1153" i="3"/>
  <c r="G1154" i="3"/>
  <c r="H1155" i="3"/>
  <c r="I1156" i="3"/>
  <c r="K1157" i="3"/>
  <c r="D1159" i="3"/>
  <c r="E1160" i="3"/>
  <c r="F1161" i="3"/>
  <c r="G1162" i="3"/>
  <c r="H1163" i="3"/>
  <c r="I1164" i="3"/>
  <c r="K1165" i="3"/>
  <c r="D1167" i="3"/>
  <c r="E1168" i="3"/>
  <c r="F1169" i="3"/>
  <c r="G1170" i="3"/>
  <c r="H1171" i="3"/>
  <c r="I1172" i="3"/>
  <c r="K1173" i="3"/>
  <c r="D1175" i="3"/>
  <c r="E1176" i="3"/>
  <c r="F1177" i="3"/>
  <c r="G1178" i="3"/>
  <c r="H1179" i="3"/>
  <c r="I1180" i="3"/>
  <c r="K1181" i="3"/>
  <c r="D1183" i="3"/>
  <c r="E1184" i="3"/>
  <c r="F1185" i="3"/>
  <c r="G1186" i="3"/>
  <c r="H1187" i="3"/>
  <c r="I1188" i="3"/>
  <c r="K1189" i="3"/>
  <c r="D1191" i="3"/>
  <c r="E1192" i="3"/>
  <c r="F1193" i="3"/>
  <c r="G1194" i="3"/>
  <c r="H1195" i="3"/>
  <c r="I1196" i="3"/>
  <c r="K1197" i="3"/>
  <c r="D1199" i="3"/>
  <c r="E1200" i="3"/>
  <c r="F1201" i="3"/>
  <c r="G1202" i="3"/>
  <c r="H1203" i="3"/>
  <c r="I1204" i="3"/>
  <c r="K1205" i="3"/>
  <c r="D1207" i="3"/>
  <c r="E1208" i="3"/>
  <c r="F1209" i="3"/>
  <c r="G1210" i="3"/>
  <c r="H1211" i="3"/>
  <c r="I1212" i="3"/>
  <c r="K1213" i="3"/>
  <c r="D1215" i="3"/>
  <c r="E1216" i="3"/>
  <c r="F1217" i="3"/>
  <c r="G1218" i="3"/>
  <c r="H1219" i="3"/>
  <c r="I1220" i="3"/>
  <c r="K1221" i="3"/>
  <c r="D1223" i="3"/>
  <c r="E1224" i="3"/>
  <c r="F1225" i="3"/>
  <c r="G1226" i="3"/>
  <c r="H1227" i="3"/>
  <c r="I1228" i="3"/>
  <c r="K1229" i="3"/>
  <c r="D1231" i="3"/>
  <c r="E1232" i="3"/>
  <c r="F1233" i="3"/>
  <c r="G1234" i="3"/>
  <c r="H1235" i="3"/>
  <c r="I1236" i="3"/>
  <c r="K1237" i="3"/>
  <c r="D1239" i="3"/>
  <c r="E1240" i="3"/>
  <c r="F1241" i="3"/>
  <c r="G1242" i="3"/>
  <c r="H1243" i="3"/>
  <c r="I1244" i="3"/>
  <c r="K1245" i="3"/>
  <c r="D1247" i="3"/>
  <c r="E1248" i="3"/>
  <c r="F1249" i="3"/>
  <c r="G1250" i="3"/>
  <c r="H1251" i="3"/>
  <c r="I1252" i="3"/>
  <c r="K1253" i="3"/>
  <c r="D1255" i="3"/>
  <c r="E1256" i="3"/>
  <c r="F1257" i="3"/>
  <c r="G1258" i="3"/>
  <c r="H1259" i="3"/>
  <c r="I1260" i="3"/>
  <c r="K1261" i="3"/>
  <c r="D1263" i="3"/>
  <c r="E1264" i="3"/>
  <c r="F1265" i="3"/>
  <c r="G1266" i="3"/>
  <c r="H1267" i="3"/>
  <c r="I1268" i="3"/>
  <c r="K1269" i="3"/>
  <c r="D1271" i="3"/>
  <c r="E1272" i="3"/>
  <c r="F1273" i="3"/>
  <c r="G1274" i="3"/>
  <c r="H1275" i="3"/>
  <c r="I1276" i="3"/>
  <c r="K1277" i="3"/>
  <c r="D1279" i="3"/>
  <c r="E1280" i="3"/>
  <c r="F1281" i="3"/>
  <c r="G1282" i="3"/>
  <c r="H1283" i="3"/>
  <c r="I1284" i="3"/>
  <c r="K1285" i="3"/>
  <c r="D1287" i="3"/>
  <c r="E1288" i="3"/>
  <c r="F1289" i="3"/>
  <c r="G1290" i="3"/>
  <c r="H1291" i="3"/>
  <c r="I1292" i="3"/>
  <c r="K1293" i="3"/>
  <c r="D1295" i="3"/>
  <c r="E1296" i="3"/>
  <c r="F1297" i="3"/>
  <c r="G1298" i="3"/>
  <c r="H1299" i="3"/>
  <c r="I1300" i="3"/>
  <c r="K1301" i="3"/>
  <c r="D1303" i="3"/>
  <c r="E1304" i="3"/>
  <c r="F1305" i="3"/>
  <c r="G1306" i="3"/>
  <c r="H1307" i="3"/>
  <c r="I1308" i="3"/>
  <c r="K1309" i="3"/>
  <c r="D1311" i="3"/>
  <c r="E1312" i="3"/>
  <c r="F1313" i="3"/>
  <c r="G1314" i="3"/>
  <c r="H1315" i="3"/>
  <c r="I1316" i="3"/>
  <c r="F1899" i="3"/>
  <c r="D2001" i="3"/>
  <c r="G2044" i="3"/>
  <c r="E1401" i="3"/>
  <c r="K1419" i="3"/>
  <c r="E1438" i="3"/>
  <c r="G1456" i="3"/>
  <c r="I1474" i="3"/>
  <c r="D1493" i="3"/>
  <c r="F1511" i="3"/>
  <c r="H1529" i="3"/>
  <c r="K1539" i="3"/>
  <c r="D1549" i="3"/>
  <c r="E1556" i="3"/>
  <c r="I1563" i="3"/>
  <c r="K1570" i="3"/>
  <c r="F1577" i="3"/>
  <c r="K1581" i="3"/>
  <c r="G1586" i="3"/>
  <c r="D1591" i="3"/>
  <c r="H1595" i="3"/>
  <c r="E1600" i="3"/>
  <c r="I1604" i="3"/>
  <c r="F1609" i="3"/>
  <c r="K1613" i="3"/>
  <c r="G1618" i="3"/>
  <c r="D1623" i="3"/>
  <c r="H1627" i="3"/>
  <c r="E1632" i="3"/>
  <c r="I1636" i="3"/>
  <c r="F1641" i="3"/>
  <c r="K1645" i="3"/>
  <c r="G1650" i="3"/>
  <c r="D1655" i="3"/>
  <c r="H1659" i="3"/>
  <c r="E1664" i="3"/>
  <c r="I1668" i="3"/>
  <c r="F1673" i="3"/>
  <c r="K1677" i="3"/>
  <c r="G1682" i="3"/>
  <c r="D1687" i="3"/>
  <c r="H1691" i="3"/>
  <c r="E1696" i="3"/>
  <c r="H1698" i="3"/>
  <c r="K1700" i="3"/>
  <c r="F1042" i="3"/>
  <c r="D1044" i="3"/>
  <c r="K1045" i="3"/>
  <c r="H1047" i="3"/>
  <c r="E1049" i="3"/>
  <c r="G1050" i="3"/>
  <c r="I1051" i="3"/>
  <c r="D1053" i="3"/>
  <c r="F1054" i="3"/>
  <c r="H1055" i="3"/>
  <c r="K1056" i="3"/>
  <c r="F1058" i="3"/>
  <c r="H1059" i="3"/>
  <c r="K1060" i="3"/>
  <c r="D1062" i="3"/>
  <c r="E1063" i="3"/>
  <c r="F1064" i="3"/>
  <c r="G1065" i="3"/>
  <c r="H1066" i="3"/>
  <c r="I1067" i="3"/>
  <c r="K1068" i="3"/>
  <c r="D1070" i="3"/>
  <c r="E1071" i="3"/>
  <c r="F1072" i="3"/>
  <c r="G1073" i="3"/>
  <c r="H1074" i="3"/>
  <c r="I1075" i="3"/>
  <c r="K1076" i="3"/>
  <c r="D1078" i="3"/>
  <c r="E1079" i="3"/>
  <c r="F1080" i="3"/>
  <c r="G1081" i="3"/>
  <c r="H1082" i="3"/>
  <c r="I1083" i="3"/>
  <c r="K1084" i="3"/>
  <c r="D1086" i="3"/>
  <c r="E1087" i="3"/>
  <c r="F1088" i="3"/>
  <c r="G1089" i="3"/>
  <c r="H1090" i="3"/>
  <c r="I1091" i="3"/>
  <c r="K1092" i="3"/>
  <c r="D1094" i="3"/>
  <c r="E1095" i="3"/>
  <c r="F1096" i="3"/>
  <c r="G1097" i="3"/>
  <c r="H1098" i="3"/>
  <c r="I1099" i="3"/>
  <c r="K1100" i="3"/>
  <c r="D1102" i="3"/>
  <c r="E1103" i="3"/>
  <c r="F1104" i="3"/>
  <c r="G1105" i="3"/>
  <c r="H1106" i="3"/>
  <c r="I1107" i="3"/>
  <c r="K1108" i="3"/>
  <c r="D1110" i="3"/>
  <c r="E1111" i="3"/>
  <c r="F1112" i="3"/>
  <c r="G1113" i="3"/>
  <c r="H1114" i="3"/>
  <c r="I1115" i="3"/>
  <c r="K1116" i="3"/>
  <c r="D1118" i="3"/>
  <c r="E1119" i="3"/>
  <c r="F1120" i="3"/>
  <c r="G1121" i="3"/>
  <c r="H1122" i="3"/>
  <c r="I1123" i="3"/>
  <c r="K1124" i="3"/>
  <c r="D1126" i="3"/>
  <c r="E1127" i="3"/>
  <c r="F1128" i="3"/>
  <c r="G1129" i="3"/>
  <c r="H1130" i="3"/>
  <c r="I1131" i="3"/>
  <c r="K1132" i="3"/>
  <c r="D1134" i="3"/>
  <c r="E1135" i="3"/>
  <c r="F1136" i="3"/>
  <c r="G1137" i="3"/>
  <c r="H1138" i="3"/>
  <c r="I1139" i="3"/>
  <c r="K1140" i="3"/>
  <c r="D1142" i="3"/>
  <c r="E1143" i="3"/>
  <c r="F1144" i="3"/>
  <c r="G1145" i="3"/>
  <c r="H1146" i="3"/>
  <c r="I1147" i="3"/>
  <c r="K1148" i="3"/>
  <c r="D1150" i="3"/>
  <c r="E1151" i="3"/>
  <c r="F1152" i="3"/>
  <c r="G1153" i="3"/>
  <c r="H1154" i="3"/>
  <c r="I1155" i="3"/>
  <c r="K1156" i="3"/>
  <c r="D1158" i="3"/>
  <c r="E1159" i="3"/>
  <c r="F1160" i="3"/>
  <c r="G1161" i="3"/>
  <c r="H1162" i="3"/>
  <c r="I1163" i="3"/>
  <c r="K1164" i="3"/>
  <c r="D1166" i="3"/>
  <c r="E1167" i="3"/>
  <c r="F1168" i="3"/>
  <c r="G1169" i="3"/>
  <c r="H1170" i="3"/>
  <c r="I1171" i="3"/>
  <c r="K1172" i="3"/>
  <c r="D1174" i="3"/>
  <c r="E1175" i="3"/>
  <c r="F1176" i="3"/>
  <c r="G1177" i="3"/>
  <c r="H1178" i="3"/>
  <c r="I1179" i="3"/>
  <c r="K1180" i="3"/>
  <c r="D1182" i="3"/>
  <c r="E1183" i="3"/>
  <c r="F1184" i="3"/>
  <c r="G1185" i="3"/>
  <c r="H1186" i="3"/>
  <c r="I1187" i="3"/>
  <c r="K1188" i="3"/>
  <c r="D1190" i="3"/>
  <c r="E1191" i="3"/>
  <c r="F1192" i="3"/>
  <c r="G1193" i="3"/>
  <c r="H1194" i="3"/>
  <c r="I1195" i="3"/>
  <c r="K1196" i="3"/>
  <c r="D1198" i="3"/>
  <c r="E1199" i="3"/>
  <c r="F1200" i="3"/>
  <c r="G1201" i="3"/>
  <c r="H1202" i="3"/>
  <c r="I1203" i="3"/>
  <c r="K1204" i="3"/>
  <c r="D1206" i="3"/>
  <c r="E1207" i="3"/>
  <c r="F1208" i="3"/>
  <c r="G1209" i="3"/>
  <c r="H1210" i="3"/>
  <c r="I1211" i="3"/>
  <c r="K1212" i="3"/>
  <c r="D1214" i="3"/>
  <c r="E1215" i="3"/>
  <c r="F1216" i="3"/>
  <c r="G1217" i="3"/>
  <c r="H1218" i="3"/>
  <c r="I1219" i="3"/>
  <c r="K1220" i="3"/>
  <c r="D1222" i="3"/>
  <c r="E1223" i="3"/>
  <c r="F1224" i="3"/>
  <c r="G1225" i="3"/>
  <c r="H1226" i="3"/>
  <c r="I1227" i="3"/>
  <c r="K1228" i="3"/>
  <c r="D1230" i="3"/>
  <c r="E1231" i="3"/>
  <c r="F1232" i="3"/>
  <c r="G1233" i="3"/>
  <c r="H1234" i="3"/>
  <c r="I1235" i="3"/>
  <c r="K1236" i="3"/>
  <c r="D1238" i="3"/>
  <c r="E1239" i="3"/>
  <c r="F1240" i="3"/>
  <c r="G1241" i="3"/>
  <c r="H1242" i="3"/>
  <c r="I1243" i="3"/>
  <c r="K1244" i="3"/>
  <c r="D1246" i="3"/>
  <c r="E1247" i="3"/>
  <c r="F1248" i="3"/>
  <c r="G1249" i="3"/>
  <c r="H1250" i="3"/>
  <c r="I1251" i="3"/>
  <c r="K1252" i="3"/>
  <c r="D1254" i="3"/>
  <c r="E1255" i="3"/>
  <c r="F1256" i="3"/>
  <c r="G1257" i="3"/>
  <c r="H1258" i="3"/>
  <c r="I1259" i="3"/>
  <c r="K1260" i="3"/>
  <c r="D1262" i="3"/>
  <c r="E1263" i="3"/>
  <c r="F1264" i="3"/>
  <c r="G1265" i="3"/>
  <c r="H1266" i="3"/>
  <c r="I1267" i="3"/>
  <c r="K1268" i="3"/>
  <c r="D1270" i="3"/>
  <c r="E1271" i="3"/>
  <c r="F1272" i="3"/>
  <c r="G1273" i="3"/>
  <c r="H1274" i="3"/>
  <c r="I1275" i="3"/>
  <c r="K1276" i="3"/>
  <c r="D1278" i="3"/>
  <c r="E1279" i="3"/>
  <c r="F1280" i="3"/>
  <c r="G1281" i="3"/>
  <c r="H1282" i="3"/>
  <c r="I1283" i="3"/>
  <c r="K1284" i="3"/>
  <c r="D1286" i="3"/>
  <c r="E1287" i="3"/>
  <c r="G1908" i="3"/>
  <c r="H2005" i="3"/>
  <c r="K2045" i="3"/>
  <c r="H1402" i="3"/>
  <c r="D1421" i="3"/>
  <c r="F1439" i="3"/>
  <c r="H1457" i="3"/>
  <c r="K1475" i="3"/>
  <c r="E1494" i="3"/>
  <c r="G1512" i="3"/>
  <c r="I1530" i="3"/>
  <c r="H1540" i="3"/>
  <c r="F1549" i="3"/>
  <c r="K1556" i="3"/>
  <c r="D1564" i="3"/>
  <c r="G1571" i="3"/>
  <c r="H1577" i="3"/>
  <c r="E1582" i="3"/>
  <c r="I1586" i="3"/>
  <c r="F1591" i="3"/>
  <c r="K1595" i="3"/>
  <c r="G1600" i="3"/>
  <c r="D1605" i="3"/>
  <c r="H1609" i="3"/>
  <c r="E1614" i="3"/>
  <c r="I1618" i="3"/>
  <c r="F1623" i="3"/>
  <c r="K1627" i="3"/>
  <c r="G1632" i="3"/>
  <c r="D1637" i="3"/>
  <c r="H1641" i="3"/>
  <c r="E1646" i="3"/>
  <c r="I1650" i="3"/>
  <c r="F1655" i="3"/>
  <c r="L1655" i="3" s="1"/>
  <c r="K1659" i="3"/>
  <c r="G1664" i="3"/>
  <c r="D1669" i="3"/>
  <c r="H1673" i="3"/>
  <c r="E1678" i="3"/>
  <c r="I1682" i="3"/>
  <c r="F1687" i="3"/>
  <c r="K1691" i="3"/>
  <c r="G1696" i="3"/>
  <c r="I1698" i="3"/>
  <c r="G1042" i="3"/>
  <c r="E1044" i="3"/>
  <c r="E1046" i="3"/>
  <c r="D1048" i="3"/>
  <c r="F1049" i="3"/>
  <c r="H1050" i="3"/>
  <c r="K1051" i="3"/>
  <c r="E1053" i="3"/>
  <c r="G1054" i="3"/>
  <c r="I1055" i="3"/>
  <c r="E1057" i="3"/>
  <c r="G1058" i="3"/>
  <c r="I1059" i="3"/>
  <c r="D1061" i="3"/>
  <c r="E1062" i="3"/>
  <c r="F1063" i="3"/>
  <c r="G1064" i="3"/>
  <c r="H1065" i="3"/>
  <c r="I1066" i="3"/>
  <c r="K1067" i="3"/>
  <c r="D1069" i="3"/>
  <c r="E1070" i="3"/>
  <c r="F1071" i="3"/>
  <c r="G1072" i="3"/>
  <c r="H1073" i="3"/>
  <c r="I1074" i="3"/>
  <c r="K1075" i="3"/>
  <c r="D1077" i="3"/>
  <c r="E1078" i="3"/>
  <c r="F1079" i="3"/>
  <c r="G1080" i="3"/>
  <c r="H1081" i="3"/>
  <c r="I1082" i="3"/>
  <c r="K1083" i="3"/>
  <c r="D1085" i="3"/>
  <c r="E1086" i="3"/>
  <c r="F1087" i="3"/>
  <c r="G1088" i="3"/>
  <c r="H1089" i="3"/>
  <c r="I1090" i="3"/>
  <c r="K1091" i="3"/>
  <c r="D1093" i="3"/>
  <c r="E1094" i="3"/>
  <c r="F1095" i="3"/>
  <c r="G1096" i="3"/>
  <c r="H1097" i="3"/>
  <c r="I1098" i="3"/>
  <c r="K1099" i="3"/>
  <c r="D1101" i="3"/>
  <c r="E1102" i="3"/>
  <c r="F1103" i="3"/>
  <c r="G1104" i="3"/>
  <c r="H1105" i="3"/>
  <c r="I1106" i="3"/>
  <c r="K1107" i="3"/>
  <c r="D1109" i="3"/>
  <c r="E1110" i="3"/>
  <c r="F1111" i="3"/>
  <c r="G1112" i="3"/>
  <c r="H1113" i="3"/>
  <c r="I1114" i="3"/>
  <c r="K1115" i="3"/>
  <c r="D1117" i="3"/>
  <c r="E1118" i="3"/>
  <c r="F1119" i="3"/>
  <c r="G1120" i="3"/>
  <c r="H1121" i="3"/>
  <c r="I1122" i="3"/>
  <c r="K1123" i="3"/>
  <c r="D1125" i="3"/>
  <c r="E1126" i="3"/>
  <c r="F1127" i="3"/>
  <c r="G1128" i="3"/>
  <c r="H1129" i="3"/>
  <c r="I1130" i="3"/>
  <c r="K1131" i="3"/>
  <c r="D1133" i="3"/>
  <c r="E1134" i="3"/>
  <c r="F1135" i="3"/>
  <c r="G1136" i="3"/>
  <c r="H1137" i="3"/>
  <c r="I1138" i="3"/>
  <c r="K1139" i="3"/>
  <c r="D1141" i="3"/>
  <c r="E1142" i="3"/>
  <c r="F1143" i="3"/>
  <c r="G1144" i="3"/>
  <c r="H1145" i="3"/>
  <c r="I1146" i="3"/>
  <c r="K1147" i="3"/>
  <c r="D1149" i="3"/>
  <c r="E1150" i="3"/>
  <c r="F1151" i="3"/>
  <c r="G1152" i="3"/>
  <c r="H1153" i="3"/>
  <c r="I1154" i="3"/>
  <c r="K1155" i="3"/>
  <c r="D1157" i="3"/>
  <c r="E1158" i="3"/>
  <c r="F1159" i="3"/>
  <c r="G1160" i="3"/>
  <c r="H1161" i="3"/>
  <c r="I1162" i="3"/>
  <c r="K1163" i="3"/>
  <c r="D1165" i="3"/>
  <c r="E1166" i="3"/>
  <c r="F1167" i="3"/>
  <c r="G1168" i="3"/>
  <c r="H1169" i="3"/>
  <c r="I1170" i="3"/>
  <c r="K1171" i="3"/>
  <c r="D1173" i="3"/>
  <c r="E1174" i="3"/>
  <c r="F1175" i="3"/>
  <c r="G1176" i="3"/>
  <c r="H1177" i="3"/>
  <c r="I1178" i="3"/>
  <c r="K1179" i="3"/>
  <c r="D1181" i="3"/>
  <c r="E1182" i="3"/>
  <c r="F1183" i="3"/>
  <c r="G1184" i="3"/>
  <c r="H1185" i="3"/>
  <c r="I1186" i="3"/>
  <c r="K1187" i="3"/>
  <c r="D1189" i="3"/>
  <c r="E1190" i="3"/>
  <c r="F1191" i="3"/>
  <c r="G1192" i="3"/>
  <c r="H1193" i="3"/>
  <c r="I1194" i="3"/>
  <c r="K1195" i="3"/>
  <c r="D1197" i="3"/>
  <c r="E1198" i="3"/>
  <c r="F1199" i="3"/>
  <c r="G1200" i="3"/>
  <c r="H1201" i="3"/>
  <c r="I1202" i="3"/>
  <c r="K1203" i="3"/>
  <c r="D1205" i="3"/>
  <c r="E1206" i="3"/>
  <c r="F1207" i="3"/>
  <c r="G1208" i="3"/>
  <c r="H1209" i="3"/>
  <c r="I1210" i="3"/>
  <c r="K1211" i="3"/>
  <c r="D1213" i="3"/>
  <c r="E1214" i="3"/>
  <c r="F1215" i="3"/>
  <c r="G1216" i="3"/>
  <c r="H1217" i="3"/>
  <c r="I1218" i="3"/>
  <c r="K1219" i="3"/>
  <c r="D1221" i="3"/>
  <c r="E1222" i="3"/>
  <c r="F1223" i="3"/>
  <c r="G1224" i="3"/>
  <c r="H1225" i="3"/>
  <c r="I1226" i="3"/>
  <c r="K1227" i="3"/>
  <c r="D1229" i="3"/>
  <c r="E1230" i="3"/>
  <c r="F1231" i="3"/>
  <c r="G1232" i="3"/>
  <c r="H1233" i="3"/>
  <c r="I1234" i="3"/>
  <c r="K1235" i="3"/>
  <c r="D1237" i="3"/>
  <c r="E1238" i="3"/>
  <c r="F1239" i="3"/>
  <c r="G1240" i="3"/>
  <c r="H1241" i="3"/>
  <c r="I1242" i="3"/>
  <c r="K1243" i="3"/>
  <c r="D1245" i="3"/>
  <c r="E1246" i="3"/>
  <c r="F1247" i="3"/>
  <c r="G1248" i="3"/>
  <c r="H1249" i="3"/>
  <c r="I1250" i="3"/>
  <c r="K1251" i="3"/>
  <c r="D1253" i="3"/>
  <c r="E1254" i="3"/>
  <c r="F1255" i="3"/>
  <c r="G1256" i="3"/>
  <c r="H1257" i="3"/>
  <c r="I1258" i="3"/>
  <c r="K1259" i="3"/>
  <c r="D1261" i="3"/>
  <c r="E1262" i="3"/>
  <c r="F1263" i="3"/>
  <c r="G1264" i="3"/>
  <c r="H1265" i="3"/>
  <c r="I1266" i="3"/>
  <c r="K1267" i="3"/>
  <c r="D1269" i="3"/>
  <c r="E1270" i="3"/>
  <c r="F1271" i="3"/>
  <c r="G1272" i="3"/>
  <c r="H1273" i="3"/>
  <c r="I1274" i="3"/>
  <c r="K1275" i="3"/>
  <c r="D1277" i="3"/>
  <c r="E1278" i="3"/>
  <c r="F1279" i="3"/>
  <c r="G1280" i="3"/>
  <c r="H1281" i="3"/>
  <c r="I1282" i="3"/>
  <c r="K1283" i="3"/>
  <c r="D1285" i="3"/>
  <c r="E1286" i="3"/>
  <c r="F1287" i="3"/>
  <c r="G1288" i="3"/>
  <c r="H1289" i="3"/>
  <c r="I1290" i="3"/>
  <c r="K1291" i="3"/>
  <c r="D1293" i="3"/>
  <c r="E1294" i="3"/>
  <c r="F1295" i="3"/>
  <c r="G1296" i="3"/>
  <c r="H1297" i="3"/>
  <c r="I1298" i="3"/>
  <c r="K1299" i="3"/>
  <c r="D1301" i="3"/>
  <c r="E1302" i="3"/>
  <c r="F1303" i="3"/>
  <c r="K1935" i="3"/>
  <c r="E2019" i="3"/>
  <c r="E1406" i="3"/>
  <c r="G1424" i="3"/>
  <c r="I1442" i="3"/>
  <c r="D1461" i="3"/>
  <c r="F1479" i="3"/>
  <c r="H1497" i="3"/>
  <c r="K1515" i="3"/>
  <c r="D1533" i="3"/>
  <c r="E1542" i="3"/>
  <c r="K1550" i="3"/>
  <c r="E1558" i="3"/>
  <c r="F1565" i="3"/>
  <c r="K1572" i="3"/>
  <c r="G1578" i="3"/>
  <c r="D1583" i="3"/>
  <c r="H1587" i="3"/>
  <c r="E1592" i="3"/>
  <c r="I1596" i="3"/>
  <c r="F1601" i="3"/>
  <c r="K1605" i="3"/>
  <c r="G1610" i="3"/>
  <c r="D1615" i="3"/>
  <c r="H1619" i="3"/>
  <c r="E1624" i="3"/>
  <c r="I1628" i="3"/>
  <c r="F1633" i="3"/>
  <c r="K1637" i="3"/>
  <c r="G1642" i="3"/>
  <c r="D1647" i="3"/>
  <c r="H1651" i="3"/>
  <c r="E1656" i="3"/>
  <c r="I1660" i="3"/>
  <c r="F1665" i="3"/>
  <c r="K1669" i="3"/>
  <c r="G1674" i="3"/>
  <c r="D1679" i="3"/>
  <c r="H1683" i="3"/>
  <c r="E1688" i="3"/>
  <c r="I1692" i="3"/>
  <c r="D1697" i="3"/>
  <c r="F1699" i="3"/>
  <c r="I1042" i="3"/>
  <c r="H1044" i="3"/>
  <c r="F1046" i="3"/>
  <c r="E1048" i="3"/>
  <c r="G1049" i="3"/>
  <c r="I1050" i="3"/>
  <c r="D1052" i="3"/>
  <c r="F1053" i="3"/>
  <c r="H1054" i="3"/>
  <c r="D1056" i="3"/>
  <c r="F1057" i="3"/>
  <c r="H1058" i="3"/>
  <c r="K1059" i="3"/>
  <c r="E1061" i="3"/>
  <c r="F1062" i="3"/>
  <c r="G1063" i="3"/>
  <c r="H1064" i="3"/>
  <c r="I1065" i="3"/>
  <c r="K1066" i="3"/>
  <c r="D1068" i="3"/>
  <c r="E1069" i="3"/>
  <c r="F1070" i="3"/>
  <c r="G1071" i="3"/>
  <c r="H1072" i="3"/>
  <c r="I1073" i="3"/>
  <c r="K1074" i="3"/>
  <c r="D1076" i="3"/>
  <c r="E1077" i="3"/>
  <c r="F1078" i="3"/>
  <c r="G1079" i="3"/>
  <c r="H1080" i="3"/>
  <c r="I1081" i="3"/>
  <c r="K1082" i="3"/>
  <c r="D1084" i="3"/>
  <c r="E1085" i="3"/>
  <c r="F1086" i="3"/>
  <c r="G1087" i="3"/>
  <c r="H1088" i="3"/>
  <c r="I1089" i="3"/>
  <c r="K1090" i="3"/>
  <c r="D1092" i="3"/>
  <c r="E1093" i="3"/>
  <c r="F1094" i="3"/>
  <c r="G1095" i="3"/>
  <c r="H1096" i="3"/>
  <c r="I1097" i="3"/>
  <c r="K1098" i="3"/>
  <c r="D1100" i="3"/>
  <c r="E1101" i="3"/>
  <c r="F1102" i="3"/>
  <c r="G1103" i="3"/>
  <c r="H1104" i="3"/>
  <c r="I1105" i="3"/>
  <c r="K1106" i="3"/>
  <c r="D1108" i="3"/>
  <c r="E1109" i="3"/>
  <c r="F1110" i="3"/>
  <c r="G1111" i="3"/>
  <c r="H1112" i="3"/>
  <c r="I1113" i="3"/>
  <c r="K1114" i="3"/>
  <c r="D1116" i="3"/>
  <c r="E1117" i="3"/>
  <c r="F1118" i="3"/>
  <c r="G1119" i="3"/>
  <c r="H1120" i="3"/>
  <c r="I1121" i="3"/>
  <c r="K1122" i="3"/>
  <c r="D1124" i="3"/>
  <c r="E1125" i="3"/>
  <c r="F1126" i="3"/>
  <c r="G1127" i="3"/>
  <c r="H1128" i="3"/>
  <c r="I1129" i="3"/>
  <c r="K1130" i="3"/>
  <c r="D1132" i="3"/>
  <c r="E1133" i="3"/>
  <c r="F1134" i="3"/>
  <c r="G1135" i="3"/>
  <c r="H1136" i="3"/>
  <c r="I1137" i="3"/>
  <c r="K1138" i="3"/>
  <c r="D1140" i="3"/>
  <c r="E1141" i="3"/>
  <c r="F1142" i="3"/>
  <c r="G1143" i="3"/>
  <c r="H1144" i="3"/>
  <c r="I1145" i="3"/>
  <c r="K1146" i="3"/>
  <c r="D1148" i="3"/>
  <c r="E1149" i="3"/>
  <c r="F1150" i="3"/>
  <c r="G1151" i="3"/>
  <c r="H1152" i="3"/>
  <c r="I1153" i="3"/>
  <c r="K1154" i="3"/>
  <c r="D1156" i="3"/>
  <c r="E1157" i="3"/>
  <c r="F1158" i="3"/>
  <c r="G1159" i="3"/>
  <c r="H1160" i="3"/>
  <c r="I1161" i="3"/>
  <c r="K1162" i="3"/>
  <c r="D1164" i="3"/>
  <c r="E1165" i="3"/>
  <c r="F1166" i="3"/>
  <c r="G1167" i="3"/>
  <c r="H1168" i="3"/>
  <c r="I1169" i="3"/>
  <c r="K1170" i="3"/>
  <c r="D1172" i="3"/>
  <c r="E1173" i="3"/>
  <c r="F1174" i="3"/>
  <c r="G1175" i="3"/>
  <c r="H1176" i="3"/>
  <c r="I1177" i="3"/>
  <c r="K1178" i="3"/>
  <c r="D1180" i="3"/>
  <c r="E1181" i="3"/>
  <c r="F1182" i="3"/>
  <c r="G1183" i="3"/>
  <c r="H1184" i="3"/>
  <c r="I1185" i="3"/>
  <c r="K1186" i="3"/>
  <c r="D1188" i="3"/>
  <c r="E1189" i="3"/>
  <c r="F1190" i="3"/>
  <c r="G1191" i="3"/>
  <c r="H1192" i="3"/>
  <c r="I1193" i="3"/>
  <c r="K1194" i="3"/>
  <c r="D1196" i="3"/>
  <c r="E1197" i="3"/>
  <c r="F1198" i="3"/>
  <c r="G1199" i="3"/>
  <c r="H1200" i="3"/>
  <c r="I1201" i="3"/>
  <c r="K1202" i="3"/>
  <c r="D1204" i="3"/>
  <c r="E1205" i="3"/>
  <c r="F1206" i="3"/>
  <c r="G1207" i="3"/>
  <c r="H1208" i="3"/>
  <c r="I1209" i="3"/>
  <c r="K1210" i="3"/>
  <c r="D1212" i="3"/>
  <c r="E1213" i="3"/>
  <c r="F1214" i="3"/>
  <c r="G1215" i="3"/>
  <c r="H1216" i="3"/>
  <c r="I1217" i="3"/>
  <c r="K1218" i="3"/>
  <c r="D1220" i="3"/>
  <c r="E1221" i="3"/>
  <c r="F1222" i="3"/>
  <c r="G1223" i="3"/>
  <c r="H1224" i="3"/>
  <c r="I1225" i="3"/>
  <c r="K1226" i="3"/>
  <c r="D1228" i="3"/>
  <c r="E1229" i="3"/>
  <c r="F1230" i="3"/>
  <c r="G1231" i="3"/>
  <c r="H1232" i="3"/>
  <c r="I1233" i="3"/>
  <c r="K1234" i="3"/>
  <c r="D1236" i="3"/>
  <c r="E1237" i="3"/>
  <c r="F1238" i="3"/>
  <c r="G1239" i="3"/>
  <c r="H1240" i="3"/>
  <c r="I1241" i="3"/>
  <c r="K1242" i="3"/>
  <c r="D1244" i="3"/>
  <c r="E1245" i="3"/>
  <c r="F1246" i="3"/>
  <c r="G1247" i="3"/>
  <c r="H1248" i="3"/>
  <c r="I1249" i="3"/>
  <c r="K1250" i="3"/>
  <c r="D1252" i="3"/>
  <c r="E1253" i="3"/>
  <c r="F1254" i="3"/>
  <c r="G1255" i="3"/>
  <c r="H1256" i="3"/>
  <c r="I1257" i="3"/>
  <c r="K1258" i="3"/>
  <c r="D1260" i="3"/>
  <c r="E1261" i="3"/>
  <c r="F1262" i="3"/>
  <c r="G1263" i="3"/>
  <c r="H1264" i="3"/>
  <c r="I1265" i="3"/>
  <c r="K1266" i="3"/>
  <c r="D1268" i="3"/>
  <c r="E1269" i="3"/>
  <c r="F1270" i="3"/>
  <c r="G1271" i="3"/>
  <c r="H1272" i="3"/>
  <c r="I1273" i="3"/>
  <c r="K1274" i="3"/>
  <c r="D1276" i="3"/>
  <c r="E1277" i="3"/>
  <c r="F1278" i="3"/>
  <c r="G1279" i="3"/>
  <c r="H1280" i="3"/>
  <c r="I1281" i="3"/>
  <c r="K1282" i="3"/>
  <c r="D1284" i="3"/>
  <c r="E1285" i="3"/>
  <c r="F1286" i="3"/>
  <c r="G1287" i="3"/>
  <c r="H1288" i="3"/>
  <c r="I1289" i="3"/>
  <c r="K1290" i="3"/>
  <c r="D1292" i="3"/>
  <c r="E1293" i="3"/>
  <c r="F1294" i="3"/>
  <c r="G1295" i="3"/>
  <c r="H1296" i="3"/>
  <c r="I1297" i="3"/>
  <c r="K1298" i="3"/>
  <c r="D1300" i="3"/>
  <c r="E1301" i="3"/>
  <c r="F1302" i="3"/>
  <c r="G1303" i="3"/>
  <c r="H1304" i="3"/>
  <c r="I1305" i="3"/>
  <c r="K1306" i="3"/>
  <c r="D1308" i="3"/>
  <c r="E1309" i="3"/>
  <c r="F1310" i="3"/>
  <c r="G1311" i="3"/>
  <c r="H1312" i="3"/>
  <c r="I1313" i="3"/>
  <c r="K1314" i="3"/>
  <c r="D1316" i="3"/>
  <c r="E1317" i="3"/>
  <c r="F1318" i="3"/>
  <c r="E1761" i="3"/>
  <c r="E1944" i="3"/>
  <c r="E2022" i="3"/>
  <c r="F1407" i="3"/>
  <c r="H1425" i="3"/>
  <c r="K1443" i="3"/>
  <c r="E1462" i="3"/>
  <c r="G1480" i="3"/>
  <c r="I1498" i="3"/>
  <c r="D1517" i="3"/>
  <c r="I1533" i="3"/>
  <c r="K1542" i="3"/>
  <c r="F1551" i="3"/>
  <c r="G1558" i="3"/>
  <c r="D1566" i="3"/>
  <c r="E1573" i="3"/>
  <c r="I1578" i="3"/>
  <c r="F1583" i="3"/>
  <c r="K1587" i="3"/>
  <c r="G1592" i="3"/>
  <c r="D1597" i="3"/>
  <c r="H1601" i="3"/>
  <c r="E1606" i="3"/>
  <c r="I1610" i="3"/>
  <c r="F1615" i="3"/>
  <c r="K1619" i="3"/>
  <c r="G1624" i="3"/>
  <c r="D1629" i="3"/>
  <c r="H1633" i="3"/>
  <c r="E1638" i="3"/>
  <c r="I1642" i="3"/>
  <c r="F1647" i="3"/>
  <c r="K1651" i="3"/>
  <c r="G1656" i="3"/>
  <c r="D1661" i="3"/>
  <c r="H1665" i="3"/>
  <c r="E1670" i="3"/>
  <c r="I1674" i="3"/>
  <c r="F1679" i="3"/>
  <c r="L1679" i="3" s="1"/>
  <c r="K1683" i="3"/>
  <c r="G1688" i="3"/>
  <c r="D1693" i="3"/>
  <c r="F1697" i="3"/>
  <c r="H1699" i="3"/>
  <c r="K1386" i="3"/>
  <c r="K1042" i="3"/>
  <c r="I1044" i="3"/>
  <c r="G1046" i="3"/>
  <c r="F1048" i="3"/>
  <c r="H1049" i="3"/>
  <c r="K1050" i="3"/>
  <c r="E1052" i="3"/>
  <c r="G1053" i="3"/>
  <c r="K1054" i="3"/>
  <c r="E1056" i="3"/>
  <c r="G1057" i="3"/>
  <c r="I1058" i="3"/>
  <c r="D1060" i="3"/>
  <c r="F1061" i="3"/>
  <c r="G1062" i="3"/>
  <c r="H1063" i="3"/>
  <c r="I1064" i="3"/>
  <c r="K1065" i="3"/>
  <c r="D1067" i="3"/>
  <c r="E1068" i="3"/>
  <c r="F1069" i="3"/>
  <c r="G1070" i="3"/>
  <c r="H1071" i="3"/>
  <c r="I1072" i="3"/>
  <c r="K1073" i="3"/>
  <c r="D1075" i="3"/>
  <c r="E1076" i="3"/>
  <c r="F1077" i="3"/>
  <c r="G1078" i="3"/>
  <c r="H1079" i="3"/>
  <c r="I1080" i="3"/>
  <c r="K1081" i="3"/>
  <c r="D1083" i="3"/>
  <c r="E1084" i="3"/>
  <c r="F1085" i="3"/>
  <c r="G1086" i="3"/>
  <c r="H1087" i="3"/>
  <c r="I1088" i="3"/>
  <c r="K1089" i="3"/>
  <c r="D1091" i="3"/>
  <c r="E1092" i="3"/>
  <c r="F1093" i="3"/>
  <c r="G1094" i="3"/>
  <c r="H1095" i="3"/>
  <c r="I1096" i="3"/>
  <c r="K1097" i="3"/>
  <c r="D1099" i="3"/>
  <c r="E1100" i="3"/>
  <c r="F1101" i="3"/>
  <c r="G1102" i="3"/>
  <c r="H1103" i="3"/>
  <c r="I1104" i="3"/>
  <c r="K1105" i="3"/>
  <c r="D1107" i="3"/>
  <c r="E1108" i="3"/>
  <c r="F1109" i="3"/>
  <c r="G1110" i="3"/>
  <c r="H1111" i="3"/>
  <c r="I1112" i="3"/>
  <c r="K1113" i="3"/>
  <c r="D1115" i="3"/>
  <c r="E1116" i="3"/>
  <c r="F1117" i="3"/>
  <c r="G1118" i="3"/>
  <c r="H1119" i="3"/>
  <c r="I1120" i="3"/>
  <c r="K1121" i="3"/>
  <c r="D1123" i="3"/>
  <c r="E1124" i="3"/>
  <c r="F1125" i="3"/>
  <c r="G1126" i="3"/>
  <c r="H1127" i="3"/>
  <c r="I1128" i="3"/>
  <c r="K1129" i="3"/>
  <c r="D1131" i="3"/>
  <c r="E1132" i="3"/>
  <c r="F1133" i="3"/>
  <c r="G1134" i="3"/>
  <c r="H1135" i="3"/>
  <c r="I1136" i="3"/>
  <c r="K1137" i="3"/>
  <c r="D1139" i="3"/>
  <c r="E1140" i="3"/>
  <c r="F1141" i="3"/>
  <c r="G1142" i="3"/>
  <c r="H1143" i="3"/>
  <c r="I1144" i="3"/>
  <c r="K1145" i="3"/>
  <c r="D1147" i="3"/>
  <c r="E1148" i="3"/>
  <c r="F1149" i="3"/>
  <c r="G1150" i="3"/>
  <c r="H1151" i="3"/>
  <c r="I1152" i="3"/>
  <c r="K1153" i="3"/>
  <c r="D1155" i="3"/>
  <c r="E1156" i="3"/>
  <c r="F1157" i="3"/>
  <c r="G1158" i="3"/>
  <c r="H1159" i="3"/>
  <c r="I1160" i="3"/>
  <c r="K1161" i="3"/>
  <c r="D1163" i="3"/>
  <c r="E1164" i="3"/>
  <c r="F1165" i="3"/>
  <c r="G1166" i="3"/>
  <c r="H1167" i="3"/>
  <c r="I1168" i="3"/>
  <c r="K1169" i="3"/>
  <c r="D1171" i="3"/>
  <c r="E1172" i="3"/>
  <c r="F1173" i="3"/>
  <c r="G1174" i="3"/>
  <c r="H1175" i="3"/>
  <c r="I1176" i="3"/>
  <c r="K1177" i="3"/>
  <c r="D1179" i="3"/>
  <c r="E1180" i="3"/>
  <c r="F1181" i="3"/>
  <c r="G1182" i="3"/>
  <c r="H1183" i="3"/>
  <c r="I1184" i="3"/>
  <c r="K1185" i="3"/>
  <c r="D1187" i="3"/>
  <c r="E1188" i="3"/>
  <c r="F1189" i="3"/>
  <c r="G1190" i="3"/>
  <c r="H1191" i="3"/>
  <c r="I1192" i="3"/>
  <c r="K1193" i="3"/>
  <c r="D1195" i="3"/>
  <c r="E1196" i="3"/>
  <c r="F1197" i="3"/>
  <c r="G1198" i="3"/>
  <c r="H1199" i="3"/>
  <c r="I1200" i="3"/>
  <c r="K1201" i="3"/>
  <c r="D1203" i="3"/>
  <c r="E1204" i="3"/>
  <c r="F1205" i="3"/>
  <c r="G1206" i="3"/>
  <c r="H1207" i="3"/>
  <c r="I1208" i="3"/>
  <c r="K1209" i="3"/>
  <c r="D1211" i="3"/>
  <c r="E1212" i="3"/>
  <c r="F1213" i="3"/>
  <c r="G1214" i="3"/>
  <c r="H1215" i="3"/>
  <c r="I1216" i="3"/>
  <c r="K1217" i="3"/>
  <c r="D1219" i="3"/>
  <c r="E1220" i="3"/>
  <c r="F1221" i="3"/>
  <c r="G1222" i="3"/>
  <c r="H1223" i="3"/>
  <c r="I1224" i="3"/>
  <c r="K1225" i="3"/>
  <c r="D1227" i="3"/>
  <c r="E1228" i="3"/>
  <c r="F1229" i="3"/>
  <c r="G1230" i="3"/>
  <c r="H1231" i="3"/>
  <c r="I1232" i="3"/>
  <c r="K1233" i="3"/>
  <c r="D1235" i="3"/>
  <c r="E1236" i="3"/>
  <c r="F1237" i="3"/>
  <c r="G1238" i="3"/>
  <c r="H1239" i="3"/>
  <c r="I1240" i="3"/>
  <c r="K1241" i="3"/>
  <c r="D1243" i="3"/>
  <c r="E1244" i="3"/>
  <c r="F1245" i="3"/>
  <c r="G1246" i="3"/>
  <c r="H1247" i="3"/>
  <c r="I1248" i="3"/>
  <c r="K1249" i="3"/>
  <c r="D1251" i="3"/>
  <c r="E1252" i="3"/>
  <c r="F1253" i="3"/>
  <c r="G1254" i="3"/>
  <c r="H1255" i="3"/>
  <c r="I1256" i="3"/>
  <c r="K1257" i="3"/>
  <c r="D1259" i="3"/>
  <c r="E1260" i="3"/>
  <c r="F1261" i="3"/>
  <c r="G1262" i="3"/>
  <c r="H1263" i="3"/>
  <c r="I1264" i="3"/>
  <c r="K1265" i="3"/>
  <c r="D1267" i="3"/>
  <c r="E1268" i="3"/>
  <c r="F1269" i="3"/>
  <c r="G1270" i="3"/>
  <c r="H1271" i="3"/>
  <c r="I1272" i="3"/>
  <c r="K1273" i="3"/>
  <c r="D1275" i="3"/>
  <c r="E1276" i="3"/>
  <c r="F1277" i="3"/>
  <c r="G1278" i="3"/>
  <c r="H1279" i="3"/>
  <c r="I1280" i="3"/>
  <c r="K1281" i="3"/>
  <c r="D1283" i="3"/>
  <c r="E1284" i="3"/>
  <c r="F1285" i="3"/>
  <c r="G1286" i="3"/>
  <c r="H1287" i="3"/>
  <c r="I1288" i="3"/>
  <c r="K1289" i="3"/>
  <c r="D1291" i="3"/>
  <c r="E1292" i="3"/>
  <c r="F1293" i="3"/>
  <c r="G1294" i="3"/>
  <c r="H1295" i="3"/>
  <c r="I1296" i="3"/>
  <c r="K1297" i="3"/>
  <c r="D1299" i="3"/>
  <c r="E1300" i="3"/>
  <c r="F1301" i="3"/>
  <c r="G1302" i="3"/>
  <c r="H1303" i="3"/>
  <c r="I1304" i="3"/>
  <c r="K1305" i="3"/>
  <c r="D1307" i="3"/>
  <c r="E1308" i="3"/>
  <c r="F1309" i="3"/>
  <c r="G1310" i="3"/>
  <c r="H1311" i="3"/>
  <c r="I1312" i="3"/>
  <c r="K1313" i="3"/>
  <c r="D1315" i="3"/>
  <c r="E1316" i="3"/>
  <c r="F1317" i="3"/>
  <c r="G1318" i="3"/>
  <c r="H1319" i="3"/>
  <c r="I1320" i="3"/>
  <c r="K1321" i="3"/>
  <c r="D1323" i="3"/>
  <c r="E1324" i="3"/>
  <c r="F1325" i="3"/>
  <c r="G1326" i="3"/>
  <c r="H1327" i="3"/>
  <c r="I1328" i="3"/>
  <c r="K1329" i="3"/>
  <c r="D1331" i="3"/>
  <c r="E1332" i="3"/>
  <c r="F1333" i="3"/>
  <c r="G1334" i="3"/>
  <c r="H1335" i="3"/>
  <c r="I1336" i="3"/>
  <c r="K1337" i="3"/>
  <c r="D1339" i="3"/>
  <c r="E1340" i="3"/>
  <c r="F1341" i="3"/>
  <c r="G1342" i="3"/>
  <c r="H1343" i="3"/>
  <c r="I1344" i="3"/>
  <c r="K1345" i="3"/>
  <c r="D1347" i="3"/>
  <c r="E1348" i="3"/>
  <c r="F1349" i="3"/>
  <c r="G1350" i="3"/>
  <c r="H1351" i="3"/>
  <c r="I1352" i="3"/>
  <c r="K1353" i="3"/>
  <c r="D1355" i="3"/>
  <c r="D697" i="3"/>
  <c r="E698" i="3"/>
  <c r="F699" i="3"/>
  <c r="G700" i="3"/>
  <c r="H701" i="3"/>
  <c r="I702" i="3"/>
  <c r="K703" i="3"/>
  <c r="D705" i="3"/>
  <c r="E706" i="3"/>
  <c r="F707" i="3"/>
  <c r="G708" i="3"/>
  <c r="H709" i="3"/>
  <c r="I710" i="3"/>
  <c r="K711" i="3"/>
  <c r="D713" i="3"/>
  <c r="E714" i="3"/>
  <c r="F715" i="3"/>
  <c r="G716" i="3"/>
  <c r="H717" i="3"/>
  <c r="I718" i="3"/>
  <c r="K719" i="3"/>
  <c r="D721" i="3"/>
  <c r="E722" i="3"/>
  <c r="F723" i="3"/>
  <c r="G724" i="3"/>
  <c r="D1969" i="3"/>
  <c r="K1411" i="3"/>
  <c r="D1485" i="3"/>
  <c r="E1545" i="3"/>
  <c r="D1575" i="3"/>
  <c r="H1593" i="3"/>
  <c r="K1611" i="3"/>
  <c r="E1630" i="3"/>
  <c r="G1648" i="3"/>
  <c r="I1666" i="3"/>
  <c r="D1685" i="3"/>
  <c r="K1699" i="3"/>
  <c r="E1045" i="3"/>
  <c r="E1051" i="3"/>
  <c r="G1056" i="3"/>
  <c r="H1061" i="3"/>
  <c r="E1066" i="3"/>
  <c r="I1070" i="3"/>
  <c r="F1075" i="3"/>
  <c r="K1079" i="3"/>
  <c r="G1084" i="3"/>
  <c r="D1089" i="3"/>
  <c r="H1093" i="3"/>
  <c r="E1098" i="3"/>
  <c r="I1102" i="3"/>
  <c r="F1107" i="3"/>
  <c r="K1111" i="3"/>
  <c r="G1116" i="3"/>
  <c r="D1121" i="3"/>
  <c r="H1125" i="3"/>
  <c r="E1130" i="3"/>
  <c r="I1134" i="3"/>
  <c r="F1139" i="3"/>
  <c r="K1143" i="3"/>
  <c r="G1148" i="3"/>
  <c r="D1153" i="3"/>
  <c r="H1157" i="3"/>
  <c r="E1162" i="3"/>
  <c r="I1166" i="3"/>
  <c r="F1171" i="3"/>
  <c r="K1175" i="3"/>
  <c r="G1180" i="3"/>
  <c r="D1185" i="3"/>
  <c r="H1189" i="3"/>
  <c r="E1194" i="3"/>
  <c r="I1198" i="3"/>
  <c r="F1203" i="3"/>
  <c r="K1207" i="3"/>
  <c r="G1212" i="3"/>
  <c r="D1217" i="3"/>
  <c r="H1221" i="3"/>
  <c r="E1226" i="3"/>
  <c r="I1230" i="3"/>
  <c r="F1235" i="3"/>
  <c r="K1239" i="3"/>
  <c r="G1244" i="3"/>
  <c r="D1249" i="3"/>
  <c r="H1253" i="3"/>
  <c r="E1258" i="3"/>
  <c r="I1262" i="3"/>
  <c r="F1267" i="3"/>
  <c r="K1271" i="3"/>
  <c r="G1276" i="3"/>
  <c r="D1281" i="3"/>
  <c r="H1285" i="3"/>
  <c r="G1289" i="3"/>
  <c r="G1292" i="3"/>
  <c r="I1295" i="3"/>
  <c r="H1298" i="3"/>
  <c r="H1301" i="3"/>
  <c r="G1304" i="3"/>
  <c r="I1306" i="3"/>
  <c r="D1309" i="3"/>
  <c r="F1311" i="3"/>
  <c r="H1313" i="3"/>
  <c r="I1315" i="3"/>
  <c r="H1317" i="3"/>
  <c r="D1319" i="3"/>
  <c r="F1320" i="3"/>
  <c r="H1321" i="3"/>
  <c r="K1322" i="3"/>
  <c r="F1324" i="3"/>
  <c r="H1325" i="3"/>
  <c r="K1326" i="3"/>
  <c r="E1328" i="3"/>
  <c r="G1329" i="3"/>
  <c r="I1330" i="3"/>
  <c r="D1332" i="3"/>
  <c r="G1333" i="3"/>
  <c r="I1334" i="3"/>
  <c r="D1336" i="3"/>
  <c r="F1337" i="3"/>
  <c r="H1338" i="3"/>
  <c r="K1339" i="3"/>
  <c r="E1341" i="3"/>
  <c r="H1342" i="3"/>
  <c r="K1343" i="3"/>
  <c r="E1345" i="3"/>
  <c r="G1346" i="3"/>
  <c r="I1347" i="3"/>
  <c r="D1349" i="3"/>
  <c r="F1350" i="3"/>
  <c r="I1351" i="3"/>
  <c r="D1353" i="3"/>
  <c r="F1354" i="3"/>
  <c r="H1355" i="3"/>
  <c r="G1041" i="3"/>
  <c r="I697" i="3"/>
  <c r="D699" i="3"/>
  <c r="F700" i="3"/>
  <c r="I701" i="3"/>
  <c r="D703" i="3"/>
  <c r="F704" i="3"/>
  <c r="H705" i="3"/>
  <c r="K706" i="3"/>
  <c r="E708" i="3"/>
  <c r="G709" i="3"/>
  <c r="K710" i="3"/>
  <c r="E712" i="3"/>
  <c r="G713" i="3"/>
  <c r="I714" i="3"/>
  <c r="D716" i="3"/>
  <c r="F717" i="3"/>
  <c r="H718" i="3"/>
  <c r="D720" i="3"/>
  <c r="F721" i="3"/>
  <c r="H722" i="3"/>
  <c r="K723" i="3"/>
  <c r="E725" i="3"/>
  <c r="F726" i="3"/>
  <c r="G727" i="3"/>
  <c r="H728" i="3"/>
  <c r="I729" i="3"/>
  <c r="K730" i="3"/>
  <c r="D732" i="3"/>
  <c r="E733" i="3"/>
  <c r="F734" i="3"/>
  <c r="G735" i="3"/>
  <c r="H736" i="3"/>
  <c r="I737" i="3"/>
  <c r="K738" i="3"/>
  <c r="D740" i="3"/>
  <c r="E741" i="3"/>
  <c r="F742" i="3"/>
  <c r="G743" i="3"/>
  <c r="H744" i="3"/>
  <c r="I745" i="3"/>
  <c r="K746" i="3"/>
  <c r="D748" i="3"/>
  <c r="E749" i="3"/>
  <c r="F750" i="3"/>
  <c r="G751" i="3"/>
  <c r="H752" i="3"/>
  <c r="I753" i="3"/>
  <c r="K754" i="3"/>
  <c r="D756" i="3"/>
  <c r="E757" i="3"/>
  <c r="F758" i="3"/>
  <c r="G759" i="3"/>
  <c r="H760" i="3"/>
  <c r="I761" i="3"/>
  <c r="K762" i="3"/>
  <c r="D764" i="3"/>
  <c r="E765" i="3"/>
  <c r="F766" i="3"/>
  <c r="G767" i="3"/>
  <c r="H768" i="3"/>
  <c r="I769" i="3"/>
  <c r="K770" i="3"/>
  <c r="D772" i="3"/>
  <c r="E773" i="3"/>
  <c r="F774" i="3"/>
  <c r="G775" i="3"/>
  <c r="H776" i="3"/>
  <c r="I777" i="3"/>
  <c r="K778" i="3"/>
  <c r="D780" i="3"/>
  <c r="E781" i="3"/>
  <c r="F782" i="3"/>
  <c r="G783" i="3"/>
  <c r="H784" i="3"/>
  <c r="I785" i="3"/>
  <c r="K786" i="3"/>
  <c r="D788" i="3"/>
  <c r="E789" i="3"/>
  <c r="F790" i="3"/>
  <c r="G791" i="3"/>
  <c r="H792" i="3"/>
  <c r="I793" i="3"/>
  <c r="K794" i="3"/>
  <c r="D796" i="3"/>
  <c r="E797" i="3"/>
  <c r="F798" i="3"/>
  <c r="G799" i="3"/>
  <c r="H800" i="3"/>
  <c r="I801" i="3"/>
  <c r="K802" i="3"/>
  <c r="D804" i="3"/>
  <c r="E805" i="3"/>
  <c r="F806" i="3"/>
  <c r="G807" i="3"/>
  <c r="H808" i="3"/>
  <c r="I809" i="3"/>
  <c r="K810" i="3"/>
  <c r="D812" i="3"/>
  <c r="E813" i="3"/>
  <c r="F814" i="3"/>
  <c r="G815" i="3"/>
  <c r="H816" i="3"/>
  <c r="I817" i="3"/>
  <c r="K818" i="3"/>
  <c r="D820" i="3"/>
  <c r="E821" i="3"/>
  <c r="F822" i="3"/>
  <c r="G823" i="3"/>
  <c r="H824" i="3"/>
  <c r="I825" i="3"/>
  <c r="K826" i="3"/>
  <c r="D828" i="3"/>
  <c r="E829" i="3"/>
  <c r="F830" i="3"/>
  <c r="G831" i="3"/>
  <c r="H832" i="3"/>
  <c r="I833" i="3"/>
  <c r="K834" i="3"/>
  <c r="D836" i="3"/>
  <c r="E837" i="3"/>
  <c r="F838" i="3"/>
  <c r="G839" i="3"/>
  <c r="H840" i="3"/>
  <c r="I841" i="3"/>
  <c r="K842" i="3"/>
  <c r="D844" i="3"/>
  <c r="E845" i="3"/>
  <c r="F846" i="3"/>
  <c r="G847" i="3"/>
  <c r="H848" i="3"/>
  <c r="I849" i="3"/>
  <c r="K850" i="3"/>
  <c r="D852" i="3"/>
  <c r="E853" i="3"/>
  <c r="F854" i="3"/>
  <c r="G855" i="3"/>
  <c r="H856" i="3"/>
  <c r="I857" i="3"/>
  <c r="K858" i="3"/>
  <c r="D860" i="3"/>
  <c r="E861" i="3"/>
  <c r="F862" i="3"/>
  <c r="G863" i="3"/>
  <c r="H864" i="3"/>
  <c r="I865" i="3"/>
  <c r="K866" i="3"/>
  <c r="D868" i="3"/>
  <c r="E869" i="3"/>
  <c r="F870" i="3"/>
  <c r="G871" i="3"/>
  <c r="H872" i="3"/>
  <c r="I873" i="3"/>
  <c r="K874" i="3"/>
  <c r="I2030" i="3"/>
  <c r="D1429" i="3"/>
  <c r="E1502" i="3"/>
  <c r="H1552" i="3"/>
  <c r="H1579" i="3"/>
  <c r="K1597" i="3"/>
  <c r="E1616" i="3"/>
  <c r="G1634" i="3"/>
  <c r="I1652" i="3"/>
  <c r="D1671" i="3"/>
  <c r="F1689" i="3"/>
  <c r="K1046" i="3"/>
  <c r="F1052" i="3"/>
  <c r="H1057" i="3"/>
  <c r="H1062" i="3"/>
  <c r="E1067" i="3"/>
  <c r="I1071" i="3"/>
  <c r="F1076" i="3"/>
  <c r="K1080" i="3"/>
  <c r="G1085" i="3"/>
  <c r="D1090" i="3"/>
  <c r="H1094" i="3"/>
  <c r="E1099" i="3"/>
  <c r="I1103" i="3"/>
  <c r="F1108" i="3"/>
  <c r="K1112" i="3"/>
  <c r="G1117" i="3"/>
  <c r="D1122" i="3"/>
  <c r="H1126" i="3"/>
  <c r="E1131" i="3"/>
  <c r="I1135" i="3"/>
  <c r="F1140" i="3"/>
  <c r="K1144" i="3"/>
  <c r="G1149" i="3"/>
  <c r="D1154" i="3"/>
  <c r="H1158" i="3"/>
  <c r="E1163" i="3"/>
  <c r="I1167" i="3"/>
  <c r="F1172" i="3"/>
  <c r="K1176" i="3"/>
  <c r="G1181" i="3"/>
  <c r="D1186" i="3"/>
  <c r="H1190" i="3"/>
  <c r="E1195" i="3"/>
  <c r="I1199" i="3"/>
  <c r="F1204" i="3"/>
  <c r="K1208" i="3"/>
  <c r="G1213" i="3"/>
  <c r="D1218" i="3"/>
  <c r="H1222" i="3"/>
  <c r="E1227" i="3"/>
  <c r="I1231" i="3"/>
  <c r="F1236" i="3"/>
  <c r="K1240" i="3"/>
  <c r="G1245" i="3"/>
  <c r="D1250" i="3"/>
  <c r="H1254" i="3"/>
  <c r="E1259" i="3"/>
  <c r="I1263" i="3"/>
  <c r="F1268" i="3"/>
  <c r="K1272" i="3"/>
  <c r="G1277" i="3"/>
  <c r="D1282" i="3"/>
  <c r="H1286" i="3"/>
  <c r="D1290" i="3"/>
  <c r="K1292" i="3"/>
  <c r="K1295" i="3"/>
  <c r="E1299" i="3"/>
  <c r="D1302" i="3"/>
  <c r="K1304" i="3"/>
  <c r="E1307" i="3"/>
  <c r="G1309" i="3"/>
  <c r="I1311" i="3"/>
  <c r="D1314" i="3"/>
  <c r="K1315" i="3"/>
  <c r="I1317" i="3"/>
  <c r="E1319" i="3"/>
  <c r="G1320" i="3"/>
  <c r="I1321" i="3"/>
  <c r="E1323" i="3"/>
  <c r="G1324" i="3"/>
  <c r="I1325" i="3"/>
  <c r="D1327" i="3"/>
  <c r="F1328" i="3"/>
  <c r="H1329" i="3"/>
  <c r="K1330" i="3"/>
  <c r="F1332" i="3"/>
  <c r="H1333" i="3"/>
  <c r="K1334" i="3"/>
  <c r="E1336" i="3"/>
  <c r="G1337" i="3"/>
  <c r="I1338" i="3"/>
  <c r="D1340" i="3"/>
  <c r="G1341" i="3"/>
  <c r="I1342" i="3"/>
  <c r="D1344" i="3"/>
  <c r="F1345" i="3"/>
  <c r="H1346" i="3"/>
  <c r="K1347" i="3"/>
  <c r="E1349" i="3"/>
  <c r="H1350" i="3"/>
  <c r="K1351" i="3"/>
  <c r="E1353" i="3"/>
  <c r="G1354" i="3"/>
  <c r="I1355" i="3"/>
  <c r="F1041" i="3"/>
  <c r="K697" i="3"/>
  <c r="E699" i="3"/>
  <c r="H700" i="3"/>
  <c r="K701" i="3"/>
  <c r="E703" i="3"/>
  <c r="G704" i="3"/>
  <c r="I705" i="3"/>
  <c r="D707" i="3"/>
  <c r="F708" i="3"/>
  <c r="I709" i="3"/>
  <c r="D711" i="3"/>
  <c r="F712" i="3"/>
  <c r="H713" i="3"/>
  <c r="K714" i="3"/>
  <c r="E716" i="3"/>
  <c r="G717" i="3"/>
  <c r="K718" i="3"/>
  <c r="E720" i="3"/>
  <c r="G721" i="3"/>
  <c r="I722" i="3"/>
  <c r="D724" i="3"/>
  <c r="F725" i="3"/>
  <c r="G726" i="3"/>
  <c r="H727" i="3"/>
  <c r="I728" i="3"/>
  <c r="K729" i="3"/>
  <c r="D731" i="3"/>
  <c r="E732" i="3"/>
  <c r="F733" i="3"/>
  <c r="G734" i="3"/>
  <c r="H735" i="3"/>
  <c r="I736" i="3"/>
  <c r="K737" i="3"/>
  <c r="D739" i="3"/>
  <c r="E740" i="3"/>
  <c r="F741" i="3"/>
  <c r="G742" i="3"/>
  <c r="H743" i="3"/>
  <c r="I744" i="3"/>
  <c r="K745" i="3"/>
  <c r="D747" i="3"/>
  <c r="E748" i="3"/>
  <c r="F749" i="3"/>
  <c r="G750" i="3"/>
  <c r="H751" i="3"/>
  <c r="I752" i="3"/>
  <c r="K753" i="3"/>
  <c r="D755" i="3"/>
  <c r="E756" i="3"/>
  <c r="F757" i="3"/>
  <c r="G758" i="3"/>
  <c r="H759" i="3"/>
  <c r="I760" i="3"/>
  <c r="K761" i="3"/>
  <c r="D763" i="3"/>
  <c r="E764" i="3"/>
  <c r="F765" i="3"/>
  <c r="G766" i="3"/>
  <c r="H767" i="3"/>
  <c r="I768" i="3"/>
  <c r="K769" i="3"/>
  <c r="D771" i="3"/>
  <c r="E772" i="3"/>
  <c r="F773" i="3"/>
  <c r="G774" i="3"/>
  <c r="H775" i="3"/>
  <c r="I776" i="3"/>
  <c r="K777" i="3"/>
  <c r="D779" i="3"/>
  <c r="E780" i="3"/>
  <c r="F781" i="3"/>
  <c r="G782" i="3"/>
  <c r="H783" i="3"/>
  <c r="I784" i="3"/>
  <c r="K785" i="3"/>
  <c r="D787" i="3"/>
  <c r="E788" i="3"/>
  <c r="F789" i="3"/>
  <c r="G790" i="3"/>
  <c r="H791" i="3"/>
  <c r="I792" i="3"/>
  <c r="K793" i="3"/>
  <c r="D795" i="3"/>
  <c r="E796" i="3"/>
  <c r="F797" i="3"/>
  <c r="G798" i="3"/>
  <c r="H799" i="3"/>
  <c r="I800" i="3"/>
  <c r="K801" i="3"/>
  <c r="D803" i="3"/>
  <c r="E804" i="3"/>
  <c r="F805" i="3"/>
  <c r="G806" i="3"/>
  <c r="H807" i="3"/>
  <c r="I808" i="3"/>
  <c r="K809" i="3"/>
  <c r="D811" i="3"/>
  <c r="E812" i="3"/>
  <c r="F813" i="3"/>
  <c r="G814" i="3"/>
  <c r="H815" i="3"/>
  <c r="I816" i="3"/>
  <c r="K817" i="3"/>
  <c r="D819" i="3"/>
  <c r="E820" i="3"/>
  <c r="F821" i="3"/>
  <c r="G822" i="3"/>
  <c r="H823" i="3"/>
  <c r="I824" i="3"/>
  <c r="K825" i="3"/>
  <c r="D827" i="3"/>
  <c r="E828" i="3"/>
  <c r="F829" i="3"/>
  <c r="G830" i="3"/>
  <c r="H831" i="3"/>
  <c r="I832" i="3"/>
  <c r="K833" i="3"/>
  <c r="D835" i="3"/>
  <c r="E836" i="3"/>
  <c r="F837" i="3"/>
  <c r="G838" i="3"/>
  <c r="H839" i="3"/>
  <c r="I840" i="3"/>
  <c r="K841" i="3"/>
  <c r="D843" i="3"/>
  <c r="E844" i="3"/>
  <c r="F845" i="3"/>
  <c r="G846" i="3"/>
  <c r="H847" i="3"/>
  <c r="I848" i="3"/>
  <c r="K849" i="3"/>
  <c r="D851" i="3"/>
  <c r="E852" i="3"/>
  <c r="F853" i="3"/>
  <c r="G854" i="3"/>
  <c r="H855" i="3"/>
  <c r="I856" i="3"/>
  <c r="K857" i="3"/>
  <c r="D859" i="3"/>
  <c r="E860" i="3"/>
  <c r="F861" i="3"/>
  <c r="G862" i="3"/>
  <c r="H863" i="3"/>
  <c r="I864" i="3"/>
  <c r="K865" i="3"/>
  <c r="D867" i="3"/>
  <c r="E868" i="3"/>
  <c r="F869" i="3"/>
  <c r="G870" i="3"/>
  <c r="H871" i="3"/>
  <c r="I872" i="3"/>
  <c r="K873" i="3"/>
  <c r="D875" i="3"/>
  <c r="E876" i="3"/>
  <c r="F877" i="3"/>
  <c r="G878" i="3"/>
  <c r="H879" i="3"/>
  <c r="I880" i="3"/>
  <c r="K881" i="3"/>
  <c r="D883" i="3"/>
  <c r="E884" i="3"/>
  <c r="F885" i="3"/>
  <c r="G886" i="3"/>
  <c r="H887" i="3"/>
  <c r="I888" i="3"/>
  <c r="K889" i="3"/>
  <c r="D891" i="3"/>
  <c r="E892" i="3"/>
  <c r="F893" i="3"/>
  <c r="G894" i="3"/>
  <c r="H895" i="3"/>
  <c r="I896" i="3"/>
  <c r="K897" i="3"/>
  <c r="D899" i="3"/>
  <c r="E900" i="3"/>
  <c r="F901" i="3"/>
  <c r="G902" i="3"/>
  <c r="H903" i="3"/>
  <c r="I904" i="3"/>
  <c r="K905" i="3"/>
  <c r="D907" i="3"/>
  <c r="E908" i="3"/>
  <c r="F909" i="3"/>
  <c r="G910" i="3"/>
  <c r="H911" i="3"/>
  <c r="I912" i="3"/>
  <c r="K913" i="3"/>
  <c r="D915" i="3"/>
  <c r="E916" i="3"/>
  <c r="F917" i="3"/>
  <c r="G918" i="3"/>
  <c r="H919" i="3"/>
  <c r="I920" i="3"/>
  <c r="K921" i="3"/>
  <c r="D923" i="3"/>
  <c r="E924" i="3"/>
  <c r="F925" i="3"/>
  <c r="G926" i="3"/>
  <c r="H927" i="3"/>
  <c r="I928" i="3"/>
  <c r="K929" i="3"/>
  <c r="D931" i="3"/>
  <c r="E932" i="3"/>
  <c r="F933" i="3"/>
  <c r="G934" i="3"/>
  <c r="H935" i="3"/>
  <c r="I936" i="3"/>
  <c r="K937" i="3"/>
  <c r="D939" i="3"/>
  <c r="E940" i="3"/>
  <c r="F941" i="3"/>
  <c r="G942" i="3"/>
  <c r="H943" i="3"/>
  <c r="I944" i="3"/>
  <c r="K945" i="3"/>
  <c r="D947" i="3"/>
  <c r="E948" i="3"/>
  <c r="F949" i="3"/>
  <c r="G950" i="3"/>
  <c r="H951" i="3"/>
  <c r="I952" i="3"/>
  <c r="K953" i="3"/>
  <c r="D955" i="3"/>
  <c r="E956" i="3"/>
  <c r="F957" i="3"/>
  <c r="G958" i="3"/>
  <c r="H959" i="3"/>
  <c r="I960" i="3"/>
  <c r="K961" i="3"/>
  <c r="D963" i="3"/>
  <c r="E964" i="3"/>
  <c r="F965" i="3"/>
  <c r="G966" i="3"/>
  <c r="H967" i="3"/>
  <c r="K2032" i="3"/>
  <c r="E1430" i="3"/>
  <c r="F1503" i="3"/>
  <c r="E1553" i="3"/>
  <c r="K1579" i="3"/>
  <c r="E1598" i="3"/>
  <c r="G1616" i="3"/>
  <c r="I1634" i="3"/>
  <c r="D1653" i="3"/>
  <c r="F1671" i="3"/>
  <c r="H1689" i="3"/>
  <c r="D1047" i="3"/>
  <c r="H1052" i="3"/>
  <c r="I1057" i="3"/>
  <c r="I1062" i="3"/>
  <c r="F1067" i="3"/>
  <c r="K1071" i="3"/>
  <c r="G1076" i="3"/>
  <c r="D1081" i="3"/>
  <c r="H1085" i="3"/>
  <c r="E1090" i="3"/>
  <c r="I1094" i="3"/>
  <c r="F1099" i="3"/>
  <c r="K1103" i="3"/>
  <c r="G1108" i="3"/>
  <c r="D1113" i="3"/>
  <c r="H1117" i="3"/>
  <c r="E1122" i="3"/>
  <c r="I1126" i="3"/>
  <c r="F1131" i="3"/>
  <c r="K1135" i="3"/>
  <c r="G1140" i="3"/>
  <c r="D1145" i="3"/>
  <c r="H1149" i="3"/>
  <c r="E1154" i="3"/>
  <c r="I1158" i="3"/>
  <c r="F1163" i="3"/>
  <c r="K1167" i="3"/>
  <c r="G1172" i="3"/>
  <c r="D1177" i="3"/>
  <c r="H1181" i="3"/>
  <c r="E1186" i="3"/>
  <c r="I1190" i="3"/>
  <c r="F1195" i="3"/>
  <c r="K1199" i="3"/>
  <c r="G1204" i="3"/>
  <c r="D1209" i="3"/>
  <c r="H1213" i="3"/>
  <c r="E1218" i="3"/>
  <c r="I1222" i="3"/>
  <c r="F1227" i="3"/>
  <c r="K1231" i="3"/>
  <c r="G1236" i="3"/>
  <c r="D1241" i="3"/>
  <c r="H1245" i="3"/>
  <c r="E1250" i="3"/>
  <c r="I1254" i="3"/>
  <c r="F1259" i="3"/>
  <c r="K1263" i="3"/>
  <c r="G1268" i="3"/>
  <c r="D1273" i="3"/>
  <c r="H1277" i="3"/>
  <c r="E1282" i="3"/>
  <c r="I1286" i="3"/>
  <c r="E1290" i="3"/>
  <c r="G1293" i="3"/>
  <c r="F1296" i="3"/>
  <c r="F1299" i="3"/>
  <c r="H1302" i="3"/>
  <c r="D1305" i="3"/>
  <c r="F1307" i="3"/>
  <c r="H1309" i="3"/>
  <c r="K1311" i="3"/>
  <c r="E1314" i="3"/>
  <c r="F1316" i="3"/>
  <c r="K1317" i="3"/>
  <c r="F1319" i="3"/>
  <c r="H1320" i="3"/>
  <c r="D1322" i="3"/>
  <c r="F1323" i="3"/>
  <c r="H1324" i="3"/>
  <c r="K1325" i="3"/>
  <c r="E1327" i="3"/>
  <c r="G1328" i="3"/>
  <c r="I1329" i="3"/>
  <c r="E1331" i="3"/>
  <c r="G1332" i="3"/>
  <c r="I1333" i="3"/>
  <c r="D1335" i="3"/>
  <c r="F1336" i="3"/>
  <c r="H1337" i="3"/>
  <c r="K1338" i="3"/>
  <c r="F1340" i="3"/>
  <c r="H1341" i="3"/>
  <c r="K1342" i="3"/>
  <c r="E1344" i="3"/>
  <c r="G1345" i="3"/>
  <c r="I1346" i="3"/>
  <c r="D1348" i="3"/>
  <c r="G1349" i="3"/>
  <c r="I1350" i="3"/>
  <c r="D1352" i="3"/>
  <c r="F1353" i="3"/>
  <c r="H1354" i="3"/>
  <c r="K1355" i="3"/>
  <c r="E1041" i="3"/>
  <c r="D698" i="3"/>
  <c r="G699" i="3"/>
  <c r="I700" i="3"/>
  <c r="D702" i="3"/>
  <c r="F703" i="3"/>
  <c r="H704" i="3"/>
  <c r="K705" i="3"/>
  <c r="E707" i="3"/>
  <c r="H708" i="3"/>
  <c r="K709" i="3"/>
  <c r="E711" i="3"/>
  <c r="G712" i="3"/>
  <c r="I713" i="3"/>
  <c r="D715" i="3"/>
  <c r="F716" i="3"/>
  <c r="I717" i="3"/>
  <c r="D719" i="3"/>
  <c r="F720" i="3"/>
  <c r="H721" i="3"/>
  <c r="K722" i="3"/>
  <c r="E724" i="3"/>
  <c r="G725" i="3"/>
  <c r="H726" i="3"/>
  <c r="I727" i="3"/>
  <c r="K728" i="3"/>
  <c r="D730" i="3"/>
  <c r="E731" i="3"/>
  <c r="F732" i="3"/>
  <c r="G733" i="3"/>
  <c r="H734" i="3"/>
  <c r="I735" i="3"/>
  <c r="K736" i="3"/>
  <c r="D738" i="3"/>
  <c r="E739" i="3"/>
  <c r="F740" i="3"/>
  <c r="G741" i="3"/>
  <c r="H742" i="3"/>
  <c r="I743" i="3"/>
  <c r="K744" i="3"/>
  <c r="D746" i="3"/>
  <c r="E747" i="3"/>
  <c r="F748" i="3"/>
  <c r="G749" i="3"/>
  <c r="H750" i="3"/>
  <c r="I751" i="3"/>
  <c r="K752" i="3"/>
  <c r="D754" i="3"/>
  <c r="E755" i="3"/>
  <c r="F756" i="3"/>
  <c r="G757" i="3"/>
  <c r="H758" i="3"/>
  <c r="I759" i="3"/>
  <c r="K760" i="3"/>
  <c r="D762" i="3"/>
  <c r="E763" i="3"/>
  <c r="F764" i="3"/>
  <c r="G765" i="3"/>
  <c r="H766" i="3"/>
  <c r="I767" i="3"/>
  <c r="K768" i="3"/>
  <c r="D770" i="3"/>
  <c r="E771" i="3"/>
  <c r="F772" i="3"/>
  <c r="G773" i="3"/>
  <c r="H774" i="3"/>
  <c r="I775" i="3"/>
  <c r="K776" i="3"/>
  <c r="D778" i="3"/>
  <c r="E779" i="3"/>
  <c r="F780" i="3"/>
  <c r="G781" i="3"/>
  <c r="H782" i="3"/>
  <c r="I783" i="3"/>
  <c r="K784" i="3"/>
  <c r="D786" i="3"/>
  <c r="E787" i="3"/>
  <c r="F788" i="3"/>
  <c r="G789" i="3"/>
  <c r="H790" i="3"/>
  <c r="I791" i="3"/>
  <c r="K792" i="3"/>
  <c r="D794" i="3"/>
  <c r="E795" i="3"/>
  <c r="F796" i="3"/>
  <c r="G797" i="3"/>
  <c r="H798" i="3"/>
  <c r="I799" i="3"/>
  <c r="K800" i="3"/>
  <c r="D802" i="3"/>
  <c r="E803" i="3"/>
  <c r="F804" i="3"/>
  <c r="G805" i="3"/>
  <c r="H806" i="3"/>
  <c r="I807" i="3"/>
  <c r="K808" i="3"/>
  <c r="D810" i="3"/>
  <c r="E811" i="3"/>
  <c r="F812" i="3"/>
  <c r="G813" i="3"/>
  <c r="H814" i="3"/>
  <c r="I815" i="3"/>
  <c r="K816" i="3"/>
  <c r="D818" i="3"/>
  <c r="E819" i="3"/>
  <c r="F820" i="3"/>
  <c r="G821" i="3"/>
  <c r="H822" i="3"/>
  <c r="I823" i="3"/>
  <c r="K824" i="3"/>
  <c r="D826" i="3"/>
  <c r="E827" i="3"/>
  <c r="F828" i="3"/>
  <c r="G829" i="3"/>
  <c r="H830" i="3"/>
  <c r="I831" i="3"/>
  <c r="K832" i="3"/>
  <c r="D834" i="3"/>
  <c r="E835" i="3"/>
  <c r="F836" i="3"/>
  <c r="G837" i="3"/>
  <c r="H838" i="3"/>
  <c r="I839" i="3"/>
  <c r="K840" i="3"/>
  <c r="D842" i="3"/>
  <c r="E843" i="3"/>
  <c r="F844" i="3"/>
  <c r="G845" i="3"/>
  <c r="H846" i="3"/>
  <c r="I847" i="3"/>
  <c r="K848" i="3"/>
  <c r="D850" i="3"/>
  <c r="E851" i="3"/>
  <c r="F852" i="3"/>
  <c r="G853" i="3"/>
  <c r="H854" i="3"/>
  <c r="I855" i="3"/>
  <c r="K856" i="3"/>
  <c r="D858" i="3"/>
  <c r="E859" i="3"/>
  <c r="F860" i="3"/>
  <c r="G861" i="3"/>
  <c r="H862" i="3"/>
  <c r="I863" i="3"/>
  <c r="K864" i="3"/>
  <c r="D866" i="3"/>
  <c r="E867" i="3"/>
  <c r="F868" i="3"/>
  <c r="G869" i="3"/>
  <c r="H870" i="3"/>
  <c r="I871" i="3"/>
  <c r="K872" i="3"/>
  <c r="D874" i="3"/>
  <c r="E875" i="3"/>
  <c r="F876" i="3"/>
  <c r="G877" i="3"/>
  <c r="H878" i="3"/>
  <c r="I879" i="3"/>
  <c r="K880" i="3"/>
  <c r="D882" i="3"/>
  <c r="E883" i="3"/>
  <c r="F884" i="3"/>
  <c r="G885" i="3"/>
  <c r="H886" i="3"/>
  <c r="I887" i="3"/>
  <c r="K888" i="3"/>
  <c r="D890" i="3"/>
  <c r="E891" i="3"/>
  <c r="F892" i="3"/>
  <c r="G893" i="3"/>
  <c r="H894" i="3"/>
  <c r="I895" i="3"/>
  <c r="K896" i="3"/>
  <c r="D898" i="3"/>
  <c r="E899" i="3"/>
  <c r="F900" i="3"/>
  <c r="G901" i="3"/>
  <c r="H902" i="3"/>
  <c r="I903" i="3"/>
  <c r="K904" i="3"/>
  <c r="D906" i="3"/>
  <c r="E907" i="3"/>
  <c r="F908" i="3"/>
  <c r="G909" i="3"/>
  <c r="H910" i="3"/>
  <c r="I911" i="3"/>
  <c r="K912" i="3"/>
  <c r="D914" i="3"/>
  <c r="E915" i="3"/>
  <c r="F916" i="3"/>
  <c r="G917" i="3"/>
  <c r="H918" i="3"/>
  <c r="I919" i="3"/>
  <c r="K920" i="3"/>
  <c r="D922" i="3"/>
  <c r="E923" i="3"/>
  <c r="F924" i="3"/>
  <c r="G925" i="3"/>
  <c r="H926" i="3"/>
  <c r="I927" i="3"/>
  <c r="K928" i="3"/>
  <c r="D930" i="3"/>
  <c r="E931" i="3"/>
  <c r="F932" i="3"/>
  <c r="G933" i="3"/>
  <c r="H934" i="3"/>
  <c r="I935" i="3"/>
  <c r="K936" i="3"/>
  <c r="D938" i="3"/>
  <c r="E939" i="3"/>
  <c r="F940" i="3"/>
  <c r="G941" i="3"/>
  <c r="H942" i="3"/>
  <c r="I943" i="3"/>
  <c r="K944" i="3"/>
  <c r="D946" i="3"/>
  <c r="E947" i="3"/>
  <c r="F948" i="3"/>
  <c r="G949" i="3"/>
  <c r="H950" i="3"/>
  <c r="I951" i="3"/>
  <c r="K952" i="3"/>
  <c r="D954" i="3"/>
  <c r="E955" i="3"/>
  <c r="F956" i="3"/>
  <c r="G957" i="3"/>
  <c r="H958" i="3"/>
  <c r="I959" i="3"/>
  <c r="K960" i="3"/>
  <c r="D962" i="3"/>
  <c r="E963" i="3"/>
  <c r="F964" i="3"/>
  <c r="G965" i="3"/>
  <c r="H966" i="3"/>
  <c r="I967" i="3"/>
  <c r="K968" i="3"/>
  <c r="F1447" i="3"/>
  <c r="G1520" i="3"/>
  <c r="D1560" i="3"/>
  <c r="E1584" i="3"/>
  <c r="G1602" i="3"/>
  <c r="I1620" i="3"/>
  <c r="D1639" i="3"/>
  <c r="F1657" i="3"/>
  <c r="H1675" i="3"/>
  <c r="K1693" i="3"/>
  <c r="H1386" i="3"/>
  <c r="G1048" i="3"/>
  <c r="I1053" i="3"/>
  <c r="K1058" i="3"/>
  <c r="I1063" i="3"/>
  <c r="F1068" i="3"/>
  <c r="K1072" i="3"/>
  <c r="G1077" i="3"/>
  <c r="D1082" i="3"/>
  <c r="H1086" i="3"/>
  <c r="E1091" i="3"/>
  <c r="I1095" i="3"/>
  <c r="F1100" i="3"/>
  <c r="K1104" i="3"/>
  <c r="G1109" i="3"/>
  <c r="D1114" i="3"/>
  <c r="H1118" i="3"/>
  <c r="E1123" i="3"/>
  <c r="I1127" i="3"/>
  <c r="F1132" i="3"/>
  <c r="K1136" i="3"/>
  <c r="G1141" i="3"/>
  <c r="D1146" i="3"/>
  <c r="H1150" i="3"/>
  <c r="E1155" i="3"/>
  <c r="I1159" i="3"/>
  <c r="F1164" i="3"/>
  <c r="K1168" i="3"/>
  <c r="G1173" i="3"/>
  <c r="D1178" i="3"/>
  <c r="H1182" i="3"/>
  <c r="E1187" i="3"/>
  <c r="I1191" i="3"/>
  <c r="F1196" i="3"/>
  <c r="K1200" i="3"/>
  <c r="G1205" i="3"/>
  <c r="D1210" i="3"/>
  <c r="H1214" i="3"/>
  <c r="E1219" i="3"/>
  <c r="I1223" i="3"/>
  <c r="F1228" i="3"/>
  <c r="K1232" i="3"/>
  <c r="G1237" i="3"/>
  <c r="D1242" i="3"/>
  <c r="H1246" i="3"/>
  <c r="E1251" i="3"/>
  <c r="I1255" i="3"/>
  <c r="F1260" i="3"/>
  <c r="K1264" i="3"/>
  <c r="G1269" i="3"/>
  <c r="D1274" i="3"/>
  <c r="H1278" i="3"/>
  <c r="E1283" i="3"/>
  <c r="I1287" i="3"/>
  <c r="H1290" i="3"/>
  <c r="H1293" i="3"/>
  <c r="K1296" i="3"/>
  <c r="I1299" i="3"/>
  <c r="I1302" i="3"/>
  <c r="G1305" i="3"/>
  <c r="I1307" i="3"/>
  <c r="D1310" i="3"/>
  <c r="F1312" i="3"/>
  <c r="H1314" i="3"/>
  <c r="G1316" i="3"/>
  <c r="D1318" i="3"/>
  <c r="G1319" i="3"/>
  <c r="K1320" i="3"/>
  <c r="E1322" i="3"/>
  <c r="G1323" i="3"/>
  <c r="I1324" i="3"/>
  <c r="D1326" i="3"/>
  <c r="F1327" i="3"/>
  <c r="H1328" i="3"/>
  <c r="D1330" i="3"/>
  <c r="F1331" i="3"/>
  <c r="H1332" i="3"/>
  <c r="K1333" i="3"/>
  <c r="E1335" i="3"/>
  <c r="G1336" i="3"/>
  <c r="I1337" i="3"/>
  <c r="E1339" i="3"/>
  <c r="G1340" i="3"/>
  <c r="I1341" i="3"/>
  <c r="D1343" i="3"/>
  <c r="F1344" i="3"/>
  <c r="H1345" i="3"/>
  <c r="K1346" i="3"/>
  <c r="F1348" i="3"/>
  <c r="H1349" i="3"/>
  <c r="K1350" i="3"/>
  <c r="E1352" i="3"/>
  <c r="G1353" i="3"/>
  <c r="I1354" i="3"/>
  <c r="D1041" i="3"/>
  <c r="F698" i="3"/>
  <c r="H699" i="3"/>
  <c r="K700" i="3"/>
  <c r="E702" i="3"/>
  <c r="G703" i="3"/>
  <c r="I704" i="3"/>
  <c r="D706" i="3"/>
  <c r="G707" i="3"/>
  <c r="I708" i="3"/>
  <c r="D710" i="3"/>
  <c r="F711" i="3"/>
  <c r="H712" i="3"/>
  <c r="K713" i="3"/>
  <c r="E715" i="3"/>
  <c r="H716" i="3"/>
  <c r="K717" i="3"/>
  <c r="E719" i="3"/>
  <c r="G720" i="3"/>
  <c r="I721" i="3"/>
  <c r="D723" i="3"/>
  <c r="F724" i="3"/>
  <c r="H725" i="3"/>
  <c r="I726" i="3"/>
  <c r="K727" i="3"/>
  <c r="D729" i="3"/>
  <c r="E730" i="3"/>
  <c r="F731" i="3"/>
  <c r="G732" i="3"/>
  <c r="H733" i="3"/>
  <c r="I734" i="3"/>
  <c r="K735" i="3"/>
  <c r="D737" i="3"/>
  <c r="E738" i="3"/>
  <c r="F739" i="3"/>
  <c r="G740" i="3"/>
  <c r="H741" i="3"/>
  <c r="I742" i="3"/>
  <c r="K743" i="3"/>
  <c r="D745" i="3"/>
  <c r="E746" i="3"/>
  <c r="F747" i="3"/>
  <c r="G748" i="3"/>
  <c r="H749" i="3"/>
  <c r="I750" i="3"/>
  <c r="K751" i="3"/>
  <c r="D753" i="3"/>
  <c r="E754" i="3"/>
  <c r="F755" i="3"/>
  <c r="G756" i="3"/>
  <c r="H757" i="3"/>
  <c r="I758" i="3"/>
  <c r="K759" i="3"/>
  <c r="D761" i="3"/>
  <c r="E762" i="3"/>
  <c r="F763" i="3"/>
  <c r="G764" i="3"/>
  <c r="H765" i="3"/>
  <c r="I766" i="3"/>
  <c r="K767" i="3"/>
  <c r="D769" i="3"/>
  <c r="E770" i="3"/>
  <c r="F771" i="3"/>
  <c r="G772" i="3"/>
  <c r="H773" i="3"/>
  <c r="I774" i="3"/>
  <c r="K775" i="3"/>
  <c r="D777" i="3"/>
  <c r="E778" i="3"/>
  <c r="F779" i="3"/>
  <c r="G780" i="3"/>
  <c r="H781" i="3"/>
  <c r="I782" i="3"/>
  <c r="K783" i="3"/>
  <c r="D785" i="3"/>
  <c r="E786" i="3"/>
  <c r="F787" i="3"/>
  <c r="G788" i="3"/>
  <c r="H789" i="3"/>
  <c r="I790" i="3"/>
  <c r="K791" i="3"/>
  <c r="D793" i="3"/>
  <c r="E794" i="3"/>
  <c r="F795" i="3"/>
  <c r="G796" i="3"/>
  <c r="H797" i="3"/>
  <c r="I798" i="3"/>
  <c r="K799" i="3"/>
  <c r="D801" i="3"/>
  <c r="E802" i="3"/>
  <c r="F803" i="3"/>
  <c r="G804" i="3"/>
  <c r="H805" i="3"/>
  <c r="I806" i="3"/>
  <c r="K807" i="3"/>
  <c r="D809" i="3"/>
  <c r="E810" i="3"/>
  <c r="F811" i="3"/>
  <c r="G812" i="3"/>
  <c r="H813" i="3"/>
  <c r="I814" i="3"/>
  <c r="K815" i="3"/>
  <c r="D817" i="3"/>
  <c r="E818" i="3"/>
  <c r="F819" i="3"/>
  <c r="G820" i="3"/>
  <c r="H821" i="3"/>
  <c r="I822" i="3"/>
  <c r="K823" i="3"/>
  <c r="D825" i="3"/>
  <c r="E826" i="3"/>
  <c r="F827" i="3"/>
  <c r="G828" i="3"/>
  <c r="H829" i="3"/>
  <c r="I830" i="3"/>
  <c r="K831" i="3"/>
  <c r="D833" i="3"/>
  <c r="E834" i="3"/>
  <c r="F835" i="3"/>
  <c r="G836" i="3"/>
  <c r="H837" i="3"/>
  <c r="I838" i="3"/>
  <c r="K839" i="3"/>
  <c r="D841" i="3"/>
  <c r="E842" i="3"/>
  <c r="F843" i="3"/>
  <c r="G844" i="3"/>
  <c r="H845" i="3"/>
  <c r="I846" i="3"/>
  <c r="K847" i="3"/>
  <c r="D849" i="3"/>
  <c r="E850" i="3"/>
  <c r="F851" i="3"/>
  <c r="G852" i="3"/>
  <c r="H853" i="3"/>
  <c r="I854" i="3"/>
  <c r="K855" i="3"/>
  <c r="D857" i="3"/>
  <c r="E858" i="3"/>
  <c r="F859" i="3"/>
  <c r="G860" i="3"/>
  <c r="H861" i="3"/>
  <c r="I862" i="3"/>
  <c r="K863" i="3"/>
  <c r="D865" i="3"/>
  <c r="E866" i="3"/>
  <c r="F867" i="3"/>
  <c r="G868" i="3"/>
  <c r="H869" i="3"/>
  <c r="I870" i="3"/>
  <c r="K871" i="3"/>
  <c r="D873" i="3"/>
  <c r="E874" i="3"/>
  <c r="F875" i="3"/>
  <c r="G876" i="3"/>
  <c r="H877" i="3"/>
  <c r="I878" i="3"/>
  <c r="K879" i="3"/>
  <c r="D881" i="3"/>
  <c r="E882" i="3"/>
  <c r="F883" i="3"/>
  <c r="G884" i="3"/>
  <c r="H885" i="3"/>
  <c r="I886" i="3"/>
  <c r="K887" i="3"/>
  <c r="D889" i="3"/>
  <c r="E890" i="3"/>
  <c r="F891" i="3"/>
  <c r="G892" i="3"/>
  <c r="H893" i="3"/>
  <c r="I894" i="3"/>
  <c r="K895" i="3"/>
  <c r="D897" i="3"/>
  <c r="E898" i="3"/>
  <c r="F899" i="3"/>
  <c r="G900" i="3"/>
  <c r="H901" i="3"/>
  <c r="I902" i="3"/>
  <c r="K903" i="3"/>
  <c r="D905" i="3"/>
  <c r="E906" i="3"/>
  <c r="F907" i="3"/>
  <c r="G908" i="3"/>
  <c r="H909" i="3"/>
  <c r="I910" i="3"/>
  <c r="K911" i="3"/>
  <c r="D913" i="3"/>
  <c r="E914" i="3"/>
  <c r="F915" i="3"/>
  <c r="G916" i="3"/>
  <c r="H917" i="3"/>
  <c r="I918" i="3"/>
  <c r="K919" i="3"/>
  <c r="D921" i="3"/>
  <c r="E922" i="3"/>
  <c r="F923" i="3"/>
  <c r="G924" i="3"/>
  <c r="H925" i="3"/>
  <c r="I926" i="3"/>
  <c r="K927" i="3"/>
  <c r="D929" i="3"/>
  <c r="E930" i="3"/>
  <c r="F931" i="3"/>
  <c r="G932" i="3"/>
  <c r="H933" i="3"/>
  <c r="I934" i="3"/>
  <c r="K935" i="3"/>
  <c r="D937" i="3"/>
  <c r="E938" i="3"/>
  <c r="F939" i="3"/>
  <c r="G940" i="3"/>
  <c r="H941" i="3"/>
  <c r="I942" i="3"/>
  <c r="K943" i="3"/>
  <c r="D945" i="3"/>
  <c r="E946" i="3"/>
  <c r="F947" i="3"/>
  <c r="G948" i="3"/>
  <c r="H949" i="3"/>
  <c r="I950" i="3"/>
  <c r="K951" i="3"/>
  <c r="D953" i="3"/>
  <c r="E954" i="3"/>
  <c r="F955" i="3"/>
  <c r="G956" i="3"/>
  <c r="H957" i="3"/>
  <c r="I958" i="3"/>
  <c r="K959" i="3"/>
  <c r="D961" i="3"/>
  <c r="E962" i="3"/>
  <c r="F963" i="3"/>
  <c r="G964" i="3"/>
  <c r="H965" i="3"/>
  <c r="I966" i="3"/>
  <c r="G1448" i="3"/>
  <c r="H1521" i="3"/>
  <c r="G1560" i="3"/>
  <c r="G1584" i="3"/>
  <c r="I1602" i="3"/>
  <c r="D1621" i="3"/>
  <c r="F1639" i="3"/>
  <c r="H1657" i="3"/>
  <c r="K1675" i="3"/>
  <c r="E1694" i="3"/>
  <c r="F1386" i="3"/>
  <c r="H1048" i="3"/>
  <c r="K1053" i="3"/>
  <c r="D1059" i="3"/>
  <c r="K1063" i="3"/>
  <c r="G1068" i="3"/>
  <c r="D1073" i="3"/>
  <c r="H1077" i="3"/>
  <c r="E1082" i="3"/>
  <c r="I1086" i="3"/>
  <c r="F1091" i="3"/>
  <c r="K1095" i="3"/>
  <c r="G1100" i="3"/>
  <c r="D1105" i="3"/>
  <c r="H1109" i="3"/>
  <c r="E1114" i="3"/>
  <c r="I1118" i="3"/>
  <c r="F1123" i="3"/>
  <c r="K1127" i="3"/>
  <c r="G1132" i="3"/>
  <c r="D1137" i="3"/>
  <c r="H1141" i="3"/>
  <c r="E1146" i="3"/>
  <c r="I1150" i="3"/>
  <c r="F1155" i="3"/>
  <c r="K1159" i="3"/>
  <c r="G1164" i="3"/>
  <c r="D1169" i="3"/>
  <c r="H1173" i="3"/>
  <c r="E1178" i="3"/>
  <c r="I1182" i="3"/>
  <c r="F1187" i="3"/>
  <c r="K1191" i="3"/>
  <c r="G1196" i="3"/>
  <c r="D1201" i="3"/>
  <c r="H1205" i="3"/>
  <c r="E1210" i="3"/>
  <c r="I1214" i="3"/>
  <c r="F1219" i="3"/>
  <c r="K1223" i="3"/>
  <c r="G1228" i="3"/>
  <c r="D1233" i="3"/>
  <c r="H1237" i="3"/>
  <c r="E1242" i="3"/>
  <c r="I1246" i="3"/>
  <c r="F1251" i="3"/>
  <c r="K1255" i="3"/>
  <c r="G1260" i="3"/>
  <c r="D1265" i="3"/>
  <c r="H1269" i="3"/>
  <c r="E1274" i="3"/>
  <c r="I1278" i="3"/>
  <c r="F1283" i="3"/>
  <c r="K1287" i="3"/>
  <c r="E1291" i="3"/>
  <c r="D1294" i="3"/>
  <c r="D1297" i="3"/>
  <c r="F1300" i="3"/>
  <c r="E1303" i="3"/>
  <c r="H1305" i="3"/>
  <c r="K1307" i="3"/>
  <c r="E1310" i="3"/>
  <c r="G1312" i="3"/>
  <c r="I1314" i="3"/>
  <c r="H1316" i="3"/>
  <c r="E1318" i="3"/>
  <c r="I1319" i="3"/>
  <c r="D1321" i="3"/>
  <c r="F1322" i="3"/>
  <c r="H1323" i="3"/>
  <c r="K1324" i="3"/>
  <c r="E1326" i="3"/>
  <c r="G1327" i="3"/>
  <c r="K1328" i="3"/>
  <c r="E1330" i="3"/>
  <c r="G1331" i="3"/>
  <c r="I1332" i="3"/>
  <c r="D1334" i="3"/>
  <c r="F1335" i="3"/>
  <c r="H1336" i="3"/>
  <c r="D1338" i="3"/>
  <c r="F1339" i="3"/>
  <c r="H1340" i="3"/>
  <c r="K1341" i="3"/>
  <c r="E1343" i="3"/>
  <c r="G1344" i="3"/>
  <c r="I1345" i="3"/>
  <c r="E1347" i="3"/>
  <c r="G1348" i="3"/>
  <c r="I1349" i="3"/>
  <c r="D1351" i="3"/>
  <c r="F1352" i="3"/>
  <c r="H1353" i="3"/>
  <c r="K1354" i="3"/>
  <c r="E697" i="3"/>
  <c r="G698" i="3"/>
  <c r="I699" i="3"/>
  <c r="D701" i="3"/>
  <c r="F702" i="3"/>
  <c r="H703" i="3"/>
  <c r="K704" i="3"/>
  <c r="F706" i="3"/>
  <c r="H707" i="3"/>
  <c r="K708" i="3"/>
  <c r="E710" i="3"/>
  <c r="G711" i="3"/>
  <c r="I712" i="3"/>
  <c r="D714" i="3"/>
  <c r="G715" i="3"/>
  <c r="I716" i="3"/>
  <c r="D718" i="3"/>
  <c r="F719" i="3"/>
  <c r="H720" i="3"/>
  <c r="K721" i="3"/>
  <c r="E723" i="3"/>
  <c r="H724" i="3"/>
  <c r="I725" i="3"/>
  <c r="K726" i="3"/>
  <c r="D728" i="3"/>
  <c r="E729" i="3"/>
  <c r="F730" i="3"/>
  <c r="G731" i="3"/>
  <c r="H732" i="3"/>
  <c r="I733" i="3"/>
  <c r="K734" i="3"/>
  <c r="D736" i="3"/>
  <c r="E737" i="3"/>
  <c r="F738" i="3"/>
  <c r="G739" i="3"/>
  <c r="H740" i="3"/>
  <c r="I741" i="3"/>
  <c r="K742" i="3"/>
  <c r="D744" i="3"/>
  <c r="E745" i="3"/>
  <c r="F746" i="3"/>
  <c r="G747" i="3"/>
  <c r="H748" i="3"/>
  <c r="I749" i="3"/>
  <c r="K750" i="3"/>
  <c r="D752" i="3"/>
  <c r="E753" i="3"/>
  <c r="F754" i="3"/>
  <c r="G755" i="3"/>
  <c r="H756" i="3"/>
  <c r="I757" i="3"/>
  <c r="K758" i="3"/>
  <c r="D760" i="3"/>
  <c r="E761" i="3"/>
  <c r="F762" i="3"/>
  <c r="G763" i="3"/>
  <c r="H764" i="3"/>
  <c r="I765" i="3"/>
  <c r="K766" i="3"/>
  <c r="D768" i="3"/>
  <c r="E769" i="3"/>
  <c r="F770" i="3"/>
  <c r="G771" i="3"/>
  <c r="H772" i="3"/>
  <c r="I773" i="3"/>
  <c r="K774" i="3"/>
  <c r="D776" i="3"/>
  <c r="E777" i="3"/>
  <c r="F778" i="3"/>
  <c r="G779" i="3"/>
  <c r="H780" i="3"/>
  <c r="I781" i="3"/>
  <c r="K782" i="3"/>
  <c r="D784" i="3"/>
  <c r="E785" i="3"/>
  <c r="F786" i="3"/>
  <c r="G787" i="3"/>
  <c r="H788" i="3"/>
  <c r="I789" i="3"/>
  <c r="K790" i="3"/>
  <c r="D792" i="3"/>
  <c r="E793" i="3"/>
  <c r="F794" i="3"/>
  <c r="G795" i="3"/>
  <c r="H796" i="3"/>
  <c r="I797" i="3"/>
  <c r="K798" i="3"/>
  <c r="D800" i="3"/>
  <c r="E801" i="3"/>
  <c r="F802" i="3"/>
  <c r="G803" i="3"/>
  <c r="H804" i="3"/>
  <c r="I805" i="3"/>
  <c r="K806" i="3"/>
  <c r="D808" i="3"/>
  <c r="E809" i="3"/>
  <c r="F810" i="3"/>
  <c r="G811" i="3"/>
  <c r="H812" i="3"/>
  <c r="I813" i="3"/>
  <c r="K814" i="3"/>
  <c r="D816" i="3"/>
  <c r="E817" i="3"/>
  <c r="F818" i="3"/>
  <c r="G819" i="3"/>
  <c r="H820" i="3"/>
  <c r="I821" i="3"/>
  <c r="K822" i="3"/>
  <c r="D824" i="3"/>
  <c r="E825" i="3"/>
  <c r="F826" i="3"/>
  <c r="G827" i="3"/>
  <c r="H828" i="3"/>
  <c r="I829" i="3"/>
  <c r="K830" i="3"/>
  <c r="D832" i="3"/>
  <c r="E833" i="3"/>
  <c r="F834" i="3"/>
  <c r="G835" i="3"/>
  <c r="H836" i="3"/>
  <c r="I837" i="3"/>
  <c r="K838" i="3"/>
  <c r="D840" i="3"/>
  <c r="E841" i="3"/>
  <c r="F842" i="3"/>
  <c r="G843" i="3"/>
  <c r="H844" i="3"/>
  <c r="I845" i="3"/>
  <c r="K846" i="3"/>
  <c r="D848" i="3"/>
  <c r="E849" i="3"/>
  <c r="F850" i="3"/>
  <c r="G851" i="3"/>
  <c r="H852" i="3"/>
  <c r="I853" i="3"/>
  <c r="K854" i="3"/>
  <c r="D856" i="3"/>
  <c r="E857" i="3"/>
  <c r="F858" i="3"/>
  <c r="G859" i="3"/>
  <c r="H860" i="3"/>
  <c r="I861" i="3"/>
  <c r="K862" i="3"/>
  <c r="D864" i="3"/>
  <c r="E865" i="3"/>
  <c r="F866" i="3"/>
  <c r="G867" i="3"/>
  <c r="H868" i="3"/>
  <c r="I869" i="3"/>
  <c r="K870" i="3"/>
  <c r="D872" i="3"/>
  <c r="E873" i="3"/>
  <c r="F874" i="3"/>
  <c r="G875" i="3"/>
  <c r="H876" i="3"/>
  <c r="I877" i="3"/>
  <c r="K878" i="3"/>
  <c r="D880" i="3"/>
  <c r="E881" i="3"/>
  <c r="F882" i="3"/>
  <c r="G883" i="3"/>
  <c r="H884" i="3"/>
  <c r="I885" i="3"/>
  <c r="K886" i="3"/>
  <c r="D888" i="3"/>
  <c r="E889" i="3"/>
  <c r="F890" i="3"/>
  <c r="G891" i="3"/>
  <c r="H892" i="3"/>
  <c r="I893" i="3"/>
  <c r="K894" i="3"/>
  <c r="D896" i="3"/>
  <c r="E897" i="3"/>
  <c r="F898" i="3"/>
  <c r="G899" i="3"/>
  <c r="H900" i="3"/>
  <c r="I901" i="3"/>
  <c r="K902" i="3"/>
  <c r="D904" i="3"/>
  <c r="E905" i="3"/>
  <c r="F906" i="3"/>
  <c r="G907" i="3"/>
  <c r="H908" i="3"/>
  <c r="I909" i="3"/>
  <c r="K910" i="3"/>
  <c r="D912" i="3"/>
  <c r="E913" i="3"/>
  <c r="F914" i="3"/>
  <c r="G915" i="3"/>
  <c r="H916" i="3"/>
  <c r="I917" i="3"/>
  <c r="K918" i="3"/>
  <c r="D920" i="3"/>
  <c r="E921" i="3"/>
  <c r="F922" i="3"/>
  <c r="G923" i="3"/>
  <c r="H924" i="3"/>
  <c r="I925" i="3"/>
  <c r="K926" i="3"/>
  <c r="D928" i="3"/>
  <c r="E929" i="3"/>
  <c r="F930" i="3"/>
  <c r="G931" i="3"/>
  <c r="H932" i="3"/>
  <c r="I933" i="3"/>
  <c r="K934" i="3"/>
  <c r="D936" i="3"/>
  <c r="E937" i="3"/>
  <c r="F938" i="3"/>
  <c r="G939" i="3"/>
  <c r="H940" i="3"/>
  <c r="I941" i="3"/>
  <c r="K942" i="3"/>
  <c r="D944" i="3"/>
  <c r="E945" i="3"/>
  <c r="F946" i="3"/>
  <c r="F1535" i="3"/>
  <c r="F1593" i="3"/>
  <c r="K1643" i="3"/>
  <c r="G1697" i="3"/>
  <c r="I1049" i="3"/>
  <c r="G1061" i="3"/>
  <c r="E1074" i="3"/>
  <c r="I1087" i="3"/>
  <c r="D1098" i="3"/>
  <c r="I1110" i="3"/>
  <c r="F1124" i="3"/>
  <c r="H1134" i="3"/>
  <c r="F1147" i="3"/>
  <c r="K1160" i="3"/>
  <c r="E1171" i="3"/>
  <c r="K1183" i="3"/>
  <c r="G1197" i="3"/>
  <c r="I1207" i="3"/>
  <c r="G1220" i="3"/>
  <c r="D1234" i="3"/>
  <c r="F1244" i="3"/>
  <c r="D1257" i="3"/>
  <c r="H1270" i="3"/>
  <c r="K1280" i="3"/>
  <c r="I1291" i="3"/>
  <c r="G1300" i="3"/>
  <c r="H1306" i="3"/>
  <c r="D1313" i="3"/>
  <c r="H1318" i="3"/>
  <c r="G1321" i="3"/>
  <c r="E1325" i="3"/>
  <c r="D1329" i="3"/>
  <c r="K1331" i="3"/>
  <c r="I1335" i="3"/>
  <c r="G1339" i="3"/>
  <c r="F1342" i="3"/>
  <c r="E1346" i="3"/>
  <c r="K1349" i="3"/>
  <c r="K1352" i="3"/>
  <c r="I698" i="3"/>
  <c r="G702" i="3"/>
  <c r="G705" i="3"/>
  <c r="E709" i="3"/>
  <c r="K712" i="3"/>
  <c r="K715" i="3"/>
  <c r="H719" i="3"/>
  <c r="G723" i="3"/>
  <c r="E726" i="3"/>
  <c r="G729" i="3"/>
  <c r="I732" i="3"/>
  <c r="F735" i="3"/>
  <c r="H738" i="3"/>
  <c r="K741" i="3"/>
  <c r="G744" i="3"/>
  <c r="I747" i="3"/>
  <c r="D751" i="3"/>
  <c r="H753" i="3"/>
  <c r="K756" i="3"/>
  <c r="E760" i="3"/>
  <c r="I762" i="3"/>
  <c r="D766" i="3"/>
  <c r="F769" i="3"/>
  <c r="K771" i="3"/>
  <c r="E775" i="3"/>
  <c r="G778" i="3"/>
  <c r="D781" i="3"/>
  <c r="F784" i="3"/>
  <c r="H787" i="3"/>
  <c r="E790" i="3"/>
  <c r="G793" i="3"/>
  <c r="I796" i="3"/>
  <c r="F799" i="3"/>
  <c r="H802" i="3"/>
  <c r="K805" i="3"/>
  <c r="G808" i="3"/>
  <c r="I811" i="3"/>
  <c r="D815" i="3"/>
  <c r="H817" i="3"/>
  <c r="K820" i="3"/>
  <c r="E824" i="3"/>
  <c r="I826" i="3"/>
  <c r="D830" i="3"/>
  <c r="F833" i="3"/>
  <c r="K835" i="3"/>
  <c r="E839" i="3"/>
  <c r="G842" i="3"/>
  <c r="D845" i="3"/>
  <c r="F848" i="3"/>
  <c r="H851" i="3"/>
  <c r="E854" i="3"/>
  <c r="G857" i="3"/>
  <c r="I860" i="3"/>
  <c r="F863" i="3"/>
  <c r="H866" i="3"/>
  <c r="K869" i="3"/>
  <c r="G872" i="3"/>
  <c r="I875" i="3"/>
  <c r="D878" i="3"/>
  <c r="F880" i="3"/>
  <c r="H882" i="3"/>
  <c r="K884" i="3"/>
  <c r="E887" i="3"/>
  <c r="G889" i="3"/>
  <c r="I891" i="3"/>
  <c r="D894" i="3"/>
  <c r="F896" i="3"/>
  <c r="H898" i="3"/>
  <c r="K900" i="3"/>
  <c r="E903" i="3"/>
  <c r="G905" i="3"/>
  <c r="I907" i="3"/>
  <c r="D910" i="3"/>
  <c r="F912" i="3"/>
  <c r="H914" i="3"/>
  <c r="K916" i="3"/>
  <c r="E919" i="3"/>
  <c r="G921" i="3"/>
  <c r="I923" i="3"/>
  <c r="D926" i="3"/>
  <c r="F928" i="3"/>
  <c r="H930" i="3"/>
  <c r="K932" i="3"/>
  <c r="E935" i="3"/>
  <c r="G937" i="3"/>
  <c r="I939" i="3"/>
  <c r="D942" i="3"/>
  <c r="F944" i="3"/>
  <c r="H946" i="3"/>
  <c r="H948" i="3"/>
  <c r="E950" i="3"/>
  <c r="E952" i="3"/>
  <c r="I953" i="3"/>
  <c r="I955" i="3"/>
  <c r="I957" i="3"/>
  <c r="F959" i="3"/>
  <c r="F961" i="3"/>
  <c r="K962" i="3"/>
  <c r="K964" i="3"/>
  <c r="K966" i="3"/>
  <c r="F968" i="3"/>
  <c r="H969" i="3"/>
  <c r="I970" i="3"/>
  <c r="K971" i="3"/>
  <c r="D973" i="3"/>
  <c r="E974" i="3"/>
  <c r="F975" i="3"/>
  <c r="G976" i="3"/>
  <c r="H977" i="3"/>
  <c r="I978" i="3"/>
  <c r="K979" i="3"/>
  <c r="D981" i="3"/>
  <c r="E982" i="3"/>
  <c r="F983" i="3"/>
  <c r="G984" i="3"/>
  <c r="H985" i="3"/>
  <c r="I986" i="3"/>
  <c r="K987" i="3"/>
  <c r="D989" i="3"/>
  <c r="E990" i="3"/>
  <c r="F991" i="3"/>
  <c r="G992" i="3"/>
  <c r="H993" i="3"/>
  <c r="I994" i="3"/>
  <c r="K995" i="3"/>
  <c r="D997" i="3"/>
  <c r="E998" i="3"/>
  <c r="F999" i="3"/>
  <c r="G1000" i="3"/>
  <c r="H1001" i="3"/>
  <c r="I1002" i="3"/>
  <c r="K1003" i="3"/>
  <c r="D1005" i="3"/>
  <c r="E1006" i="3"/>
  <c r="F1007" i="3"/>
  <c r="G1008" i="3"/>
  <c r="H1009" i="3"/>
  <c r="I1010" i="3"/>
  <c r="F696" i="3"/>
  <c r="I352" i="3"/>
  <c r="K353" i="3"/>
  <c r="D355" i="3"/>
  <c r="E356" i="3"/>
  <c r="F357" i="3"/>
  <c r="G358" i="3"/>
  <c r="H359" i="3"/>
  <c r="I360" i="3"/>
  <c r="K361" i="3"/>
  <c r="D363" i="3"/>
  <c r="E364" i="3"/>
  <c r="F365" i="3"/>
  <c r="G366" i="3"/>
  <c r="H367" i="3"/>
  <c r="I368" i="3"/>
  <c r="K369" i="3"/>
  <c r="D371" i="3"/>
  <c r="E372" i="3"/>
  <c r="F373" i="3"/>
  <c r="G374" i="3"/>
  <c r="H375" i="3"/>
  <c r="I376" i="3"/>
  <c r="K377" i="3"/>
  <c r="D379" i="3"/>
  <c r="E380" i="3"/>
  <c r="F381" i="3"/>
  <c r="G382" i="3"/>
  <c r="H383" i="3"/>
  <c r="I384" i="3"/>
  <c r="K385" i="3"/>
  <c r="D387" i="3"/>
  <c r="E388" i="3"/>
  <c r="F389" i="3"/>
  <c r="G390" i="3"/>
  <c r="H391" i="3"/>
  <c r="I392" i="3"/>
  <c r="K393" i="3"/>
  <c r="D395" i="3"/>
  <c r="E396" i="3"/>
  <c r="F397" i="3"/>
  <c r="G398" i="3"/>
  <c r="H399" i="3"/>
  <c r="I400" i="3"/>
  <c r="K401" i="3"/>
  <c r="D403" i="3"/>
  <c r="E404" i="3"/>
  <c r="F405" i="3"/>
  <c r="G406" i="3"/>
  <c r="H407" i="3"/>
  <c r="I408" i="3"/>
  <c r="K409" i="3"/>
  <c r="D411" i="3"/>
  <c r="E412" i="3"/>
  <c r="F413" i="3"/>
  <c r="G414" i="3"/>
  <c r="H415" i="3"/>
  <c r="I416" i="3"/>
  <c r="K417" i="3"/>
  <c r="D419" i="3"/>
  <c r="E420" i="3"/>
  <c r="F421" i="3"/>
  <c r="G422" i="3"/>
  <c r="H423" i="3"/>
  <c r="I424" i="3"/>
  <c r="K425" i="3"/>
  <c r="D427" i="3"/>
  <c r="E428" i="3"/>
  <c r="F429" i="3"/>
  <c r="G430" i="3"/>
  <c r="H431" i="3"/>
  <c r="I432" i="3"/>
  <c r="K433" i="3"/>
  <c r="D435" i="3"/>
  <c r="E436" i="3"/>
  <c r="F437" i="3"/>
  <c r="G438" i="3"/>
  <c r="H439" i="3"/>
  <c r="I440" i="3"/>
  <c r="K441" i="3"/>
  <c r="D443" i="3"/>
  <c r="E444" i="3"/>
  <c r="F445" i="3"/>
  <c r="G446" i="3"/>
  <c r="H447" i="3"/>
  <c r="I448" i="3"/>
  <c r="K449" i="3"/>
  <c r="D451" i="3"/>
  <c r="E452" i="3"/>
  <c r="F453" i="3"/>
  <c r="G454" i="3"/>
  <c r="H455" i="3"/>
  <c r="I456" i="3"/>
  <c r="K457" i="3"/>
  <c r="D459" i="3"/>
  <c r="E460" i="3"/>
  <c r="F461" i="3"/>
  <c r="G462" i="3"/>
  <c r="H463" i="3"/>
  <c r="I464" i="3"/>
  <c r="K465" i="3"/>
  <c r="D467" i="3"/>
  <c r="E468" i="3"/>
  <c r="F469" i="3"/>
  <c r="G470" i="3"/>
  <c r="H471" i="3"/>
  <c r="I472" i="3"/>
  <c r="K473" i="3"/>
  <c r="D475" i="3"/>
  <c r="E476" i="3"/>
  <c r="F477" i="3"/>
  <c r="G478" i="3"/>
  <c r="H479" i="3"/>
  <c r="I480" i="3"/>
  <c r="K481" i="3"/>
  <c r="D483" i="3"/>
  <c r="E484" i="3"/>
  <c r="F485" i="3"/>
  <c r="G486" i="3"/>
  <c r="H487" i="3"/>
  <c r="I488" i="3"/>
  <c r="K489" i="3"/>
  <c r="D491" i="3"/>
  <c r="E492" i="3"/>
  <c r="F493" i="3"/>
  <c r="G494" i="3"/>
  <c r="H495" i="3"/>
  <c r="D1536" i="3"/>
  <c r="D1607" i="3"/>
  <c r="E1648" i="3"/>
  <c r="H1697" i="3"/>
  <c r="K1049" i="3"/>
  <c r="K1064" i="3"/>
  <c r="E1075" i="3"/>
  <c r="K1087" i="3"/>
  <c r="G1101" i="3"/>
  <c r="I1111" i="3"/>
  <c r="G1124" i="3"/>
  <c r="D1138" i="3"/>
  <c r="F1148" i="3"/>
  <c r="D1161" i="3"/>
  <c r="H1174" i="3"/>
  <c r="K1184" i="3"/>
  <c r="H1197" i="3"/>
  <c r="E1211" i="3"/>
  <c r="G1221" i="3"/>
  <c r="E1234" i="3"/>
  <c r="I1247" i="3"/>
  <c r="D1258" i="3"/>
  <c r="I1270" i="3"/>
  <c r="F1284" i="3"/>
  <c r="F1292" i="3"/>
  <c r="K1300" i="3"/>
  <c r="F1308" i="3"/>
  <c r="G1313" i="3"/>
  <c r="I1318" i="3"/>
  <c r="G1322" i="3"/>
  <c r="G1325" i="3"/>
  <c r="E1329" i="3"/>
  <c r="K1332" i="3"/>
  <c r="K1335" i="3"/>
  <c r="H1339" i="3"/>
  <c r="F1343" i="3"/>
  <c r="F1346" i="3"/>
  <c r="D1350" i="3"/>
  <c r="I1353" i="3"/>
  <c r="I1041" i="3"/>
  <c r="K698" i="3"/>
  <c r="H702" i="3"/>
  <c r="G706" i="3"/>
  <c r="F709" i="3"/>
  <c r="E713" i="3"/>
  <c r="K716" i="3"/>
  <c r="I719" i="3"/>
  <c r="H723" i="3"/>
  <c r="D727" i="3"/>
  <c r="H729" i="3"/>
  <c r="K732" i="3"/>
  <c r="E736" i="3"/>
  <c r="I738" i="3"/>
  <c r="D742" i="3"/>
  <c r="F745" i="3"/>
  <c r="K747" i="3"/>
  <c r="E751" i="3"/>
  <c r="G754" i="3"/>
  <c r="D757" i="3"/>
  <c r="F760" i="3"/>
  <c r="H763" i="3"/>
  <c r="E766" i="3"/>
  <c r="G769" i="3"/>
  <c r="I772" i="3"/>
  <c r="F775" i="3"/>
  <c r="H778" i="3"/>
  <c r="K781" i="3"/>
  <c r="G784" i="3"/>
  <c r="I787" i="3"/>
  <c r="D791" i="3"/>
  <c r="H793" i="3"/>
  <c r="K796" i="3"/>
  <c r="E800" i="3"/>
  <c r="I802" i="3"/>
  <c r="D806" i="3"/>
  <c r="F809" i="3"/>
  <c r="K811" i="3"/>
  <c r="E815" i="3"/>
  <c r="G818" i="3"/>
  <c r="D821" i="3"/>
  <c r="F824" i="3"/>
  <c r="H827" i="3"/>
  <c r="E830" i="3"/>
  <c r="G833" i="3"/>
  <c r="I836" i="3"/>
  <c r="F839" i="3"/>
  <c r="H842" i="3"/>
  <c r="K845" i="3"/>
  <c r="G848" i="3"/>
  <c r="I851" i="3"/>
  <c r="D855" i="3"/>
  <c r="H857" i="3"/>
  <c r="K860" i="3"/>
  <c r="E864" i="3"/>
  <c r="I866" i="3"/>
  <c r="D870" i="3"/>
  <c r="F873" i="3"/>
  <c r="K875" i="3"/>
  <c r="E878" i="3"/>
  <c r="G880" i="3"/>
  <c r="I882" i="3"/>
  <c r="D885" i="3"/>
  <c r="F887" i="3"/>
  <c r="H889" i="3"/>
  <c r="K891" i="3"/>
  <c r="E894" i="3"/>
  <c r="G896" i="3"/>
  <c r="I898" i="3"/>
  <c r="D901" i="3"/>
  <c r="F903" i="3"/>
  <c r="H905" i="3"/>
  <c r="K907" i="3"/>
  <c r="E910" i="3"/>
  <c r="G912" i="3"/>
  <c r="I914" i="3"/>
  <c r="D917" i="3"/>
  <c r="F919" i="3"/>
  <c r="H921" i="3"/>
  <c r="K923" i="3"/>
  <c r="E926" i="3"/>
  <c r="G928" i="3"/>
  <c r="I930" i="3"/>
  <c r="D933" i="3"/>
  <c r="F935" i="3"/>
  <c r="H937" i="3"/>
  <c r="K939" i="3"/>
  <c r="E942" i="3"/>
  <c r="G944" i="3"/>
  <c r="I946" i="3"/>
  <c r="I948" i="3"/>
  <c r="F950" i="3"/>
  <c r="F952" i="3"/>
  <c r="F954" i="3"/>
  <c r="K955" i="3"/>
  <c r="K957" i="3"/>
  <c r="G959" i="3"/>
  <c r="G961" i="3"/>
  <c r="G963" i="3"/>
  <c r="D965" i="3"/>
  <c r="D967" i="3"/>
  <c r="G968" i="3"/>
  <c r="I969" i="3"/>
  <c r="K970" i="3"/>
  <c r="D972" i="3"/>
  <c r="E973" i="3"/>
  <c r="F974" i="3"/>
  <c r="G975" i="3"/>
  <c r="H976" i="3"/>
  <c r="I977" i="3"/>
  <c r="K978" i="3"/>
  <c r="D980" i="3"/>
  <c r="E981" i="3"/>
  <c r="F982" i="3"/>
  <c r="G983" i="3"/>
  <c r="H984" i="3"/>
  <c r="I985" i="3"/>
  <c r="K986" i="3"/>
  <c r="D988" i="3"/>
  <c r="E989" i="3"/>
  <c r="F990" i="3"/>
  <c r="G991" i="3"/>
  <c r="H992" i="3"/>
  <c r="I993" i="3"/>
  <c r="K994" i="3"/>
  <c r="D996" i="3"/>
  <c r="E997" i="3"/>
  <c r="F998" i="3"/>
  <c r="G999" i="3"/>
  <c r="H1000" i="3"/>
  <c r="I1001" i="3"/>
  <c r="K1002" i="3"/>
  <c r="D1004" i="3"/>
  <c r="E1005" i="3"/>
  <c r="F1006" i="3"/>
  <c r="G1007" i="3"/>
  <c r="H1008" i="3"/>
  <c r="I1009" i="3"/>
  <c r="K1010" i="3"/>
  <c r="E696" i="3"/>
  <c r="K352" i="3"/>
  <c r="D354" i="3"/>
  <c r="E355" i="3"/>
  <c r="F356" i="3"/>
  <c r="G357" i="3"/>
  <c r="H358" i="3"/>
  <c r="I359" i="3"/>
  <c r="K360" i="3"/>
  <c r="D362" i="3"/>
  <c r="E363" i="3"/>
  <c r="F364" i="3"/>
  <c r="G365" i="3"/>
  <c r="H366" i="3"/>
  <c r="I367" i="3"/>
  <c r="K368" i="3"/>
  <c r="D370" i="3"/>
  <c r="E371" i="3"/>
  <c r="F372" i="3"/>
  <c r="G373" i="3"/>
  <c r="H374" i="3"/>
  <c r="I375" i="3"/>
  <c r="K376" i="3"/>
  <c r="D378" i="3"/>
  <c r="E379" i="3"/>
  <c r="F380" i="3"/>
  <c r="G381" i="3"/>
  <c r="H382" i="3"/>
  <c r="I383" i="3"/>
  <c r="K384" i="3"/>
  <c r="D386" i="3"/>
  <c r="E387" i="3"/>
  <c r="F388" i="3"/>
  <c r="G389" i="3"/>
  <c r="H390" i="3"/>
  <c r="I391" i="3"/>
  <c r="K392" i="3"/>
  <c r="D394" i="3"/>
  <c r="E395" i="3"/>
  <c r="F396" i="3"/>
  <c r="G397" i="3"/>
  <c r="H398" i="3"/>
  <c r="I399" i="3"/>
  <c r="K400" i="3"/>
  <c r="D402" i="3"/>
  <c r="E403" i="3"/>
  <c r="F404" i="3"/>
  <c r="G405" i="3"/>
  <c r="H406" i="3"/>
  <c r="I407" i="3"/>
  <c r="K408" i="3"/>
  <c r="D410" i="3"/>
  <c r="E411" i="3"/>
  <c r="F412" i="3"/>
  <c r="G413" i="3"/>
  <c r="H414" i="3"/>
  <c r="I415" i="3"/>
  <c r="K416" i="3"/>
  <c r="D418" i="3"/>
  <c r="E419" i="3"/>
  <c r="F420" i="3"/>
  <c r="G421" i="3"/>
  <c r="H422" i="3"/>
  <c r="I423" i="3"/>
  <c r="K424" i="3"/>
  <c r="D426" i="3"/>
  <c r="E427" i="3"/>
  <c r="F428" i="3"/>
  <c r="G429" i="3"/>
  <c r="H430" i="3"/>
  <c r="I431" i="3"/>
  <c r="K432" i="3"/>
  <c r="D434" i="3"/>
  <c r="E435" i="3"/>
  <c r="F436" i="3"/>
  <c r="G437" i="3"/>
  <c r="H438" i="3"/>
  <c r="I439" i="3"/>
  <c r="K440" i="3"/>
  <c r="D442" i="3"/>
  <c r="E443" i="3"/>
  <c r="F444" i="3"/>
  <c r="G445" i="3"/>
  <c r="H446" i="3"/>
  <c r="I447" i="3"/>
  <c r="K448" i="3"/>
  <c r="D450" i="3"/>
  <c r="E451" i="3"/>
  <c r="F452" i="3"/>
  <c r="G453" i="3"/>
  <c r="H454" i="3"/>
  <c r="I455" i="3"/>
  <c r="K456" i="3"/>
  <c r="D458" i="3"/>
  <c r="E459" i="3"/>
  <c r="F460" i="3"/>
  <c r="G461" i="3"/>
  <c r="H462" i="3"/>
  <c r="I463" i="3"/>
  <c r="K464" i="3"/>
  <c r="D466" i="3"/>
  <c r="E467" i="3"/>
  <c r="F468" i="3"/>
  <c r="G469" i="3"/>
  <c r="H470" i="3"/>
  <c r="I471" i="3"/>
  <c r="K472" i="3"/>
  <c r="D474" i="3"/>
  <c r="E475" i="3"/>
  <c r="F476" i="3"/>
  <c r="G477" i="3"/>
  <c r="H478" i="3"/>
  <c r="I479" i="3"/>
  <c r="K480" i="3"/>
  <c r="D482" i="3"/>
  <c r="K1388" i="3"/>
  <c r="G1544" i="3"/>
  <c r="F1607" i="3"/>
  <c r="K1661" i="3"/>
  <c r="I1699" i="3"/>
  <c r="D1051" i="3"/>
  <c r="D1065" i="3"/>
  <c r="H1078" i="3"/>
  <c r="K1088" i="3"/>
  <c r="H1101" i="3"/>
  <c r="E1115" i="3"/>
  <c r="G1125" i="3"/>
  <c r="E1138" i="3"/>
  <c r="I1151" i="3"/>
  <c r="D1162" i="3"/>
  <c r="I1174" i="3"/>
  <c r="F1188" i="3"/>
  <c r="H1198" i="3"/>
  <c r="F1211" i="3"/>
  <c r="K1224" i="3"/>
  <c r="E1235" i="3"/>
  <c r="K1247" i="3"/>
  <c r="G1261" i="3"/>
  <c r="I1271" i="3"/>
  <c r="G1284" i="3"/>
  <c r="H1294" i="3"/>
  <c r="G1301" i="3"/>
  <c r="G1308" i="3"/>
  <c r="E1315" i="3"/>
  <c r="K1318" i="3"/>
  <c r="H1322" i="3"/>
  <c r="F1326" i="3"/>
  <c r="F1329" i="3"/>
  <c r="D1333" i="3"/>
  <c r="K1336" i="3"/>
  <c r="I1339" i="3"/>
  <c r="G1343" i="3"/>
  <c r="F1347" i="3"/>
  <c r="E1350" i="3"/>
  <c r="D1354" i="3"/>
  <c r="K1041" i="3"/>
  <c r="K699" i="3"/>
  <c r="K702" i="3"/>
  <c r="H706" i="3"/>
  <c r="F710" i="3"/>
  <c r="F713" i="3"/>
  <c r="D717" i="3"/>
  <c r="I720" i="3"/>
  <c r="I723" i="3"/>
  <c r="E727" i="3"/>
  <c r="G730" i="3"/>
  <c r="D733" i="3"/>
  <c r="F736" i="3"/>
  <c r="H739" i="3"/>
  <c r="E742" i="3"/>
  <c r="G745" i="3"/>
  <c r="I748" i="3"/>
  <c r="F751" i="3"/>
  <c r="H754" i="3"/>
  <c r="K757" i="3"/>
  <c r="G760" i="3"/>
  <c r="I763" i="3"/>
  <c r="D767" i="3"/>
  <c r="H769" i="3"/>
  <c r="K772" i="3"/>
  <c r="E776" i="3"/>
  <c r="I778" i="3"/>
  <c r="D782" i="3"/>
  <c r="F785" i="3"/>
  <c r="K787" i="3"/>
  <c r="E791" i="3"/>
  <c r="G794" i="3"/>
  <c r="D797" i="3"/>
  <c r="F800" i="3"/>
  <c r="H803" i="3"/>
  <c r="E806" i="3"/>
  <c r="G809" i="3"/>
  <c r="I812" i="3"/>
  <c r="F815" i="3"/>
  <c r="H818" i="3"/>
  <c r="K821" i="3"/>
  <c r="G824" i="3"/>
  <c r="I827" i="3"/>
  <c r="D831" i="3"/>
  <c r="H833" i="3"/>
  <c r="K836" i="3"/>
  <c r="E840" i="3"/>
  <c r="I842" i="3"/>
  <c r="D846" i="3"/>
  <c r="F849" i="3"/>
  <c r="K851" i="3"/>
  <c r="E855" i="3"/>
  <c r="G858" i="3"/>
  <c r="D861" i="3"/>
  <c r="F864" i="3"/>
  <c r="H867" i="3"/>
  <c r="E870" i="3"/>
  <c r="G873" i="3"/>
  <c r="D876" i="3"/>
  <c r="F878" i="3"/>
  <c r="H880" i="3"/>
  <c r="K882" i="3"/>
  <c r="E885" i="3"/>
  <c r="G887" i="3"/>
  <c r="I889" i="3"/>
  <c r="D892" i="3"/>
  <c r="F894" i="3"/>
  <c r="H896" i="3"/>
  <c r="K898" i="3"/>
  <c r="E901" i="3"/>
  <c r="G903" i="3"/>
  <c r="I905" i="3"/>
  <c r="D908" i="3"/>
  <c r="F910" i="3"/>
  <c r="H912" i="3"/>
  <c r="K914" i="3"/>
  <c r="E917" i="3"/>
  <c r="G919" i="3"/>
  <c r="I921" i="3"/>
  <c r="D924" i="3"/>
  <c r="F926" i="3"/>
  <c r="H928" i="3"/>
  <c r="K930" i="3"/>
  <c r="E933" i="3"/>
  <c r="G935" i="3"/>
  <c r="I937" i="3"/>
  <c r="D940" i="3"/>
  <c r="F942" i="3"/>
  <c r="H944" i="3"/>
  <c r="K946" i="3"/>
  <c r="K948" i="3"/>
  <c r="K950" i="3"/>
  <c r="G952" i="3"/>
  <c r="G954" i="3"/>
  <c r="D956" i="3"/>
  <c r="D958" i="3"/>
  <c r="D960" i="3"/>
  <c r="H961" i="3"/>
  <c r="H963" i="3"/>
  <c r="E965" i="3"/>
  <c r="E967" i="3"/>
  <c r="H968" i="3"/>
  <c r="K969" i="3"/>
  <c r="D971" i="3"/>
  <c r="E972" i="3"/>
  <c r="F973" i="3"/>
  <c r="G974" i="3"/>
  <c r="H975" i="3"/>
  <c r="I976" i="3"/>
  <c r="K977" i="3"/>
  <c r="D979" i="3"/>
  <c r="E980" i="3"/>
  <c r="F981" i="3"/>
  <c r="G982" i="3"/>
  <c r="H983" i="3"/>
  <c r="I984" i="3"/>
  <c r="K985" i="3"/>
  <c r="D987" i="3"/>
  <c r="E988" i="3"/>
  <c r="F989" i="3"/>
  <c r="G990" i="3"/>
  <c r="H991" i="3"/>
  <c r="I992" i="3"/>
  <c r="K993" i="3"/>
  <c r="D995" i="3"/>
  <c r="E996" i="3"/>
  <c r="F997" i="3"/>
  <c r="G998" i="3"/>
  <c r="H999" i="3"/>
  <c r="I1000" i="3"/>
  <c r="K1001" i="3"/>
  <c r="D1003" i="3"/>
  <c r="E1004" i="3"/>
  <c r="F1005" i="3"/>
  <c r="G1006" i="3"/>
  <c r="H1007" i="3"/>
  <c r="I1008" i="3"/>
  <c r="K1009" i="3"/>
  <c r="D696" i="3"/>
  <c r="D353" i="3"/>
  <c r="E354" i="3"/>
  <c r="F355" i="3"/>
  <c r="G356" i="3"/>
  <c r="H357" i="3"/>
  <c r="I358" i="3"/>
  <c r="K359" i="3"/>
  <c r="D361" i="3"/>
  <c r="E362" i="3"/>
  <c r="F363" i="3"/>
  <c r="G364" i="3"/>
  <c r="H365" i="3"/>
  <c r="I366" i="3"/>
  <c r="K367" i="3"/>
  <c r="D369" i="3"/>
  <c r="E370" i="3"/>
  <c r="F371" i="3"/>
  <c r="G372" i="3"/>
  <c r="H373" i="3"/>
  <c r="I374" i="3"/>
  <c r="K375" i="3"/>
  <c r="D377" i="3"/>
  <c r="E378" i="3"/>
  <c r="F379" i="3"/>
  <c r="G380" i="3"/>
  <c r="H381" i="3"/>
  <c r="I382" i="3"/>
  <c r="K383" i="3"/>
  <c r="D385" i="3"/>
  <c r="E386" i="3"/>
  <c r="F387" i="3"/>
  <c r="G388" i="3"/>
  <c r="H389" i="3"/>
  <c r="I390" i="3"/>
  <c r="K391" i="3"/>
  <c r="D393" i="3"/>
  <c r="E394" i="3"/>
  <c r="F395" i="3"/>
  <c r="G396" i="3"/>
  <c r="H397" i="3"/>
  <c r="I398" i="3"/>
  <c r="K399" i="3"/>
  <c r="D401" i="3"/>
  <c r="E402" i="3"/>
  <c r="F403" i="3"/>
  <c r="G404" i="3"/>
  <c r="H405" i="3"/>
  <c r="I406" i="3"/>
  <c r="K407" i="3"/>
  <c r="D409" i="3"/>
  <c r="E410" i="3"/>
  <c r="F411" i="3"/>
  <c r="G412" i="3"/>
  <c r="H413" i="3"/>
  <c r="I414" i="3"/>
  <c r="K415" i="3"/>
  <c r="D417" i="3"/>
  <c r="E418" i="3"/>
  <c r="F419" i="3"/>
  <c r="G420" i="3"/>
  <c r="H421" i="3"/>
  <c r="I422" i="3"/>
  <c r="K423" i="3"/>
  <c r="D425" i="3"/>
  <c r="E426" i="3"/>
  <c r="F427" i="3"/>
  <c r="G428" i="3"/>
  <c r="H429" i="3"/>
  <c r="I430" i="3"/>
  <c r="K431" i="3"/>
  <c r="D433" i="3"/>
  <c r="E434" i="3"/>
  <c r="F435" i="3"/>
  <c r="G436" i="3"/>
  <c r="H437" i="3"/>
  <c r="I438" i="3"/>
  <c r="K439" i="3"/>
  <c r="D441" i="3"/>
  <c r="E442" i="3"/>
  <c r="F443" i="3"/>
  <c r="G444" i="3"/>
  <c r="H445" i="3"/>
  <c r="I446" i="3"/>
  <c r="K447" i="3"/>
  <c r="D449" i="3"/>
  <c r="E450" i="3"/>
  <c r="F451" i="3"/>
  <c r="G452" i="3"/>
  <c r="H453" i="3"/>
  <c r="I454" i="3"/>
  <c r="K455" i="3"/>
  <c r="D457" i="3"/>
  <c r="E458" i="3"/>
  <c r="F459" i="3"/>
  <c r="G460" i="3"/>
  <c r="H461" i="3"/>
  <c r="I462" i="3"/>
  <c r="K463" i="3"/>
  <c r="D465" i="3"/>
  <c r="E466" i="3"/>
  <c r="F467" i="3"/>
  <c r="G468" i="3"/>
  <c r="H469" i="3"/>
  <c r="I470" i="3"/>
  <c r="K471" i="3"/>
  <c r="D473" i="3"/>
  <c r="E474" i="3"/>
  <c r="F475" i="3"/>
  <c r="G476" i="3"/>
  <c r="H477" i="3"/>
  <c r="I478" i="3"/>
  <c r="K479" i="3"/>
  <c r="D481" i="3"/>
  <c r="E482" i="3"/>
  <c r="F483" i="3"/>
  <c r="G484" i="3"/>
  <c r="H485" i="3"/>
  <c r="I486" i="3"/>
  <c r="K487" i="3"/>
  <c r="D489" i="3"/>
  <c r="E490" i="3"/>
  <c r="F491" i="3"/>
  <c r="G492" i="3"/>
  <c r="H493" i="3"/>
  <c r="I494" i="3"/>
  <c r="K495" i="3"/>
  <c r="D497" i="3"/>
  <c r="E498" i="3"/>
  <c r="F499" i="3"/>
  <c r="G500" i="3"/>
  <c r="H501" i="3"/>
  <c r="I502" i="3"/>
  <c r="K503" i="3"/>
  <c r="D505" i="3"/>
  <c r="E506" i="3"/>
  <c r="F507" i="3"/>
  <c r="G508" i="3"/>
  <c r="H509" i="3"/>
  <c r="I510" i="3"/>
  <c r="K511" i="3"/>
  <c r="D513" i="3"/>
  <c r="E514" i="3"/>
  <c r="F515" i="3"/>
  <c r="G516" i="3"/>
  <c r="H517" i="3"/>
  <c r="I518" i="3"/>
  <c r="K519" i="3"/>
  <c r="D521" i="3"/>
  <c r="F1390" i="3"/>
  <c r="F1567" i="3"/>
  <c r="H1611" i="3"/>
  <c r="E1662" i="3"/>
  <c r="D1055" i="3"/>
  <c r="D1066" i="3"/>
  <c r="I1078" i="3"/>
  <c r="F1092" i="3"/>
  <c r="H1102" i="3"/>
  <c r="F1115" i="3"/>
  <c r="K1128" i="3"/>
  <c r="E1139" i="3"/>
  <c r="K1151" i="3"/>
  <c r="G1165" i="3"/>
  <c r="I1175" i="3"/>
  <c r="G1188" i="3"/>
  <c r="D1202" i="3"/>
  <c r="F1212" i="3"/>
  <c r="D1225" i="3"/>
  <c r="H1238" i="3"/>
  <c r="K1248" i="3"/>
  <c r="H1261" i="3"/>
  <c r="E1275" i="3"/>
  <c r="G1285" i="3"/>
  <c r="I1294" i="3"/>
  <c r="I1303" i="3"/>
  <c r="K1308" i="3"/>
  <c r="F1315" i="3"/>
  <c r="K1319" i="3"/>
  <c r="I1322" i="3"/>
  <c r="H1326" i="3"/>
  <c r="F1330" i="3"/>
  <c r="E1333" i="3"/>
  <c r="D1337" i="3"/>
  <c r="I1340" i="3"/>
  <c r="I1343" i="3"/>
  <c r="G1347" i="3"/>
  <c r="E1351" i="3"/>
  <c r="E1354" i="3"/>
  <c r="H1041" i="3"/>
  <c r="D700" i="3"/>
  <c r="I703" i="3"/>
  <c r="I706" i="3"/>
  <c r="G710" i="3"/>
  <c r="F714" i="3"/>
  <c r="E717" i="3"/>
  <c r="K720" i="3"/>
  <c r="I724" i="3"/>
  <c r="F727" i="3"/>
  <c r="H730" i="3"/>
  <c r="K733" i="3"/>
  <c r="G736" i="3"/>
  <c r="I739" i="3"/>
  <c r="D743" i="3"/>
  <c r="H745" i="3"/>
  <c r="K748" i="3"/>
  <c r="E752" i="3"/>
  <c r="I754" i="3"/>
  <c r="D758" i="3"/>
  <c r="F761" i="3"/>
  <c r="K763" i="3"/>
  <c r="E767" i="3"/>
  <c r="G770" i="3"/>
  <c r="D773" i="3"/>
  <c r="F776" i="3"/>
  <c r="H779" i="3"/>
  <c r="E782" i="3"/>
  <c r="G785" i="3"/>
  <c r="I788" i="3"/>
  <c r="F791" i="3"/>
  <c r="H794" i="3"/>
  <c r="K797" i="3"/>
  <c r="G800" i="3"/>
  <c r="I803" i="3"/>
  <c r="D807" i="3"/>
  <c r="H809" i="3"/>
  <c r="K812" i="3"/>
  <c r="E816" i="3"/>
  <c r="I818" i="3"/>
  <c r="D822" i="3"/>
  <c r="F825" i="3"/>
  <c r="K827" i="3"/>
  <c r="E831" i="3"/>
  <c r="G834" i="3"/>
  <c r="D837" i="3"/>
  <c r="F840" i="3"/>
  <c r="H843" i="3"/>
  <c r="E846" i="3"/>
  <c r="G849" i="3"/>
  <c r="I852" i="3"/>
  <c r="F855" i="3"/>
  <c r="H858" i="3"/>
  <c r="K861" i="3"/>
  <c r="G864" i="3"/>
  <c r="I867" i="3"/>
  <c r="D871" i="3"/>
  <c r="H873" i="3"/>
  <c r="I876" i="3"/>
  <c r="D879" i="3"/>
  <c r="F881" i="3"/>
  <c r="H883" i="3"/>
  <c r="K885" i="3"/>
  <c r="E888" i="3"/>
  <c r="G890" i="3"/>
  <c r="I892" i="3"/>
  <c r="D895" i="3"/>
  <c r="F897" i="3"/>
  <c r="H899" i="3"/>
  <c r="K901" i="3"/>
  <c r="E904" i="3"/>
  <c r="G906" i="3"/>
  <c r="I908" i="3"/>
  <c r="D911" i="3"/>
  <c r="F913" i="3"/>
  <c r="H915" i="3"/>
  <c r="K917" i="3"/>
  <c r="E920" i="3"/>
  <c r="G922" i="3"/>
  <c r="I924" i="3"/>
  <c r="D927" i="3"/>
  <c r="F929" i="3"/>
  <c r="H931" i="3"/>
  <c r="K933" i="3"/>
  <c r="E936" i="3"/>
  <c r="G938" i="3"/>
  <c r="I940" i="3"/>
  <c r="D943" i="3"/>
  <c r="F945" i="3"/>
  <c r="G947" i="3"/>
  <c r="D949" i="3"/>
  <c r="D951" i="3"/>
  <c r="H952" i="3"/>
  <c r="H954" i="3"/>
  <c r="H956" i="3"/>
  <c r="E958" i="3"/>
  <c r="E960" i="3"/>
  <c r="I961" i="3"/>
  <c r="I963" i="3"/>
  <c r="I965" i="3"/>
  <c r="F967" i="3"/>
  <c r="I968" i="3"/>
  <c r="D970" i="3"/>
  <c r="E971" i="3"/>
  <c r="F972" i="3"/>
  <c r="G973" i="3"/>
  <c r="H974" i="3"/>
  <c r="I975" i="3"/>
  <c r="K976" i="3"/>
  <c r="D978" i="3"/>
  <c r="E979" i="3"/>
  <c r="F980" i="3"/>
  <c r="G981" i="3"/>
  <c r="H982" i="3"/>
  <c r="I983" i="3"/>
  <c r="K984" i="3"/>
  <c r="D986" i="3"/>
  <c r="E987" i="3"/>
  <c r="F988" i="3"/>
  <c r="G989" i="3"/>
  <c r="H990" i="3"/>
  <c r="I991" i="3"/>
  <c r="K992" i="3"/>
  <c r="D994" i="3"/>
  <c r="E995" i="3"/>
  <c r="F996" i="3"/>
  <c r="G997" i="3"/>
  <c r="H998" i="3"/>
  <c r="I999" i="3"/>
  <c r="K1000" i="3"/>
  <c r="D1002" i="3"/>
  <c r="E1003" i="3"/>
  <c r="F1004" i="3"/>
  <c r="G1005" i="3"/>
  <c r="H1006" i="3"/>
  <c r="I1007" i="3"/>
  <c r="K1008" i="3"/>
  <c r="D1010" i="3"/>
  <c r="D352" i="3"/>
  <c r="E353" i="3"/>
  <c r="F354" i="3"/>
  <c r="G355" i="3"/>
  <c r="H356" i="3"/>
  <c r="I357" i="3"/>
  <c r="K358" i="3"/>
  <c r="D360" i="3"/>
  <c r="E361" i="3"/>
  <c r="F362" i="3"/>
  <c r="G363" i="3"/>
  <c r="H364" i="3"/>
  <c r="I365" i="3"/>
  <c r="K366" i="3"/>
  <c r="D368" i="3"/>
  <c r="E369" i="3"/>
  <c r="F370" i="3"/>
  <c r="G371" i="3"/>
  <c r="H372" i="3"/>
  <c r="I373" i="3"/>
  <c r="K374" i="3"/>
  <c r="D376" i="3"/>
  <c r="E377" i="3"/>
  <c r="F378" i="3"/>
  <c r="G379" i="3"/>
  <c r="H380" i="3"/>
  <c r="I381" i="3"/>
  <c r="K382" i="3"/>
  <c r="D384" i="3"/>
  <c r="E385" i="3"/>
  <c r="F386" i="3"/>
  <c r="G387" i="3"/>
  <c r="H388" i="3"/>
  <c r="I389" i="3"/>
  <c r="K390" i="3"/>
  <c r="D392" i="3"/>
  <c r="E393" i="3"/>
  <c r="F394" i="3"/>
  <c r="G395" i="3"/>
  <c r="H396" i="3"/>
  <c r="I397" i="3"/>
  <c r="K398" i="3"/>
  <c r="D400" i="3"/>
  <c r="E401" i="3"/>
  <c r="F402" i="3"/>
  <c r="G403" i="3"/>
  <c r="H404" i="3"/>
  <c r="I405" i="3"/>
  <c r="K406" i="3"/>
  <c r="D408" i="3"/>
  <c r="E409" i="3"/>
  <c r="F410" i="3"/>
  <c r="G411" i="3"/>
  <c r="H412" i="3"/>
  <c r="I413" i="3"/>
  <c r="K414" i="3"/>
  <c r="D416" i="3"/>
  <c r="E417" i="3"/>
  <c r="F418" i="3"/>
  <c r="G419" i="3"/>
  <c r="H420" i="3"/>
  <c r="I421" i="3"/>
  <c r="K422" i="3"/>
  <c r="D424" i="3"/>
  <c r="E425" i="3"/>
  <c r="F426" i="3"/>
  <c r="G427" i="3"/>
  <c r="H428" i="3"/>
  <c r="I429" i="3"/>
  <c r="K430" i="3"/>
  <c r="D432" i="3"/>
  <c r="E433" i="3"/>
  <c r="F434" i="3"/>
  <c r="G435" i="3"/>
  <c r="H436" i="3"/>
  <c r="I437" i="3"/>
  <c r="K438" i="3"/>
  <c r="D440" i="3"/>
  <c r="E441" i="3"/>
  <c r="F442" i="3"/>
  <c r="G443" i="3"/>
  <c r="H444" i="3"/>
  <c r="I445" i="3"/>
  <c r="K446" i="3"/>
  <c r="D448" i="3"/>
  <c r="E449" i="3"/>
  <c r="F450" i="3"/>
  <c r="G451" i="3"/>
  <c r="H452" i="3"/>
  <c r="I453" i="3"/>
  <c r="K454" i="3"/>
  <c r="D456" i="3"/>
  <c r="E457" i="3"/>
  <c r="F458" i="3"/>
  <c r="G459" i="3"/>
  <c r="H460" i="3"/>
  <c r="I461" i="3"/>
  <c r="K462" i="3"/>
  <c r="D464" i="3"/>
  <c r="E465" i="3"/>
  <c r="F466" i="3"/>
  <c r="G467" i="3"/>
  <c r="H468" i="3"/>
  <c r="I469" i="3"/>
  <c r="K470" i="3"/>
  <c r="D472" i="3"/>
  <c r="E473" i="3"/>
  <c r="F474" i="3"/>
  <c r="G475" i="3"/>
  <c r="H476" i="3"/>
  <c r="I477" i="3"/>
  <c r="K478" i="3"/>
  <c r="D480" i="3"/>
  <c r="E481" i="3"/>
  <c r="F482" i="3"/>
  <c r="G483" i="3"/>
  <c r="H484" i="3"/>
  <c r="I485" i="3"/>
  <c r="K486" i="3"/>
  <c r="D488" i="3"/>
  <c r="E489" i="3"/>
  <c r="F490" i="3"/>
  <c r="I1410" i="3"/>
  <c r="H1567" i="3"/>
  <c r="F1625" i="3"/>
  <c r="G1666" i="3"/>
  <c r="E1055" i="3"/>
  <c r="G1069" i="3"/>
  <c r="I1079" i="3"/>
  <c r="G1092" i="3"/>
  <c r="D1106" i="3"/>
  <c r="F1116" i="3"/>
  <c r="D1129" i="3"/>
  <c r="H1142" i="3"/>
  <c r="K1152" i="3"/>
  <c r="H1165" i="3"/>
  <c r="E1179" i="3"/>
  <c r="G1189" i="3"/>
  <c r="E1202" i="3"/>
  <c r="I1215" i="3"/>
  <c r="D1226" i="3"/>
  <c r="I1238" i="3"/>
  <c r="F1252" i="3"/>
  <c r="H1262" i="3"/>
  <c r="F1275" i="3"/>
  <c r="F1288" i="3"/>
  <c r="E1295" i="3"/>
  <c r="K1303" i="3"/>
  <c r="H1310" i="3"/>
  <c r="G1315" i="3"/>
  <c r="D1320" i="3"/>
  <c r="I1323" i="3"/>
  <c r="I1326" i="3"/>
  <c r="G1330" i="3"/>
  <c r="E1334" i="3"/>
  <c r="E1337" i="3"/>
  <c r="K1340" i="3"/>
  <c r="H1344" i="3"/>
  <c r="H1347" i="3"/>
  <c r="F1351" i="3"/>
  <c r="E1355" i="3"/>
  <c r="F697" i="3"/>
  <c r="E700" i="3"/>
  <c r="D704" i="3"/>
  <c r="I707" i="3"/>
  <c r="H710" i="3"/>
  <c r="G714" i="3"/>
  <c r="E718" i="3"/>
  <c r="E721" i="3"/>
  <c r="K724" i="3"/>
  <c r="E728" i="3"/>
  <c r="I730" i="3"/>
  <c r="D734" i="3"/>
  <c r="F737" i="3"/>
  <c r="K739" i="3"/>
  <c r="E743" i="3"/>
  <c r="G746" i="3"/>
  <c r="D749" i="3"/>
  <c r="F752" i="3"/>
  <c r="H755" i="3"/>
  <c r="E758" i="3"/>
  <c r="G761" i="3"/>
  <c r="I764" i="3"/>
  <c r="F767" i="3"/>
  <c r="H770" i="3"/>
  <c r="K773" i="3"/>
  <c r="G776" i="3"/>
  <c r="I779" i="3"/>
  <c r="D783" i="3"/>
  <c r="H785" i="3"/>
  <c r="K788" i="3"/>
  <c r="E792" i="3"/>
  <c r="I794" i="3"/>
  <c r="D798" i="3"/>
  <c r="F801" i="3"/>
  <c r="K803" i="3"/>
  <c r="E807" i="3"/>
  <c r="G810" i="3"/>
  <c r="D813" i="3"/>
  <c r="F816" i="3"/>
  <c r="H819" i="3"/>
  <c r="E822" i="3"/>
  <c r="G825" i="3"/>
  <c r="I828" i="3"/>
  <c r="F831" i="3"/>
  <c r="H834" i="3"/>
  <c r="K837" i="3"/>
  <c r="G840" i="3"/>
  <c r="I843" i="3"/>
  <c r="D847" i="3"/>
  <c r="H849" i="3"/>
  <c r="K852" i="3"/>
  <c r="E856" i="3"/>
  <c r="I858" i="3"/>
  <c r="D862" i="3"/>
  <c r="F865" i="3"/>
  <c r="K867" i="3"/>
  <c r="E871" i="3"/>
  <c r="G874" i="3"/>
  <c r="K876" i="3"/>
  <c r="E879" i="3"/>
  <c r="G881" i="3"/>
  <c r="I883" i="3"/>
  <c r="D886" i="3"/>
  <c r="F888" i="3"/>
  <c r="H890" i="3"/>
  <c r="K892" i="3"/>
  <c r="E895" i="3"/>
  <c r="G897" i="3"/>
  <c r="I899" i="3"/>
  <c r="D902" i="3"/>
  <c r="F904" i="3"/>
  <c r="H906" i="3"/>
  <c r="K908" i="3"/>
  <c r="E911" i="3"/>
  <c r="G913" i="3"/>
  <c r="I915" i="3"/>
  <c r="D918" i="3"/>
  <c r="F920" i="3"/>
  <c r="H922" i="3"/>
  <c r="K924" i="3"/>
  <c r="E927" i="3"/>
  <c r="G929" i="3"/>
  <c r="I931" i="3"/>
  <c r="D934" i="3"/>
  <c r="F936" i="3"/>
  <c r="H938" i="3"/>
  <c r="K940" i="3"/>
  <c r="E943" i="3"/>
  <c r="G945" i="3"/>
  <c r="H947" i="3"/>
  <c r="E949" i="3"/>
  <c r="E951" i="3"/>
  <c r="E953" i="3"/>
  <c r="I954" i="3"/>
  <c r="I956" i="3"/>
  <c r="F958" i="3"/>
  <c r="F960" i="3"/>
  <c r="F962" i="3"/>
  <c r="K963" i="3"/>
  <c r="K965" i="3"/>
  <c r="G967" i="3"/>
  <c r="D969" i="3"/>
  <c r="E970" i="3"/>
  <c r="F971" i="3"/>
  <c r="G972" i="3"/>
  <c r="H973" i="3"/>
  <c r="I974" i="3"/>
  <c r="K975" i="3"/>
  <c r="D977" i="3"/>
  <c r="E978" i="3"/>
  <c r="F979" i="3"/>
  <c r="G980" i="3"/>
  <c r="H981" i="3"/>
  <c r="I982" i="3"/>
  <c r="K983" i="3"/>
  <c r="D985" i="3"/>
  <c r="E986" i="3"/>
  <c r="F987" i="3"/>
  <c r="G988" i="3"/>
  <c r="H989" i="3"/>
  <c r="I990" i="3"/>
  <c r="K991" i="3"/>
  <c r="D993" i="3"/>
  <c r="E994" i="3"/>
  <c r="F995" i="3"/>
  <c r="G996" i="3"/>
  <c r="H997" i="3"/>
  <c r="I998" i="3"/>
  <c r="K999" i="3"/>
  <c r="D1001" i="3"/>
  <c r="E1002" i="3"/>
  <c r="F1003" i="3"/>
  <c r="G1004" i="3"/>
  <c r="H1005" i="3"/>
  <c r="I1006" i="3"/>
  <c r="K1007" i="3"/>
  <c r="D1009" i="3"/>
  <c r="E1010" i="3"/>
  <c r="I696" i="3"/>
  <c r="E352" i="3"/>
  <c r="F353" i="3"/>
  <c r="G354" i="3"/>
  <c r="H355" i="3"/>
  <c r="I356" i="3"/>
  <c r="K357" i="3"/>
  <c r="D359" i="3"/>
  <c r="E360" i="3"/>
  <c r="F361" i="3"/>
  <c r="G362" i="3"/>
  <c r="H363" i="3"/>
  <c r="I364" i="3"/>
  <c r="K365" i="3"/>
  <c r="D367" i="3"/>
  <c r="E368" i="3"/>
  <c r="F369" i="3"/>
  <c r="G370" i="3"/>
  <c r="H371" i="3"/>
  <c r="I372" i="3"/>
  <c r="K373" i="3"/>
  <c r="D375" i="3"/>
  <c r="E376" i="3"/>
  <c r="F377" i="3"/>
  <c r="G378" i="3"/>
  <c r="H379" i="3"/>
  <c r="I380" i="3"/>
  <c r="K381" i="3"/>
  <c r="D383" i="3"/>
  <c r="E384" i="3"/>
  <c r="F385" i="3"/>
  <c r="G386" i="3"/>
  <c r="H387" i="3"/>
  <c r="I388" i="3"/>
  <c r="K389" i="3"/>
  <c r="D391" i="3"/>
  <c r="E392" i="3"/>
  <c r="F393" i="3"/>
  <c r="G394" i="3"/>
  <c r="H395" i="3"/>
  <c r="I396" i="3"/>
  <c r="K397" i="3"/>
  <c r="D399" i="3"/>
  <c r="E400" i="3"/>
  <c r="F401" i="3"/>
  <c r="G402" i="3"/>
  <c r="H403" i="3"/>
  <c r="I404" i="3"/>
  <c r="K405" i="3"/>
  <c r="D407" i="3"/>
  <c r="E408" i="3"/>
  <c r="F409" i="3"/>
  <c r="G410" i="3"/>
  <c r="H411" i="3"/>
  <c r="I412" i="3"/>
  <c r="K413" i="3"/>
  <c r="D415" i="3"/>
  <c r="E416" i="3"/>
  <c r="F417" i="3"/>
  <c r="G418" i="3"/>
  <c r="H419" i="3"/>
  <c r="I420" i="3"/>
  <c r="K421" i="3"/>
  <c r="D423" i="3"/>
  <c r="E424" i="3"/>
  <c r="F425" i="3"/>
  <c r="G426" i="3"/>
  <c r="H427" i="3"/>
  <c r="I428" i="3"/>
  <c r="K429" i="3"/>
  <c r="D431" i="3"/>
  <c r="E432" i="3"/>
  <c r="F433" i="3"/>
  <c r="G434" i="3"/>
  <c r="H435" i="3"/>
  <c r="I436" i="3"/>
  <c r="K437" i="3"/>
  <c r="D439" i="3"/>
  <c r="E440" i="3"/>
  <c r="F441" i="3"/>
  <c r="G442" i="3"/>
  <c r="H443" i="3"/>
  <c r="I444" i="3"/>
  <c r="K445" i="3"/>
  <c r="D447" i="3"/>
  <c r="E448" i="3"/>
  <c r="F449" i="3"/>
  <c r="G450" i="3"/>
  <c r="H451" i="3"/>
  <c r="I452" i="3"/>
  <c r="K453" i="3"/>
  <c r="D455" i="3"/>
  <c r="E456" i="3"/>
  <c r="F457" i="3"/>
  <c r="G458" i="3"/>
  <c r="H459" i="3"/>
  <c r="I460" i="3"/>
  <c r="K461" i="3"/>
  <c r="D463" i="3"/>
  <c r="E464" i="3"/>
  <c r="F465" i="3"/>
  <c r="G466" i="3"/>
  <c r="H467" i="3"/>
  <c r="I468" i="3"/>
  <c r="K469" i="3"/>
  <c r="D471" i="3"/>
  <c r="E472" i="3"/>
  <c r="F473" i="3"/>
  <c r="G474" i="3"/>
  <c r="H475" i="3"/>
  <c r="I476" i="3"/>
  <c r="K477" i="3"/>
  <c r="D479" i="3"/>
  <c r="E480" i="3"/>
  <c r="F481" i="3"/>
  <c r="G482" i="3"/>
  <c r="H483" i="3"/>
  <c r="I484" i="3"/>
  <c r="K485" i="3"/>
  <c r="D487" i="3"/>
  <c r="E488" i="3"/>
  <c r="F489" i="3"/>
  <c r="G490" i="3"/>
  <c r="H491" i="3"/>
  <c r="I492" i="3"/>
  <c r="K493" i="3"/>
  <c r="D495" i="3"/>
  <c r="E496" i="3"/>
  <c r="F497" i="3"/>
  <c r="G498" i="3"/>
  <c r="H499" i="3"/>
  <c r="I500" i="3"/>
  <c r="K501" i="3"/>
  <c r="D503" i="3"/>
  <c r="E504" i="3"/>
  <c r="F505" i="3"/>
  <c r="G506" i="3"/>
  <c r="H507" i="3"/>
  <c r="I508" i="3"/>
  <c r="K509" i="3"/>
  <c r="D511" i="3"/>
  <c r="E512" i="3"/>
  <c r="F513" i="3"/>
  <c r="G514" i="3"/>
  <c r="H515" i="3"/>
  <c r="I516" i="3"/>
  <c r="K517" i="3"/>
  <c r="D519" i="3"/>
  <c r="E520" i="3"/>
  <c r="F521" i="3"/>
  <c r="G522" i="3"/>
  <c r="H523" i="3"/>
  <c r="I524" i="3"/>
  <c r="K525" i="3"/>
  <c r="D527" i="3"/>
  <c r="E528" i="3"/>
  <c r="F529" i="3"/>
  <c r="G530" i="3"/>
  <c r="H531" i="3"/>
  <c r="I532" i="3"/>
  <c r="K533" i="3"/>
  <c r="D535" i="3"/>
  <c r="E536" i="3"/>
  <c r="F537" i="3"/>
  <c r="D1828" i="3"/>
  <c r="I1466" i="3"/>
  <c r="I1588" i="3"/>
  <c r="K1629" i="3"/>
  <c r="G1680" i="3"/>
  <c r="G1043" i="3"/>
  <c r="E1060" i="3"/>
  <c r="H1070" i="3"/>
  <c r="F1083" i="3"/>
  <c r="K1096" i="3"/>
  <c r="E1107" i="3"/>
  <c r="K1119" i="3"/>
  <c r="G1133" i="3"/>
  <c r="I1143" i="3"/>
  <c r="G1156" i="3"/>
  <c r="D1170" i="3"/>
  <c r="F1180" i="3"/>
  <c r="D1193" i="3"/>
  <c r="H1206" i="3"/>
  <c r="K1216" i="3"/>
  <c r="H1229" i="3"/>
  <c r="E1243" i="3"/>
  <c r="G1253" i="3"/>
  <c r="E1266" i="3"/>
  <c r="I1279" i="3"/>
  <c r="D1289" i="3"/>
  <c r="D1298" i="3"/>
  <c r="D1306" i="3"/>
  <c r="E1311" i="3"/>
  <c r="D1317" i="3"/>
  <c r="E1321" i="3"/>
  <c r="D1324" i="3"/>
  <c r="K1327" i="3"/>
  <c r="H1331" i="3"/>
  <c r="H1334" i="3"/>
  <c r="F1338" i="3"/>
  <c r="D1342" i="3"/>
  <c r="D1345" i="3"/>
  <c r="I1348" i="3"/>
  <c r="G1352" i="3"/>
  <c r="G1355" i="3"/>
  <c r="H697" i="3"/>
  <c r="F701" i="3"/>
  <c r="E705" i="3"/>
  <c r="D708" i="3"/>
  <c r="I711" i="3"/>
  <c r="H715" i="3"/>
  <c r="G718" i="3"/>
  <c r="F722" i="3"/>
  <c r="K725" i="3"/>
  <c r="G728" i="3"/>
  <c r="I731" i="3"/>
  <c r="D735" i="3"/>
  <c r="H737" i="3"/>
  <c r="K740" i="3"/>
  <c r="E744" i="3"/>
  <c r="I746" i="3"/>
  <c r="D750" i="3"/>
  <c r="F753" i="3"/>
  <c r="K755" i="3"/>
  <c r="E759" i="3"/>
  <c r="G762" i="3"/>
  <c r="D765" i="3"/>
  <c r="F768" i="3"/>
  <c r="H771" i="3"/>
  <c r="E774" i="3"/>
  <c r="G777" i="3"/>
  <c r="I780" i="3"/>
  <c r="F783" i="3"/>
  <c r="H786" i="3"/>
  <c r="K789" i="3"/>
  <c r="G792" i="3"/>
  <c r="I795" i="3"/>
  <c r="D799" i="3"/>
  <c r="H801" i="3"/>
  <c r="K804" i="3"/>
  <c r="E808" i="3"/>
  <c r="I810" i="3"/>
  <c r="D814" i="3"/>
  <c r="F817" i="3"/>
  <c r="K819" i="3"/>
  <c r="E823" i="3"/>
  <c r="G826" i="3"/>
  <c r="D829" i="3"/>
  <c r="F832" i="3"/>
  <c r="H835" i="3"/>
  <c r="E838" i="3"/>
  <c r="G841" i="3"/>
  <c r="I844" i="3"/>
  <c r="F847" i="3"/>
  <c r="H850" i="3"/>
  <c r="K853" i="3"/>
  <c r="G856" i="3"/>
  <c r="I859" i="3"/>
  <c r="D863" i="3"/>
  <c r="H865" i="3"/>
  <c r="K868" i="3"/>
  <c r="E872" i="3"/>
  <c r="I874" i="3"/>
  <c r="E877" i="3"/>
  <c r="G879" i="3"/>
  <c r="I881" i="3"/>
  <c r="D884" i="3"/>
  <c r="F886" i="3"/>
  <c r="H888" i="3"/>
  <c r="K890" i="3"/>
  <c r="E893" i="3"/>
  <c r="G895" i="3"/>
  <c r="I897" i="3"/>
  <c r="D900" i="3"/>
  <c r="F902" i="3"/>
  <c r="H904" i="3"/>
  <c r="K906" i="3"/>
  <c r="E909" i="3"/>
  <c r="G911" i="3"/>
  <c r="I913" i="3"/>
  <c r="D916" i="3"/>
  <c r="F918" i="3"/>
  <c r="H920" i="3"/>
  <c r="K922" i="3"/>
  <c r="E925" i="3"/>
  <c r="G927" i="3"/>
  <c r="I929" i="3"/>
  <c r="D932" i="3"/>
  <c r="F934" i="3"/>
  <c r="H936" i="3"/>
  <c r="K938" i="3"/>
  <c r="E941" i="3"/>
  <c r="G943" i="3"/>
  <c r="I945" i="3"/>
  <c r="K947" i="3"/>
  <c r="K949" i="3"/>
  <c r="G951" i="3"/>
  <c r="G953" i="3"/>
  <c r="G955" i="3"/>
  <c r="D957" i="3"/>
  <c r="D959" i="3"/>
  <c r="H960" i="3"/>
  <c r="H962" i="3"/>
  <c r="H964" i="3"/>
  <c r="E966" i="3"/>
  <c r="D968" i="3"/>
  <c r="F969" i="3"/>
  <c r="G970" i="3"/>
  <c r="H971" i="3"/>
  <c r="I972" i="3"/>
  <c r="K973" i="3"/>
  <c r="D975" i="3"/>
  <c r="E976" i="3"/>
  <c r="F977" i="3"/>
  <c r="G978" i="3"/>
  <c r="H979" i="3"/>
  <c r="I980" i="3"/>
  <c r="K981" i="3"/>
  <c r="D983" i="3"/>
  <c r="E984" i="3"/>
  <c r="F985" i="3"/>
  <c r="G986" i="3"/>
  <c r="H987" i="3"/>
  <c r="I988" i="3"/>
  <c r="K989" i="3"/>
  <c r="D991" i="3"/>
  <c r="E992" i="3"/>
  <c r="F993" i="3"/>
  <c r="G994" i="3"/>
  <c r="H995" i="3"/>
  <c r="I996" i="3"/>
  <c r="K997" i="3"/>
  <c r="D999" i="3"/>
  <c r="E1000" i="3"/>
  <c r="F1001" i="3"/>
  <c r="G1002" i="3"/>
  <c r="H1003" i="3"/>
  <c r="I1004" i="3"/>
  <c r="K1005" i="3"/>
  <c r="D1007" i="3"/>
  <c r="E1008" i="3"/>
  <c r="F1009" i="3"/>
  <c r="G1010" i="3"/>
  <c r="H696" i="3"/>
  <c r="G352" i="3"/>
  <c r="H353" i="3"/>
  <c r="I354" i="3"/>
  <c r="K355" i="3"/>
  <c r="D357" i="3"/>
  <c r="E358" i="3"/>
  <c r="F359" i="3"/>
  <c r="G360" i="3"/>
  <c r="H361" i="3"/>
  <c r="I362" i="3"/>
  <c r="K363" i="3"/>
  <c r="D365" i="3"/>
  <c r="E366" i="3"/>
  <c r="F367" i="3"/>
  <c r="G368" i="3"/>
  <c r="H369" i="3"/>
  <c r="I370" i="3"/>
  <c r="K371" i="3"/>
  <c r="D373" i="3"/>
  <c r="E374" i="3"/>
  <c r="F375" i="3"/>
  <c r="G376" i="3"/>
  <c r="H377" i="3"/>
  <c r="I378" i="3"/>
  <c r="K379" i="3"/>
  <c r="D381" i="3"/>
  <c r="E382" i="3"/>
  <c r="F383" i="3"/>
  <c r="G384" i="3"/>
  <c r="H385" i="3"/>
  <c r="I386" i="3"/>
  <c r="K387" i="3"/>
  <c r="D389" i="3"/>
  <c r="E390" i="3"/>
  <c r="F391" i="3"/>
  <c r="G392" i="3"/>
  <c r="H393" i="3"/>
  <c r="I394" i="3"/>
  <c r="K395" i="3"/>
  <c r="D397" i="3"/>
  <c r="E398" i="3"/>
  <c r="F399" i="3"/>
  <c r="G400" i="3"/>
  <c r="H401" i="3"/>
  <c r="I402" i="3"/>
  <c r="K403" i="3"/>
  <c r="D405" i="3"/>
  <c r="E406" i="3"/>
  <c r="F407" i="3"/>
  <c r="G408" i="3"/>
  <c r="H409" i="3"/>
  <c r="I410" i="3"/>
  <c r="K411" i="3"/>
  <c r="D413" i="3"/>
  <c r="E414" i="3"/>
  <c r="F415" i="3"/>
  <c r="G416" i="3"/>
  <c r="H417" i="3"/>
  <c r="I418" i="3"/>
  <c r="K419" i="3"/>
  <c r="D421" i="3"/>
  <c r="E422" i="3"/>
  <c r="F423" i="3"/>
  <c r="G424" i="3"/>
  <c r="H425" i="3"/>
  <c r="I426" i="3"/>
  <c r="K427" i="3"/>
  <c r="D429" i="3"/>
  <c r="E430" i="3"/>
  <c r="F431" i="3"/>
  <c r="G432" i="3"/>
  <c r="H433" i="3"/>
  <c r="I434" i="3"/>
  <c r="K435" i="3"/>
  <c r="D437" i="3"/>
  <c r="E438" i="3"/>
  <c r="F439" i="3"/>
  <c r="G440" i="3"/>
  <c r="H441" i="3"/>
  <c r="I442" i="3"/>
  <c r="K443" i="3"/>
  <c r="D445" i="3"/>
  <c r="E446" i="3"/>
  <c r="F447" i="3"/>
  <c r="G448" i="3"/>
  <c r="H449" i="3"/>
  <c r="I450" i="3"/>
  <c r="K451" i="3"/>
  <c r="D453" i="3"/>
  <c r="E454" i="3"/>
  <c r="F455" i="3"/>
  <c r="G456" i="3"/>
  <c r="H457" i="3"/>
  <c r="I458" i="3"/>
  <c r="K459" i="3"/>
  <c r="D461" i="3"/>
  <c r="E462" i="3"/>
  <c r="F463" i="3"/>
  <c r="G464" i="3"/>
  <c r="H465" i="3"/>
  <c r="I466" i="3"/>
  <c r="K467" i="3"/>
  <c r="D469" i="3"/>
  <c r="E470" i="3"/>
  <c r="F471" i="3"/>
  <c r="G472" i="3"/>
  <c r="H473" i="3"/>
  <c r="I474" i="3"/>
  <c r="K475" i="3"/>
  <c r="D477" i="3"/>
  <c r="E478" i="3"/>
  <c r="F479" i="3"/>
  <c r="G480" i="3"/>
  <c r="H481" i="3"/>
  <c r="I482" i="3"/>
  <c r="K483" i="3"/>
  <c r="D485" i="3"/>
  <c r="E486" i="3"/>
  <c r="F487" i="3"/>
  <c r="G488" i="3"/>
  <c r="H489" i="3"/>
  <c r="I490" i="3"/>
  <c r="K491" i="3"/>
  <c r="D493" i="3"/>
  <c r="E494" i="3"/>
  <c r="F495" i="3"/>
  <c r="G496" i="3"/>
  <c r="H497" i="3"/>
  <c r="I498" i="3"/>
  <c r="K499" i="3"/>
  <c r="D501" i="3"/>
  <c r="E502" i="3"/>
  <c r="F503" i="3"/>
  <c r="G504" i="3"/>
  <c r="H505" i="3"/>
  <c r="I506" i="3"/>
  <c r="K507" i="3"/>
  <c r="D509" i="3"/>
  <c r="E510" i="3"/>
  <c r="F511" i="3"/>
  <c r="G512" i="3"/>
  <c r="H513" i="3"/>
  <c r="I514" i="3"/>
  <c r="K515" i="3"/>
  <c r="D517" i="3"/>
  <c r="E518" i="3"/>
  <c r="F519" i="3"/>
  <c r="I1684" i="3"/>
  <c r="D1074" i="3"/>
  <c r="K1120" i="3"/>
  <c r="E1170" i="3"/>
  <c r="F1220" i="3"/>
  <c r="E1267" i="3"/>
  <c r="E1306" i="3"/>
  <c r="D1325" i="3"/>
  <c r="G1338" i="3"/>
  <c r="H1352" i="3"/>
  <c r="E704" i="3"/>
  <c r="F718" i="3"/>
  <c r="H731" i="3"/>
  <c r="F743" i="3"/>
  <c r="I755" i="3"/>
  <c r="E768" i="3"/>
  <c r="K779" i="3"/>
  <c r="F792" i="3"/>
  <c r="I804" i="3"/>
  <c r="G816" i="3"/>
  <c r="K828" i="3"/>
  <c r="F841" i="3"/>
  <c r="D853" i="3"/>
  <c r="G865" i="3"/>
  <c r="D877" i="3"/>
  <c r="E886" i="3"/>
  <c r="F895" i="3"/>
  <c r="G904" i="3"/>
  <c r="H913" i="3"/>
  <c r="I922" i="3"/>
  <c r="K931" i="3"/>
  <c r="D941" i="3"/>
  <c r="I949" i="3"/>
  <c r="K956" i="3"/>
  <c r="D964" i="3"/>
  <c r="F970" i="3"/>
  <c r="K974" i="3"/>
  <c r="G979" i="3"/>
  <c r="D984" i="3"/>
  <c r="H988" i="3"/>
  <c r="E993" i="3"/>
  <c r="I997" i="3"/>
  <c r="F1002" i="3"/>
  <c r="K1006" i="3"/>
  <c r="H354" i="3"/>
  <c r="E359" i="3"/>
  <c r="I363" i="3"/>
  <c r="F368" i="3"/>
  <c r="K372" i="3"/>
  <c r="G377" i="3"/>
  <c r="D382" i="3"/>
  <c r="H386" i="3"/>
  <c r="E391" i="3"/>
  <c r="I395" i="3"/>
  <c r="F400" i="3"/>
  <c r="K404" i="3"/>
  <c r="G409" i="3"/>
  <c r="D414" i="3"/>
  <c r="H418" i="3"/>
  <c r="E423" i="3"/>
  <c r="I427" i="3"/>
  <c r="F432" i="3"/>
  <c r="K436" i="3"/>
  <c r="G441" i="3"/>
  <c r="D446" i="3"/>
  <c r="H450" i="3"/>
  <c r="E455" i="3"/>
  <c r="I459" i="3"/>
  <c r="F464" i="3"/>
  <c r="K468" i="3"/>
  <c r="G473" i="3"/>
  <c r="D478" i="3"/>
  <c r="H482" i="3"/>
  <c r="G485" i="3"/>
  <c r="H488" i="3"/>
  <c r="G491" i="3"/>
  <c r="I493" i="3"/>
  <c r="D496" i="3"/>
  <c r="K497" i="3"/>
  <c r="I499" i="3"/>
  <c r="G501" i="3"/>
  <c r="G503" i="3"/>
  <c r="E505" i="3"/>
  <c r="D507" i="3"/>
  <c r="K508" i="3"/>
  <c r="H510" i="3"/>
  <c r="H512" i="3"/>
  <c r="F514" i="3"/>
  <c r="E516" i="3"/>
  <c r="D518" i="3"/>
  <c r="I519" i="3"/>
  <c r="G521" i="3"/>
  <c r="I522" i="3"/>
  <c r="D524" i="3"/>
  <c r="F525" i="3"/>
  <c r="H526" i="3"/>
  <c r="K527" i="3"/>
  <c r="E529" i="3"/>
  <c r="H530" i="3"/>
  <c r="K531" i="3"/>
  <c r="E533" i="3"/>
  <c r="G534" i="3"/>
  <c r="I535" i="3"/>
  <c r="D537" i="3"/>
  <c r="F538" i="3"/>
  <c r="G539" i="3"/>
  <c r="H540" i="3"/>
  <c r="I541" i="3"/>
  <c r="K542" i="3"/>
  <c r="D544" i="3"/>
  <c r="E545" i="3"/>
  <c r="F546" i="3"/>
  <c r="G547" i="3"/>
  <c r="H548" i="3"/>
  <c r="I549" i="3"/>
  <c r="K550" i="3"/>
  <c r="D552" i="3"/>
  <c r="E553" i="3"/>
  <c r="F554" i="3"/>
  <c r="G555" i="3"/>
  <c r="H556" i="3"/>
  <c r="I557" i="3"/>
  <c r="K558" i="3"/>
  <c r="D560" i="3"/>
  <c r="E561" i="3"/>
  <c r="F562" i="3"/>
  <c r="G563" i="3"/>
  <c r="H564" i="3"/>
  <c r="I565" i="3"/>
  <c r="K566" i="3"/>
  <c r="D568" i="3"/>
  <c r="E569" i="3"/>
  <c r="F570" i="3"/>
  <c r="G571" i="3"/>
  <c r="H572" i="3"/>
  <c r="I573" i="3"/>
  <c r="K574" i="3"/>
  <c r="D576" i="3"/>
  <c r="E577" i="3"/>
  <c r="F578" i="3"/>
  <c r="G579" i="3"/>
  <c r="H580" i="3"/>
  <c r="I581" i="3"/>
  <c r="K582" i="3"/>
  <c r="D584" i="3"/>
  <c r="E585" i="3"/>
  <c r="F586" i="3"/>
  <c r="G587" i="3"/>
  <c r="H588" i="3"/>
  <c r="I589" i="3"/>
  <c r="K590" i="3"/>
  <c r="D592" i="3"/>
  <c r="E593" i="3"/>
  <c r="F594" i="3"/>
  <c r="G595" i="3"/>
  <c r="H596" i="3"/>
  <c r="I597" i="3"/>
  <c r="K598" i="3"/>
  <c r="D600" i="3"/>
  <c r="E601" i="3"/>
  <c r="F602" i="3"/>
  <c r="G603" i="3"/>
  <c r="H604" i="3"/>
  <c r="I605" i="3"/>
  <c r="K606" i="3"/>
  <c r="D608" i="3"/>
  <c r="E609" i="3"/>
  <c r="F610" i="3"/>
  <c r="G611" i="3"/>
  <c r="H612" i="3"/>
  <c r="I613" i="3"/>
  <c r="K614" i="3"/>
  <c r="D616" i="3"/>
  <c r="E617" i="3"/>
  <c r="F618" i="3"/>
  <c r="G619" i="3"/>
  <c r="H620" i="3"/>
  <c r="I621" i="3"/>
  <c r="K622" i="3"/>
  <c r="D624" i="3"/>
  <c r="E625" i="3"/>
  <c r="F626" i="3"/>
  <c r="G627" i="3"/>
  <c r="H628" i="3"/>
  <c r="I629" i="3"/>
  <c r="K630" i="3"/>
  <c r="D632" i="3"/>
  <c r="E633" i="3"/>
  <c r="F634" i="3"/>
  <c r="G635" i="3"/>
  <c r="H636" i="3"/>
  <c r="I637" i="3"/>
  <c r="K638" i="3"/>
  <c r="D640" i="3"/>
  <c r="E641" i="3"/>
  <c r="F642" i="3"/>
  <c r="G643" i="3"/>
  <c r="H644" i="3"/>
  <c r="I645" i="3"/>
  <c r="K646" i="3"/>
  <c r="D648" i="3"/>
  <c r="E649" i="3"/>
  <c r="F650" i="3"/>
  <c r="G651" i="3"/>
  <c r="H652" i="3"/>
  <c r="I653" i="3"/>
  <c r="K654" i="3"/>
  <c r="D656" i="3"/>
  <c r="E657" i="3"/>
  <c r="F658" i="3"/>
  <c r="G659" i="3"/>
  <c r="H660" i="3"/>
  <c r="I661" i="3"/>
  <c r="K662" i="3"/>
  <c r="D664" i="3"/>
  <c r="E665" i="3"/>
  <c r="I351" i="3"/>
  <c r="E7" i="3"/>
  <c r="F8" i="3"/>
  <c r="G9" i="3"/>
  <c r="H10" i="3"/>
  <c r="I11" i="3"/>
  <c r="K12" i="3"/>
  <c r="D14" i="3"/>
  <c r="E15" i="3"/>
  <c r="F16" i="3"/>
  <c r="G17" i="3"/>
  <c r="H18" i="3"/>
  <c r="I19" i="3"/>
  <c r="K20" i="3"/>
  <c r="D22" i="3"/>
  <c r="E23" i="3"/>
  <c r="F24" i="3"/>
  <c r="G25" i="3"/>
  <c r="H26" i="3"/>
  <c r="I27" i="3"/>
  <c r="K28" i="3"/>
  <c r="D30" i="3"/>
  <c r="E31" i="3"/>
  <c r="F32" i="3"/>
  <c r="G33" i="3"/>
  <c r="H34" i="3"/>
  <c r="I35" i="3"/>
  <c r="K36" i="3"/>
  <c r="D38" i="3"/>
  <c r="E39" i="3"/>
  <c r="F40" i="3"/>
  <c r="G41" i="3"/>
  <c r="H42" i="3"/>
  <c r="I43" i="3"/>
  <c r="K44" i="3"/>
  <c r="D46" i="3"/>
  <c r="E47" i="3"/>
  <c r="F48" i="3"/>
  <c r="G49" i="3"/>
  <c r="H50" i="3"/>
  <c r="I51" i="3"/>
  <c r="K52" i="3"/>
  <c r="D54" i="3"/>
  <c r="E55" i="3"/>
  <c r="F56" i="3"/>
  <c r="G57" i="3"/>
  <c r="H58" i="3"/>
  <c r="I59" i="3"/>
  <c r="K60" i="3"/>
  <c r="D62" i="3"/>
  <c r="E63" i="3"/>
  <c r="F64" i="3"/>
  <c r="G65" i="3"/>
  <c r="H66" i="3"/>
  <c r="I67" i="3"/>
  <c r="K68" i="3"/>
  <c r="D70" i="3"/>
  <c r="E71" i="3"/>
  <c r="F72" i="3"/>
  <c r="G73" i="3"/>
  <c r="H74" i="3"/>
  <c r="I75" i="3"/>
  <c r="K76" i="3"/>
  <c r="D78" i="3"/>
  <c r="E79" i="3"/>
  <c r="F80" i="3"/>
  <c r="G81" i="3"/>
  <c r="H82" i="3"/>
  <c r="I83" i="3"/>
  <c r="K84" i="3"/>
  <c r="D86" i="3"/>
  <c r="E87" i="3"/>
  <c r="F88" i="3"/>
  <c r="G89" i="3"/>
  <c r="H90" i="3"/>
  <c r="I91" i="3"/>
  <c r="K92" i="3"/>
  <c r="D94" i="3"/>
  <c r="E95" i="3"/>
  <c r="F96" i="3"/>
  <c r="G97" i="3"/>
  <c r="H98" i="3"/>
  <c r="I99" i="3"/>
  <c r="K100" i="3"/>
  <c r="D102" i="3"/>
  <c r="E103" i="3"/>
  <c r="F104" i="3"/>
  <c r="G105" i="3"/>
  <c r="H106" i="3"/>
  <c r="I107" i="3"/>
  <c r="K108" i="3"/>
  <c r="D110" i="3"/>
  <c r="E111" i="3"/>
  <c r="F112" i="3"/>
  <c r="G113" i="3"/>
  <c r="H114" i="3"/>
  <c r="I115" i="3"/>
  <c r="K116" i="3"/>
  <c r="D118" i="3"/>
  <c r="E119" i="3"/>
  <c r="F120" i="3"/>
  <c r="G121" i="3"/>
  <c r="H122" i="3"/>
  <c r="I123" i="3"/>
  <c r="K124" i="3"/>
  <c r="D126" i="3"/>
  <c r="E127" i="3"/>
  <c r="F128" i="3"/>
  <c r="G129" i="3"/>
  <c r="H130" i="3"/>
  <c r="I131" i="3"/>
  <c r="K132" i="3"/>
  <c r="D134" i="3"/>
  <c r="E135" i="3"/>
  <c r="F136" i="3"/>
  <c r="G137" i="3"/>
  <c r="H138" i="3"/>
  <c r="I139" i="3"/>
  <c r="K140" i="3"/>
  <c r="D142" i="3"/>
  <c r="E143" i="3"/>
  <c r="F144" i="3"/>
  <c r="G145" i="3"/>
  <c r="H1465" i="3"/>
  <c r="E1083" i="3"/>
  <c r="D1130" i="3"/>
  <c r="F1179" i="3"/>
  <c r="G1229" i="3"/>
  <c r="F1276" i="3"/>
  <c r="I1310" i="3"/>
  <c r="I1327" i="3"/>
  <c r="D1341" i="3"/>
  <c r="F1355" i="3"/>
  <c r="F705" i="3"/>
  <c r="G719" i="3"/>
  <c r="K731" i="3"/>
  <c r="F744" i="3"/>
  <c r="I756" i="3"/>
  <c r="G768" i="3"/>
  <c r="K780" i="3"/>
  <c r="F793" i="3"/>
  <c r="D805" i="3"/>
  <c r="G817" i="3"/>
  <c r="K829" i="3"/>
  <c r="H841" i="3"/>
  <c r="D854" i="3"/>
  <c r="G866" i="3"/>
  <c r="K877" i="3"/>
  <c r="D887" i="3"/>
  <c r="E896" i="3"/>
  <c r="F905" i="3"/>
  <c r="G914" i="3"/>
  <c r="H923" i="3"/>
  <c r="I932" i="3"/>
  <c r="K941" i="3"/>
  <c r="D950" i="3"/>
  <c r="E957" i="3"/>
  <c r="I964" i="3"/>
  <c r="H970" i="3"/>
  <c r="E975" i="3"/>
  <c r="I979" i="3"/>
  <c r="F984" i="3"/>
  <c r="K988" i="3"/>
  <c r="G993" i="3"/>
  <c r="D998" i="3"/>
  <c r="H1002" i="3"/>
  <c r="E1007" i="3"/>
  <c r="K354" i="3"/>
  <c r="G359" i="3"/>
  <c r="D364" i="3"/>
  <c r="H368" i="3"/>
  <c r="E373" i="3"/>
  <c r="I377" i="3"/>
  <c r="F382" i="3"/>
  <c r="K386" i="3"/>
  <c r="G391" i="3"/>
  <c r="D396" i="3"/>
  <c r="H400" i="3"/>
  <c r="E405" i="3"/>
  <c r="I409" i="3"/>
  <c r="F414" i="3"/>
  <c r="K418" i="3"/>
  <c r="G423" i="3"/>
  <c r="D428" i="3"/>
  <c r="H432" i="3"/>
  <c r="E437" i="3"/>
  <c r="I441" i="3"/>
  <c r="F446" i="3"/>
  <c r="K450" i="3"/>
  <c r="G455" i="3"/>
  <c r="D460" i="3"/>
  <c r="H464" i="3"/>
  <c r="E469" i="3"/>
  <c r="I473" i="3"/>
  <c r="F478" i="3"/>
  <c r="K482" i="3"/>
  <c r="D486" i="3"/>
  <c r="K488" i="3"/>
  <c r="I491" i="3"/>
  <c r="D494" i="3"/>
  <c r="F496" i="3"/>
  <c r="D498" i="3"/>
  <c r="D500" i="3"/>
  <c r="I501" i="3"/>
  <c r="H503" i="3"/>
  <c r="G505" i="3"/>
  <c r="E507" i="3"/>
  <c r="E509" i="3"/>
  <c r="K510" i="3"/>
  <c r="I512" i="3"/>
  <c r="H514" i="3"/>
  <c r="F516" i="3"/>
  <c r="F518" i="3"/>
  <c r="D520" i="3"/>
  <c r="H521" i="3"/>
  <c r="K522" i="3"/>
  <c r="E524" i="3"/>
  <c r="G525" i="3"/>
  <c r="I526" i="3"/>
  <c r="D528" i="3"/>
  <c r="G529" i="3"/>
  <c r="I530" i="3"/>
  <c r="D532" i="3"/>
  <c r="F533" i="3"/>
  <c r="H534" i="3"/>
  <c r="K535" i="3"/>
  <c r="E537" i="3"/>
  <c r="G538" i="3"/>
  <c r="H539" i="3"/>
  <c r="I540" i="3"/>
  <c r="K541" i="3"/>
  <c r="D543" i="3"/>
  <c r="E544" i="3"/>
  <c r="F545" i="3"/>
  <c r="G546" i="3"/>
  <c r="H547" i="3"/>
  <c r="I548" i="3"/>
  <c r="K549" i="3"/>
  <c r="D551" i="3"/>
  <c r="E552" i="3"/>
  <c r="F553" i="3"/>
  <c r="G554" i="3"/>
  <c r="H555" i="3"/>
  <c r="I556" i="3"/>
  <c r="K557" i="3"/>
  <c r="D559" i="3"/>
  <c r="E560" i="3"/>
  <c r="F561" i="3"/>
  <c r="G562" i="3"/>
  <c r="H563" i="3"/>
  <c r="I564" i="3"/>
  <c r="K565" i="3"/>
  <c r="D567" i="3"/>
  <c r="E568" i="3"/>
  <c r="F569" i="3"/>
  <c r="G570" i="3"/>
  <c r="H571" i="3"/>
  <c r="I572" i="3"/>
  <c r="K573" i="3"/>
  <c r="D575" i="3"/>
  <c r="E576" i="3"/>
  <c r="F577" i="3"/>
  <c r="G578" i="3"/>
  <c r="H579" i="3"/>
  <c r="I580" i="3"/>
  <c r="K581" i="3"/>
  <c r="D583" i="3"/>
  <c r="E584" i="3"/>
  <c r="F585" i="3"/>
  <c r="G586" i="3"/>
  <c r="H587" i="3"/>
  <c r="I588" i="3"/>
  <c r="K589" i="3"/>
  <c r="D591" i="3"/>
  <c r="E592" i="3"/>
  <c r="F593" i="3"/>
  <c r="G594" i="3"/>
  <c r="H595" i="3"/>
  <c r="I596" i="3"/>
  <c r="K597" i="3"/>
  <c r="D599" i="3"/>
  <c r="E600" i="3"/>
  <c r="F601" i="3"/>
  <c r="G602" i="3"/>
  <c r="H603" i="3"/>
  <c r="I604" i="3"/>
  <c r="K605" i="3"/>
  <c r="D607" i="3"/>
  <c r="E608" i="3"/>
  <c r="F609" i="3"/>
  <c r="G610" i="3"/>
  <c r="H611" i="3"/>
  <c r="I612" i="3"/>
  <c r="K613" i="3"/>
  <c r="D615" i="3"/>
  <c r="E616" i="3"/>
  <c r="F617" i="3"/>
  <c r="G618" i="3"/>
  <c r="H619" i="3"/>
  <c r="I620" i="3"/>
  <c r="K621" i="3"/>
  <c r="D623" i="3"/>
  <c r="E624" i="3"/>
  <c r="F625" i="3"/>
  <c r="G626" i="3"/>
  <c r="H627" i="3"/>
  <c r="I628" i="3"/>
  <c r="K629" i="3"/>
  <c r="D631" i="3"/>
  <c r="E632" i="3"/>
  <c r="F633" i="3"/>
  <c r="G634" i="3"/>
  <c r="H635" i="3"/>
  <c r="I636" i="3"/>
  <c r="K637" i="3"/>
  <c r="D639" i="3"/>
  <c r="E640" i="3"/>
  <c r="F641" i="3"/>
  <c r="G642" i="3"/>
  <c r="H643" i="3"/>
  <c r="I644" i="3"/>
  <c r="K645" i="3"/>
  <c r="D647" i="3"/>
  <c r="E648" i="3"/>
  <c r="F649" i="3"/>
  <c r="G650" i="3"/>
  <c r="H651" i="3"/>
  <c r="I652" i="3"/>
  <c r="K653" i="3"/>
  <c r="D655" i="3"/>
  <c r="E656" i="3"/>
  <c r="F657" i="3"/>
  <c r="G658" i="3"/>
  <c r="H659" i="3"/>
  <c r="I660" i="3"/>
  <c r="K661" i="3"/>
  <c r="D663" i="3"/>
  <c r="E664" i="3"/>
  <c r="F665" i="3"/>
  <c r="K351" i="3"/>
  <c r="F7" i="3"/>
  <c r="G8" i="3"/>
  <c r="H9" i="3"/>
  <c r="I10" i="3"/>
  <c r="K11" i="3"/>
  <c r="D13" i="3"/>
  <c r="E14" i="3"/>
  <c r="F15" i="3"/>
  <c r="G16" i="3"/>
  <c r="H17" i="3"/>
  <c r="I18" i="3"/>
  <c r="K19" i="3"/>
  <c r="D21" i="3"/>
  <c r="E22" i="3"/>
  <c r="F23" i="3"/>
  <c r="G24" i="3"/>
  <c r="H25" i="3"/>
  <c r="I26" i="3"/>
  <c r="K27" i="3"/>
  <c r="D29" i="3"/>
  <c r="E30" i="3"/>
  <c r="F31" i="3"/>
  <c r="G32" i="3"/>
  <c r="H33" i="3"/>
  <c r="I34" i="3"/>
  <c r="K35" i="3"/>
  <c r="D37" i="3"/>
  <c r="E38" i="3"/>
  <c r="F39" i="3"/>
  <c r="G40" i="3"/>
  <c r="H41" i="3"/>
  <c r="I42" i="3"/>
  <c r="K43" i="3"/>
  <c r="D45" i="3"/>
  <c r="E46" i="3"/>
  <c r="F47" i="3"/>
  <c r="G48" i="3"/>
  <c r="H49" i="3"/>
  <c r="I50" i="3"/>
  <c r="K51" i="3"/>
  <c r="D53" i="3"/>
  <c r="E54" i="3"/>
  <c r="F55" i="3"/>
  <c r="G56" i="3"/>
  <c r="H57" i="3"/>
  <c r="I58" i="3"/>
  <c r="K59" i="3"/>
  <c r="D61" i="3"/>
  <c r="E62" i="3"/>
  <c r="F63" i="3"/>
  <c r="G64" i="3"/>
  <c r="H65" i="3"/>
  <c r="I66" i="3"/>
  <c r="K67" i="3"/>
  <c r="D69" i="3"/>
  <c r="E70" i="3"/>
  <c r="F71" i="3"/>
  <c r="G72" i="3"/>
  <c r="H73" i="3"/>
  <c r="I74" i="3"/>
  <c r="K75" i="3"/>
  <c r="D77" i="3"/>
  <c r="E78" i="3"/>
  <c r="F79" i="3"/>
  <c r="G80" i="3"/>
  <c r="H81" i="3"/>
  <c r="I82" i="3"/>
  <c r="K83" i="3"/>
  <c r="D85" i="3"/>
  <c r="E86" i="3"/>
  <c r="F87" i="3"/>
  <c r="G88" i="3"/>
  <c r="H89" i="3"/>
  <c r="I90" i="3"/>
  <c r="K91" i="3"/>
  <c r="D93" i="3"/>
  <c r="E94" i="3"/>
  <c r="F95" i="3"/>
  <c r="G96" i="3"/>
  <c r="H97" i="3"/>
  <c r="I98" i="3"/>
  <c r="K99" i="3"/>
  <c r="D101" i="3"/>
  <c r="E102" i="3"/>
  <c r="F103" i="3"/>
  <c r="G104" i="3"/>
  <c r="H105" i="3"/>
  <c r="I106" i="3"/>
  <c r="K107" i="3"/>
  <c r="D109" i="3"/>
  <c r="E110" i="3"/>
  <c r="F111" i="3"/>
  <c r="G112" i="3"/>
  <c r="H113" i="3"/>
  <c r="I114" i="3"/>
  <c r="K115" i="3"/>
  <c r="D117" i="3"/>
  <c r="E118" i="3"/>
  <c r="F119" i="3"/>
  <c r="G120" i="3"/>
  <c r="H121" i="3"/>
  <c r="I122" i="3"/>
  <c r="K123" i="3"/>
  <c r="D125" i="3"/>
  <c r="E126" i="3"/>
  <c r="F127" i="3"/>
  <c r="G128" i="3"/>
  <c r="H129" i="3"/>
  <c r="I130" i="3"/>
  <c r="K131" i="3"/>
  <c r="D133" i="3"/>
  <c r="E134" i="3"/>
  <c r="F135" i="3"/>
  <c r="G136" i="3"/>
  <c r="H137" i="3"/>
  <c r="I138" i="3"/>
  <c r="K139" i="3"/>
  <c r="D141" i="3"/>
  <c r="E142" i="3"/>
  <c r="F143" i="3"/>
  <c r="G144" i="3"/>
  <c r="H145" i="3"/>
  <c r="I146" i="3"/>
  <c r="K147" i="3"/>
  <c r="K1483" i="3"/>
  <c r="F1084" i="3"/>
  <c r="H1133" i="3"/>
  <c r="I1183" i="3"/>
  <c r="H1230" i="3"/>
  <c r="K1279" i="3"/>
  <c r="K1312" i="3"/>
  <c r="D1328" i="3"/>
  <c r="E1342" i="3"/>
  <c r="K707" i="3"/>
  <c r="D722" i="3"/>
  <c r="E734" i="3"/>
  <c r="H746" i="3"/>
  <c r="D759" i="3"/>
  <c r="I770" i="3"/>
  <c r="E783" i="3"/>
  <c r="H795" i="3"/>
  <c r="F807" i="3"/>
  <c r="I819" i="3"/>
  <c r="E832" i="3"/>
  <c r="K843" i="3"/>
  <c r="F856" i="3"/>
  <c r="I868" i="3"/>
  <c r="F879" i="3"/>
  <c r="G888" i="3"/>
  <c r="H897" i="3"/>
  <c r="I906" i="3"/>
  <c r="K915" i="3"/>
  <c r="D925" i="3"/>
  <c r="E934" i="3"/>
  <c r="F943" i="3"/>
  <c r="F951" i="3"/>
  <c r="K958" i="3"/>
  <c r="D966" i="3"/>
  <c r="G971" i="3"/>
  <c r="D976" i="3"/>
  <c r="H980" i="3"/>
  <c r="E985" i="3"/>
  <c r="I989" i="3"/>
  <c r="F994" i="3"/>
  <c r="K998" i="3"/>
  <c r="G1003" i="3"/>
  <c r="D1008" i="3"/>
  <c r="K696" i="3"/>
  <c r="I355" i="3"/>
  <c r="F360" i="3"/>
  <c r="K364" i="3"/>
  <c r="G369" i="3"/>
  <c r="D374" i="3"/>
  <c r="H378" i="3"/>
  <c r="E383" i="3"/>
  <c r="I387" i="3"/>
  <c r="F392" i="3"/>
  <c r="K396" i="3"/>
  <c r="G401" i="3"/>
  <c r="D406" i="3"/>
  <c r="H410" i="3"/>
  <c r="E415" i="3"/>
  <c r="I419" i="3"/>
  <c r="F424" i="3"/>
  <c r="K428" i="3"/>
  <c r="G433" i="3"/>
  <c r="D438" i="3"/>
  <c r="H442" i="3"/>
  <c r="E447" i="3"/>
  <c r="I451" i="3"/>
  <c r="F456" i="3"/>
  <c r="K460" i="3"/>
  <c r="G465" i="3"/>
  <c r="D470" i="3"/>
  <c r="H474" i="3"/>
  <c r="E479" i="3"/>
  <c r="E483" i="3"/>
  <c r="F486" i="3"/>
  <c r="G489" i="3"/>
  <c r="D492" i="3"/>
  <c r="F494" i="3"/>
  <c r="H496" i="3"/>
  <c r="F498" i="3"/>
  <c r="E500" i="3"/>
  <c r="D502" i="3"/>
  <c r="I503" i="3"/>
  <c r="I505" i="3"/>
  <c r="G507" i="3"/>
  <c r="F509" i="3"/>
  <c r="E511" i="3"/>
  <c r="K512" i="3"/>
  <c r="K514" i="3"/>
  <c r="H516" i="3"/>
  <c r="G518" i="3"/>
  <c r="F520" i="3"/>
  <c r="I521" i="3"/>
  <c r="D523" i="3"/>
  <c r="F524" i="3"/>
  <c r="H525" i="3"/>
  <c r="K526" i="3"/>
  <c r="F528" i="3"/>
  <c r="H529" i="3"/>
  <c r="K530" i="3"/>
  <c r="E532" i="3"/>
  <c r="G533" i="3"/>
  <c r="I534" i="3"/>
  <c r="D536" i="3"/>
  <c r="G537" i="3"/>
  <c r="H538" i="3"/>
  <c r="I539" i="3"/>
  <c r="K540" i="3"/>
  <c r="D542" i="3"/>
  <c r="E543" i="3"/>
  <c r="F544" i="3"/>
  <c r="G545" i="3"/>
  <c r="H546" i="3"/>
  <c r="I547" i="3"/>
  <c r="K548" i="3"/>
  <c r="D550" i="3"/>
  <c r="E551" i="3"/>
  <c r="F552" i="3"/>
  <c r="G553" i="3"/>
  <c r="H554" i="3"/>
  <c r="I555" i="3"/>
  <c r="K556" i="3"/>
  <c r="D558" i="3"/>
  <c r="E559" i="3"/>
  <c r="F560" i="3"/>
  <c r="G561" i="3"/>
  <c r="H562" i="3"/>
  <c r="I563" i="3"/>
  <c r="K564" i="3"/>
  <c r="D566" i="3"/>
  <c r="E567" i="3"/>
  <c r="F568" i="3"/>
  <c r="G569" i="3"/>
  <c r="H570" i="3"/>
  <c r="I571" i="3"/>
  <c r="K572" i="3"/>
  <c r="D574" i="3"/>
  <c r="E575" i="3"/>
  <c r="F576" i="3"/>
  <c r="G577" i="3"/>
  <c r="H578" i="3"/>
  <c r="I579" i="3"/>
  <c r="K580" i="3"/>
  <c r="D582" i="3"/>
  <c r="E583" i="3"/>
  <c r="F584" i="3"/>
  <c r="G585" i="3"/>
  <c r="H586" i="3"/>
  <c r="I587" i="3"/>
  <c r="K588" i="3"/>
  <c r="D590" i="3"/>
  <c r="E591" i="3"/>
  <c r="F592" i="3"/>
  <c r="G593" i="3"/>
  <c r="H594" i="3"/>
  <c r="I595" i="3"/>
  <c r="K596" i="3"/>
  <c r="D598" i="3"/>
  <c r="E599" i="3"/>
  <c r="F600" i="3"/>
  <c r="G601" i="3"/>
  <c r="H602" i="3"/>
  <c r="I603" i="3"/>
  <c r="K604" i="3"/>
  <c r="D606" i="3"/>
  <c r="E607" i="3"/>
  <c r="F608" i="3"/>
  <c r="G609" i="3"/>
  <c r="H610" i="3"/>
  <c r="I611" i="3"/>
  <c r="K612" i="3"/>
  <c r="D614" i="3"/>
  <c r="E615" i="3"/>
  <c r="F616" i="3"/>
  <c r="G617" i="3"/>
  <c r="H618" i="3"/>
  <c r="I619" i="3"/>
  <c r="K620" i="3"/>
  <c r="D622" i="3"/>
  <c r="E623" i="3"/>
  <c r="F624" i="3"/>
  <c r="G625" i="3"/>
  <c r="H626" i="3"/>
  <c r="I627" i="3"/>
  <c r="K628" i="3"/>
  <c r="D630" i="3"/>
  <c r="E631" i="3"/>
  <c r="F632" i="3"/>
  <c r="G633" i="3"/>
  <c r="H634" i="3"/>
  <c r="I635" i="3"/>
  <c r="K636" i="3"/>
  <c r="D638" i="3"/>
  <c r="E639" i="3"/>
  <c r="F640" i="3"/>
  <c r="G641" i="3"/>
  <c r="H642" i="3"/>
  <c r="I643" i="3"/>
  <c r="K644" i="3"/>
  <c r="D646" i="3"/>
  <c r="E647" i="3"/>
  <c r="F648" i="3"/>
  <c r="G649" i="3"/>
  <c r="H650" i="3"/>
  <c r="I651" i="3"/>
  <c r="K652" i="3"/>
  <c r="D654" i="3"/>
  <c r="E655" i="3"/>
  <c r="F656" i="3"/>
  <c r="G657" i="3"/>
  <c r="H658" i="3"/>
  <c r="I659" i="3"/>
  <c r="K660" i="3"/>
  <c r="D662" i="3"/>
  <c r="E663" i="3"/>
  <c r="F664" i="3"/>
  <c r="G665" i="3"/>
  <c r="H351" i="3"/>
  <c r="G7" i="3"/>
  <c r="H8" i="3"/>
  <c r="I9" i="3"/>
  <c r="K10" i="3"/>
  <c r="D12" i="3"/>
  <c r="E13" i="3"/>
  <c r="F14" i="3"/>
  <c r="G15" i="3"/>
  <c r="H16" i="3"/>
  <c r="I17" i="3"/>
  <c r="K18" i="3"/>
  <c r="D20" i="3"/>
  <c r="E21" i="3"/>
  <c r="F22" i="3"/>
  <c r="G23" i="3"/>
  <c r="H24" i="3"/>
  <c r="I25" i="3"/>
  <c r="K26" i="3"/>
  <c r="D28" i="3"/>
  <c r="E29" i="3"/>
  <c r="F30" i="3"/>
  <c r="G31" i="3"/>
  <c r="H32" i="3"/>
  <c r="I33" i="3"/>
  <c r="K34" i="3"/>
  <c r="D36" i="3"/>
  <c r="E37" i="3"/>
  <c r="F38" i="3"/>
  <c r="G39" i="3"/>
  <c r="H40" i="3"/>
  <c r="I41" i="3"/>
  <c r="K42" i="3"/>
  <c r="D44" i="3"/>
  <c r="E45" i="3"/>
  <c r="F46" i="3"/>
  <c r="G47" i="3"/>
  <c r="H48" i="3"/>
  <c r="I49" i="3"/>
  <c r="K50" i="3"/>
  <c r="D52" i="3"/>
  <c r="E53" i="3"/>
  <c r="F54" i="3"/>
  <c r="G55" i="3"/>
  <c r="H56" i="3"/>
  <c r="I57" i="3"/>
  <c r="K58" i="3"/>
  <c r="D60" i="3"/>
  <c r="E61" i="3"/>
  <c r="F62" i="3"/>
  <c r="G63" i="3"/>
  <c r="H64" i="3"/>
  <c r="I65" i="3"/>
  <c r="K66" i="3"/>
  <c r="D68" i="3"/>
  <c r="E69" i="3"/>
  <c r="F70" i="3"/>
  <c r="G71" i="3"/>
  <c r="H72" i="3"/>
  <c r="I73" i="3"/>
  <c r="K74" i="3"/>
  <c r="D76" i="3"/>
  <c r="E77" i="3"/>
  <c r="F78" i="3"/>
  <c r="G79" i="3"/>
  <c r="H80" i="3"/>
  <c r="I81" i="3"/>
  <c r="K82" i="3"/>
  <c r="D84" i="3"/>
  <c r="E85" i="3"/>
  <c r="F86" i="3"/>
  <c r="G87" i="3"/>
  <c r="H88" i="3"/>
  <c r="I89" i="3"/>
  <c r="K90" i="3"/>
  <c r="D92" i="3"/>
  <c r="E93" i="3"/>
  <c r="F94" i="3"/>
  <c r="G95" i="3"/>
  <c r="H96" i="3"/>
  <c r="I97" i="3"/>
  <c r="K98" i="3"/>
  <c r="D100" i="3"/>
  <c r="E101" i="3"/>
  <c r="F102" i="3"/>
  <c r="G103" i="3"/>
  <c r="H104" i="3"/>
  <c r="I105" i="3"/>
  <c r="K106" i="3"/>
  <c r="D108" i="3"/>
  <c r="E109" i="3"/>
  <c r="F110" i="3"/>
  <c r="G111" i="3"/>
  <c r="H112" i="3"/>
  <c r="I113" i="3"/>
  <c r="K114" i="3"/>
  <c r="D116" i="3"/>
  <c r="E117" i="3"/>
  <c r="F118" i="3"/>
  <c r="G119" i="3"/>
  <c r="H120" i="3"/>
  <c r="I121" i="3"/>
  <c r="K122" i="3"/>
  <c r="D124" i="3"/>
  <c r="E125" i="3"/>
  <c r="F126" i="3"/>
  <c r="G127" i="3"/>
  <c r="H128" i="3"/>
  <c r="I129" i="3"/>
  <c r="K130" i="3"/>
  <c r="D132" i="3"/>
  <c r="E133" i="3"/>
  <c r="F134" i="3"/>
  <c r="G135" i="3"/>
  <c r="H136" i="3"/>
  <c r="I137" i="3"/>
  <c r="K138" i="3"/>
  <c r="D140" i="3"/>
  <c r="E141" i="3"/>
  <c r="F142" i="3"/>
  <c r="G143" i="3"/>
  <c r="H144" i="3"/>
  <c r="G1574" i="3"/>
  <c r="D1043" i="3"/>
  <c r="G1093" i="3"/>
  <c r="I1142" i="3"/>
  <c r="K1192" i="3"/>
  <c r="I1239" i="3"/>
  <c r="K1288" i="3"/>
  <c r="K1316" i="3"/>
  <c r="H1330" i="3"/>
  <c r="K1344" i="3"/>
  <c r="D709" i="3"/>
  <c r="G722" i="3"/>
  <c r="E735" i="3"/>
  <c r="H747" i="3"/>
  <c r="F759" i="3"/>
  <c r="I771" i="3"/>
  <c r="E784" i="3"/>
  <c r="K795" i="3"/>
  <c r="F808" i="3"/>
  <c r="I820" i="3"/>
  <c r="G832" i="3"/>
  <c r="K844" i="3"/>
  <c r="F857" i="3"/>
  <c r="D869" i="3"/>
  <c r="E880" i="3"/>
  <c r="F889" i="3"/>
  <c r="G898" i="3"/>
  <c r="H907" i="3"/>
  <c r="I916" i="3"/>
  <c r="K925" i="3"/>
  <c r="D935" i="3"/>
  <c r="E944" i="3"/>
  <c r="D952" i="3"/>
  <c r="E959" i="3"/>
  <c r="F966" i="3"/>
  <c r="I971" i="3"/>
  <c r="F976" i="3"/>
  <c r="K980" i="3"/>
  <c r="G985" i="3"/>
  <c r="D990" i="3"/>
  <c r="H994" i="3"/>
  <c r="E999" i="3"/>
  <c r="I1003" i="3"/>
  <c r="F1008" i="3"/>
  <c r="G696" i="3"/>
  <c r="D356" i="3"/>
  <c r="H360" i="3"/>
  <c r="E365" i="3"/>
  <c r="I369" i="3"/>
  <c r="F374" i="3"/>
  <c r="K378" i="3"/>
  <c r="G383" i="3"/>
  <c r="D388" i="3"/>
  <c r="H392" i="3"/>
  <c r="E397" i="3"/>
  <c r="I401" i="3"/>
  <c r="F406" i="3"/>
  <c r="K410" i="3"/>
  <c r="G415" i="3"/>
  <c r="D420" i="3"/>
  <c r="H424" i="3"/>
  <c r="E429" i="3"/>
  <c r="I433" i="3"/>
  <c r="F438" i="3"/>
  <c r="K442" i="3"/>
  <c r="G447" i="3"/>
  <c r="D452" i="3"/>
  <c r="H456" i="3"/>
  <c r="E461" i="3"/>
  <c r="I465" i="3"/>
  <c r="F470" i="3"/>
  <c r="K474" i="3"/>
  <c r="G479" i="3"/>
  <c r="I483" i="3"/>
  <c r="H486" i="3"/>
  <c r="I489" i="3"/>
  <c r="F492" i="3"/>
  <c r="H494" i="3"/>
  <c r="I496" i="3"/>
  <c r="H498" i="3"/>
  <c r="F500" i="3"/>
  <c r="F502" i="3"/>
  <c r="D504" i="3"/>
  <c r="K505" i="3"/>
  <c r="I507" i="3"/>
  <c r="G509" i="3"/>
  <c r="G511" i="3"/>
  <c r="E513" i="3"/>
  <c r="D515" i="3"/>
  <c r="K516" i="3"/>
  <c r="H518" i="3"/>
  <c r="G520" i="3"/>
  <c r="K521" i="3"/>
  <c r="E523" i="3"/>
  <c r="G524" i="3"/>
  <c r="I525" i="3"/>
  <c r="E527" i="3"/>
  <c r="G528" i="3"/>
  <c r="I529" i="3"/>
  <c r="D531" i="3"/>
  <c r="F532" i="3"/>
  <c r="H533" i="3"/>
  <c r="K534" i="3"/>
  <c r="F536" i="3"/>
  <c r="H537" i="3"/>
  <c r="I538" i="3"/>
  <c r="K539" i="3"/>
  <c r="D541" i="3"/>
  <c r="E542" i="3"/>
  <c r="F543" i="3"/>
  <c r="G544" i="3"/>
  <c r="H545" i="3"/>
  <c r="I546" i="3"/>
  <c r="K547" i="3"/>
  <c r="D549" i="3"/>
  <c r="E550" i="3"/>
  <c r="F551" i="3"/>
  <c r="G552" i="3"/>
  <c r="H553" i="3"/>
  <c r="I554" i="3"/>
  <c r="K555" i="3"/>
  <c r="D557" i="3"/>
  <c r="E558" i="3"/>
  <c r="F559" i="3"/>
  <c r="G560" i="3"/>
  <c r="H561" i="3"/>
  <c r="I562" i="3"/>
  <c r="K563" i="3"/>
  <c r="D565" i="3"/>
  <c r="E566" i="3"/>
  <c r="F567" i="3"/>
  <c r="G568" i="3"/>
  <c r="H569" i="3"/>
  <c r="I570" i="3"/>
  <c r="K571" i="3"/>
  <c r="D573" i="3"/>
  <c r="E574" i="3"/>
  <c r="F575" i="3"/>
  <c r="G576" i="3"/>
  <c r="H577" i="3"/>
  <c r="I578" i="3"/>
  <c r="K579" i="3"/>
  <c r="D581" i="3"/>
  <c r="E582" i="3"/>
  <c r="F583" i="3"/>
  <c r="G584" i="3"/>
  <c r="H585" i="3"/>
  <c r="I586" i="3"/>
  <c r="K587" i="3"/>
  <c r="D589" i="3"/>
  <c r="E590" i="3"/>
  <c r="F591" i="3"/>
  <c r="G592" i="3"/>
  <c r="H593" i="3"/>
  <c r="I594" i="3"/>
  <c r="K595" i="3"/>
  <c r="D597" i="3"/>
  <c r="E598" i="3"/>
  <c r="F599" i="3"/>
  <c r="G600" i="3"/>
  <c r="H601" i="3"/>
  <c r="I602" i="3"/>
  <c r="K603" i="3"/>
  <c r="D605" i="3"/>
  <c r="E606" i="3"/>
  <c r="F607" i="3"/>
  <c r="G608" i="3"/>
  <c r="H609" i="3"/>
  <c r="I610" i="3"/>
  <c r="K611" i="3"/>
  <c r="D613" i="3"/>
  <c r="E614" i="3"/>
  <c r="F615" i="3"/>
  <c r="G616" i="3"/>
  <c r="H617" i="3"/>
  <c r="I618" i="3"/>
  <c r="K619" i="3"/>
  <c r="D621" i="3"/>
  <c r="E622" i="3"/>
  <c r="F623" i="3"/>
  <c r="G624" i="3"/>
  <c r="H625" i="3"/>
  <c r="I626" i="3"/>
  <c r="K627" i="3"/>
  <c r="D629" i="3"/>
  <c r="E630" i="3"/>
  <c r="F631" i="3"/>
  <c r="G632" i="3"/>
  <c r="H633" i="3"/>
  <c r="I634" i="3"/>
  <c r="K635" i="3"/>
  <c r="D637" i="3"/>
  <c r="E638" i="3"/>
  <c r="F639" i="3"/>
  <c r="G640" i="3"/>
  <c r="H641" i="3"/>
  <c r="I642" i="3"/>
  <c r="K643" i="3"/>
  <c r="D645" i="3"/>
  <c r="E646" i="3"/>
  <c r="F647" i="3"/>
  <c r="G648" i="3"/>
  <c r="H649" i="3"/>
  <c r="I650" i="3"/>
  <c r="K651" i="3"/>
  <c r="D653" i="3"/>
  <c r="E654" i="3"/>
  <c r="F655" i="3"/>
  <c r="G656" i="3"/>
  <c r="H657" i="3"/>
  <c r="I658" i="3"/>
  <c r="K659" i="3"/>
  <c r="D661" i="3"/>
  <c r="E662" i="3"/>
  <c r="F663" i="3"/>
  <c r="G664" i="3"/>
  <c r="H665" i="3"/>
  <c r="G351" i="3"/>
  <c r="H7" i="3"/>
  <c r="I8" i="3"/>
  <c r="K9" i="3"/>
  <c r="D11" i="3"/>
  <c r="E12" i="3"/>
  <c r="F13" i="3"/>
  <c r="G14" i="3"/>
  <c r="H15" i="3"/>
  <c r="I16" i="3"/>
  <c r="K17" i="3"/>
  <c r="D19" i="3"/>
  <c r="E20" i="3"/>
  <c r="F21" i="3"/>
  <c r="G22" i="3"/>
  <c r="H23" i="3"/>
  <c r="I24" i="3"/>
  <c r="K25" i="3"/>
  <c r="D27" i="3"/>
  <c r="E28" i="3"/>
  <c r="F29" i="3"/>
  <c r="G30" i="3"/>
  <c r="H31" i="3"/>
  <c r="I32" i="3"/>
  <c r="K33" i="3"/>
  <c r="D35" i="3"/>
  <c r="E36" i="3"/>
  <c r="F37" i="3"/>
  <c r="G38" i="3"/>
  <c r="H39" i="3"/>
  <c r="I40" i="3"/>
  <c r="K41" i="3"/>
  <c r="D43" i="3"/>
  <c r="E44" i="3"/>
  <c r="F45" i="3"/>
  <c r="G46" i="3"/>
  <c r="H47" i="3"/>
  <c r="I48" i="3"/>
  <c r="K49" i="3"/>
  <c r="D51" i="3"/>
  <c r="E52" i="3"/>
  <c r="F53" i="3"/>
  <c r="G54" i="3"/>
  <c r="H55" i="3"/>
  <c r="I56" i="3"/>
  <c r="K57" i="3"/>
  <c r="D59" i="3"/>
  <c r="E60" i="3"/>
  <c r="F61" i="3"/>
  <c r="G62" i="3"/>
  <c r="H63" i="3"/>
  <c r="I64" i="3"/>
  <c r="K65" i="3"/>
  <c r="D67" i="3"/>
  <c r="E68" i="3"/>
  <c r="F69" i="3"/>
  <c r="G70" i="3"/>
  <c r="H71" i="3"/>
  <c r="I72" i="3"/>
  <c r="K73" i="3"/>
  <c r="D75" i="3"/>
  <c r="E76" i="3"/>
  <c r="F77" i="3"/>
  <c r="G78" i="3"/>
  <c r="H79" i="3"/>
  <c r="I80" i="3"/>
  <c r="K81" i="3"/>
  <c r="D83" i="3"/>
  <c r="E84" i="3"/>
  <c r="F85" i="3"/>
  <c r="G86" i="3"/>
  <c r="H87" i="3"/>
  <c r="I88" i="3"/>
  <c r="K89" i="3"/>
  <c r="D91" i="3"/>
  <c r="E92" i="3"/>
  <c r="F93" i="3"/>
  <c r="G94" i="3"/>
  <c r="H95" i="3"/>
  <c r="I96" i="3"/>
  <c r="K97" i="3"/>
  <c r="D99" i="3"/>
  <c r="E100" i="3"/>
  <c r="F101" i="3"/>
  <c r="G102" i="3"/>
  <c r="H103" i="3"/>
  <c r="I104" i="3"/>
  <c r="K105" i="3"/>
  <c r="D107" i="3"/>
  <c r="E108" i="3"/>
  <c r="F109" i="3"/>
  <c r="G110" i="3"/>
  <c r="H111" i="3"/>
  <c r="I112" i="3"/>
  <c r="K113" i="3"/>
  <c r="D115" i="3"/>
  <c r="E116" i="3"/>
  <c r="F117" i="3"/>
  <c r="G118" i="3"/>
  <c r="H119" i="3"/>
  <c r="I120" i="3"/>
  <c r="K121" i="3"/>
  <c r="D123" i="3"/>
  <c r="E124" i="3"/>
  <c r="F125" i="3"/>
  <c r="G126" i="3"/>
  <c r="H127" i="3"/>
  <c r="I128" i="3"/>
  <c r="K129" i="3"/>
  <c r="D131" i="3"/>
  <c r="E132" i="3"/>
  <c r="F133" i="3"/>
  <c r="G134" i="3"/>
  <c r="H135" i="3"/>
  <c r="I136" i="3"/>
  <c r="K137" i="3"/>
  <c r="D1589" i="3"/>
  <c r="D1045" i="3"/>
  <c r="D1097" i="3"/>
  <c r="E1147" i="3"/>
  <c r="D1194" i="3"/>
  <c r="F1243" i="3"/>
  <c r="F1291" i="3"/>
  <c r="G1317" i="3"/>
  <c r="I1331" i="3"/>
  <c r="D1346" i="3"/>
  <c r="G697" i="3"/>
  <c r="H711" i="3"/>
  <c r="D725" i="3"/>
  <c r="G737" i="3"/>
  <c r="K749" i="3"/>
  <c r="H761" i="3"/>
  <c r="D774" i="3"/>
  <c r="G786" i="3"/>
  <c r="E798" i="3"/>
  <c r="H810" i="3"/>
  <c r="D823" i="3"/>
  <c r="I834" i="3"/>
  <c r="E847" i="3"/>
  <c r="H859" i="3"/>
  <c r="F871" i="3"/>
  <c r="H881" i="3"/>
  <c r="I890" i="3"/>
  <c r="K899" i="3"/>
  <c r="D909" i="3"/>
  <c r="E918" i="3"/>
  <c r="F927" i="3"/>
  <c r="G936" i="3"/>
  <c r="H945" i="3"/>
  <c r="F953" i="3"/>
  <c r="G960" i="3"/>
  <c r="K967" i="3"/>
  <c r="H972" i="3"/>
  <c r="E977" i="3"/>
  <c r="I981" i="3"/>
  <c r="F986" i="3"/>
  <c r="K990" i="3"/>
  <c r="G995" i="3"/>
  <c r="D1000" i="3"/>
  <c r="H1004" i="3"/>
  <c r="E1009" i="3"/>
  <c r="F352" i="3"/>
  <c r="K356" i="3"/>
  <c r="G361" i="3"/>
  <c r="D366" i="3"/>
  <c r="H370" i="3"/>
  <c r="E375" i="3"/>
  <c r="I379" i="3"/>
  <c r="F384" i="3"/>
  <c r="K388" i="3"/>
  <c r="G393" i="3"/>
  <c r="D398" i="3"/>
  <c r="H402" i="3"/>
  <c r="E407" i="3"/>
  <c r="I411" i="3"/>
  <c r="F416" i="3"/>
  <c r="K420" i="3"/>
  <c r="G425" i="3"/>
  <c r="D430" i="3"/>
  <c r="H434" i="3"/>
  <c r="E439" i="3"/>
  <c r="I443" i="3"/>
  <c r="F448" i="3"/>
  <c r="K452" i="3"/>
  <c r="G457" i="3"/>
  <c r="D462" i="3"/>
  <c r="H466" i="3"/>
  <c r="E471" i="3"/>
  <c r="I475" i="3"/>
  <c r="F480" i="3"/>
  <c r="D484" i="3"/>
  <c r="E487" i="3"/>
  <c r="D490" i="3"/>
  <c r="H492" i="3"/>
  <c r="K494" i="3"/>
  <c r="K496" i="3"/>
  <c r="K498" i="3"/>
  <c r="H500" i="3"/>
  <c r="G502" i="3"/>
  <c r="F504" i="3"/>
  <c r="D506" i="3"/>
  <c r="D508" i="3"/>
  <c r="I509" i="3"/>
  <c r="H511" i="3"/>
  <c r="G513" i="3"/>
  <c r="E515" i="3"/>
  <c r="E517" i="3"/>
  <c r="K518" i="3"/>
  <c r="H520" i="3"/>
  <c r="D522" i="3"/>
  <c r="F523" i="3"/>
  <c r="H524" i="3"/>
  <c r="D526" i="3"/>
  <c r="F527" i="3"/>
  <c r="H528" i="3"/>
  <c r="K529" i="3"/>
  <c r="E531" i="3"/>
  <c r="G532" i="3"/>
  <c r="I533" i="3"/>
  <c r="E535" i="3"/>
  <c r="G536" i="3"/>
  <c r="I537" i="3"/>
  <c r="K538" i="3"/>
  <c r="D540" i="3"/>
  <c r="E541" i="3"/>
  <c r="F542" i="3"/>
  <c r="G543" i="3"/>
  <c r="H544" i="3"/>
  <c r="I545" i="3"/>
  <c r="K546" i="3"/>
  <c r="D548" i="3"/>
  <c r="E549" i="3"/>
  <c r="F550" i="3"/>
  <c r="G551" i="3"/>
  <c r="H552" i="3"/>
  <c r="I553" i="3"/>
  <c r="K554" i="3"/>
  <c r="D556" i="3"/>
  <c r="E557" i="3"/>
  <c r="F558" i="3"/>
  <c r="G559" i="3"/>
  <c r="H560" i="3"/>
  <c r="I561" i="3"/>
  <c r="K562" i="3"/>
  <c r="D564" i="3"/>
  <c r="E565" i="3"/>
  <c r="F566" i="3"/>
  <c r="G567" i="3"/>
  <c r="H568" i="3"/>
  <c r="I569" i="3"/>
  <c r="K570" i="3"/>
  <c r="D572" i="3"/>
  <c r="E573" i="3"/>
  <c r="F574" i="3"/>
  <c r="G575" i="3"/>
  <c r="H576" i="3"/>
  <c r="I577" i="3"/>
  <c r="K578" i="3"/>
  <c r="D580" i="3"/>
  <c r="E581" i="3"/>
  <c r="F582" i="3"/>
  <c r="G583" i="3"/>
  <c r="H584" i="3"/>
  <c r="I585" i="3"/>
  <c r="K586" i="3"/>
  <c r="D588" i="3"/>
  <c r="E589" i="3"/>
  <c r="F590" i="3"/>
  <c r="G591" i="3"/>
  <c r="H592" i="3"/>
  <c r="I593" i="3"/>
  <c r="K594" i="3"/>
  <c r="D596" i="3"/>
  <c r="E597" i="3"/>
  <c r="F598" i="3"/>
  <c r="G599" i="3"/>
  <c r="H600" i="3"/>
  <c r="I601" i="3"/>
  <c r="K602" i="3"/>
  <c r="D604" i="3"/>
  <c r="E605" i="3"/>
  <c r="F606" i="3"/>
  <c r="G607" i="3"/>
  <c r="H608" i="3"/>
  <c r="I609" i="3"/>
  <c r="K610" i="3"/>
  <c r="D612" i="3"/>
  <c r="E613" i="3"/>
  <c r="F614" i="3"/>
  <c r="G615" i="3"/>
  <c r="H616" i="3"/>
  <c r="I617" i="3"/>
  <c r="K618" i="3"/>
  <c r="D620" i="3"/>
  <c r="E621" i="3"/>
  <c r="F622" i="3"/>
  <c r="G623" i="3"/>
  <c r="H624" i="3"/>
  <c r="I625" i="3"/>
  <c r="K626" i="3"/>
  <c r="D628" i="3"/>
  <c r="E629" i="3"/>
  <c r="F630" i="3"/>
  <c r="G631" i="3"/>
  <c r="H632" i="3"/>
  <c r="I633" i="3"/>
  <c r="K634" i="3"/>
  <c r="D636" i="3"/>
  <c r="E637" i="3"/>
  <c r="F638" i="3"/>
  <c r="G639" i="3"/>
  <c r="H640" i="3"/>
  <c r="I641" i="3"/>
  <c r="K642" i="3"/>
  <c r="D644" i="3"/>
  <c r="E645" i="3"/>
  <c r="F646" i="3"/>
  <c r="G647" i="3"/>
  <c r="H648" i="3"/>
  <c r="I649" i="3"/>
  <c r="K650" i="3"/>
  <c r="D652" i="3"/>
  <c r="E653" i="3"/>
  <c r="F654" i="3"/>
  <c r="G655" i="3"/>
  <c r="H656" i="3"/>
  <c r="I657" i="3"/>
  <c r="K658" i="3"/>
  <c r="D660" i="3"/>
  <c r="E661" i="3"/>
  <c r="F662" i="3"/>
  <c r="G663" i="3"/>
  <c r="H664" i="3"/>
  <c r="I665" i="3"/>
  <c r="F351" i="3"/>
  <c r="I7" i="3"/>
  <c r="K8" i="3"/>
  <c r="D10" i="3"/>
  <c r="E11" i="3"/>
  <c r="F12" i="3"/>
  <c r="G13" i="3"/>
  <c r="H14" i="3"/>
  <c r="I15" i="3"/>
  <c r="K16" i="3"/>
  <c r="D18" i="3"/>
  <c r="E19" i="3"/>
  <c r="F20" i="3"/>
  <c r="G21" i="3"/>
  <c r="H22" i="3"/>
  <c r="I23" i="3"/>
  <c r="K24" i="3"/>
  <c r="D26" i="3"/>
  <c r="E27" i="3"/>
  <c r="F28" i="3"/>
  <c r="G29" i="3"/>
  <c r="H30" i="3"/>
  <c r="I31" i="3"/>
  <c r="K32" i="3"/>
  <c r="D34" i="3"/>
  <c r="E35" i="3"/>
  <c r="F36" i="3"/>
  <c r="G37" i="3"/>
  <c r="H38" i="3"/>
  <c r="I39" i="3"/>
  <c r="K40" i="3"/>
  <c r="D42" i="3"/>
  <c r="E43" i="3"/>
  <c r="F44" i="3"/>
  <c r="G45" i="3"/>
  <c r="H46" i="3"/>
  <c r="I47" i="3"/>
  <c r="K48" i="3"/>
  <c r="D50" i="3"/>
  <c r="E51" i="3"/>
  <c r="F52" i="3"/>
  <c r="G53" i="3"/>
  <c r="H54" i="3"/>
  <c r="I55" i="3"/>
  <c r="K56" i="3"/>
  <c r="D58" i="3"/>
  <c r="E59" i="3"/>
  <c r="F60" i="3"/>
  <c r="G61" i="3"/>
  <c r="H62" i="3"/>
  <c r="I63" i="3"/>
  <c r="K64" i="3"/>
  <c r="D66" i="3"/>
  <c r="E67" i="3"/>
  <c r="F68" i="3"/>
  <c r="G69" i="3"/>
  <c r="H70" i="3"/>
  <c r="I71" i="3"/>
  <c r="K72" i="3"/>
  <c r="D74" i="3"/>
  <c r="E75" i="3"/>
  <c r="F76" i="3"/>
  <c r="G77" i="3"/>
  <c r="H78" i="3"/>
  <c r="I79" i="3"/>
  <c r="K80" i="3"/>
  <c r="D82" i="3"/>
  <c r="E83" i="3"/>
  <c r="F84" i="3"/>
  <c r="G85" i="3"/>
  <c r="H86" i="3"/>
  <c r="I87" i="3"/>
  <c r="K88" i="3"/>
  <c r="D90" i="3"/>
  <c r="E91" i="3"/>
  <c r="F92" i="3"/>
  <c r="G93" i="3"/>
  <c r="H94" i="3"/>
  <c r="I95" i="3"/>
  <c r="K96" i="3"/>
  <c r="D98" i="3"/>
  <c r="E99" i="3"/>
  <c r="F100" i="3"/>
  <c r="G101" i="3"/>
  <c r="H102" i="3"/>
  <c r="I103" i="3"/>
  <c r="K104" i="3"/>
  <c r="D106" i="3"/>
  <c r="E107" i="3"/>
  <c r="F108" i="3"/>
  <c r="G109" i="3"/>
  <c r="H110" i="3"/>
  <c r="I111" i="3"/>
  <c r="K112" i="3"/>
  <c r="D114" i="3"/>
  <c r="E115" i="3"/>
  <c r="F116" i="3"/>
  <c r="G117" i="3"/>
  <c r="H118" i="3"/>
  <c r="I119" i="3"/>
  <c r="K120" i="3"/>
  <c r="D122" i="3"/>
  <c r="E123" i="3"/>
  <c r="F124" i="3"/>
  <c r="G125" i="3"/>
  <c r="H126" i="3"/>
  <c r="I127" i="3"/>
  <c r="K128" i="3"/>
  <c r="D130" i="3"/>
  <c r="E131" i="3"/>
  <c r="F132" i="3"/>
  <c r="G133" i="3"/>
  <c r="H134" i="3"/>
  <c r="I135" i="3"/>
  <c r="K136" i="3"/>
  <c r="D138" i="3"/>
  <c r="E139" i="3"/>
  <c r="F140" i="3"/>
  <c r="G141" i="3"/>
  <c r="H142" i="3"/>
  <c r="I143" i="3"/>
  <c r="K144" i="3"/>
  <c r="D146" i="3"/>
  <c r="E147" i="3"/>
  <c r="F148" i="3"/>
  <c r="G149" i="3"/>
  <c r="H150" i="3"/>
  <c r="I151" i="3"/>
  <c r="K152" i="3"/>
  <c r="D154" i="3"/>
  <c r="E155" i="3"/>
  <c r="F156" i="3"/>
  <c r="H1817" i="3"/>
  <c r="H1625" i="3"/>
  <c r="F1056" i="3"/>
  <c r="E1106" i="3"/>
  <c r="F1156" i="3"/>
  <c r="E1203" i="3"/>
  <c r="G1252" i="3"/>
  <c r="G1297" i="3"/>
  <c r="E1320" i="3"/>
  <c r="F1334" i="3"/>
  <c r="H1348" i="3"/>
  <c r="H698" i="3"/>
  <c r="D712" i="3"/>
  <c r="D726" i="3"/>
  <c r="G738" i="3"/>
  <c r="E750" i="3"/>
  <c r="H762" i="3"/>
  <c r="D775" i="3"/>
  <c r="I786" i="3"/>
  <c r="E799" i="3"/>
  <c r="H811" i="3"/>
  <c r="F823" i="3"/>
  <c r="I835" i="3"/>
  <c r="E848" i="3"/>
  <c r="K859" i="3"/>
  <c r="F872" i="3"/>
  <c r="G882" i="3"/>
  <c r="H891" i="3"/>
  <c r="I900" i="3"/>
  <c r="K909" i="3"/>
  <c r="D919" i="3"/>
  <c r="E928" i="3"/>
  <c r="F937" i="3"/>
  <c r="G946" i="3"/>
  <c r="H953" i="3"/>
  <c r="E961" i="3"/>
  <c r="E968" i="3"/>
  <c r="K972" i="3"/>
  <c r="G977" i="3"/>
  <c r="D982" i="3"/>
  <c r="H986" i="3"/>
  <c r="E991" i="3"/>
  <c r="I995" i="3"/>
  <c r="F1000" i="3"/>
  <c r="K1004" i="3"/>
  <c r="G1009" i="3"/>
  <c r="H352" i="3"/>
  <c r="E357" i="3"/>
  <c r="I361" i="3"/>
  <c r="F366" i="3"/>
  <c r="K370" i="3"/>
  <c r="G375" i="3"/>
  <c r="D380" i="3"/>
  <c r="H384" i="3"/>
  <c r="E389" i="3"/>
  <c r="I393" i="3"/>
  <c r="F398" i="3"/>
  <c r="K402" i="3"/>
  <c r="G407" i="3"/>
  <c r="D412" i="3"/>
  <c r="H416" i="3"/>
  <c r="E421" i="3"/>
  <c r="I425" i="3"/>
  <c r="F430" i="3"/>
  <c r="K434" i="3"/>
  <c r="G439" i="3"/>
  <c r="D444" i="3"/>
  <c r="H448" i="3"/>
  <c r="E453" i="3"/>
  <c r="I457" i="3"/>
  <c r="F462" i="3"/>
  <c r="K466" i="3"/>
  <c r="G471" i="3"/>
  <c r="D476" i="3"/>
  <c r="H480" i="3"/>
  <c r="F484" i="3"/>
  <c r="G487" i="3"/>
  <c r="H490" i="3"/>
  <c r="K492" i="3"/>
  <c r="E495" i="3"/>
  <c r="E497" i="3"/>
  <c r="D499" i="3"/>
  <c r="K500" i="3"/>
  <c r="H502" i="3"/>
  <c r="H504" i="3"/>
  <c r="F506" i="3"/>
  <c r="E508" i="3"/>
  <c r="D510" i="3"/>
  <c r="I511" i="3"/>
  <c r="I513" i="3"/>
  <c r="G515" i="3"/>
  <c r="F517" i="3"/>
  <c r="E519" i="3"/>
  <c r="I520" i="3"/>
  <c r="E522" i="3"/>
  <c r="G523" i="3"/>
  <c r="K524" i="3"/>
  <c r="E526" i="3"/>
  <c r="G527" i="3"/>
  <c r="I528" i="3"/>
  <c r="D530" i="3"/>
  <c r="F531" i="3"/>
  <c r="H532" i="3"/>
  <c r="D534" i="3"/>
  <c r="F535" i="3"/>
  <c r="H536" i="3"/>
  <c r="K537" i="3"/>
  <c r="D539" i="3"/>
  <c r="E540" i="3"/>
  <c r="F541" i="3"/>
  <c r="G542" i="3"/>
  <c r="H543" i="3"/>
  <c r="I544" i="3"/>
  <c r="K545" i="3"/>
  <c r="D547" i="3"/>
  <c r="E548" i="3"/>
  <c r="F549" i="3"/>
  <c r="G550" i="3"/>
  <c r="H551" i="3"/>
  <c r="I552" i="3"/>
  <c r="K553" i="3"/>
  <c r="D555" i="3"/>
  <c r="E556" i="3"/>
  <c r="F557" i="3"/>
  <c r="G558" i="3"/>
  <c r="H559" i="3"/>
  <c r="I560" i="3"/>
  <c r="K561" i="3"/>
  <c r="D563" i="3"/>
  <c r="E564" i="3"/>
  <c r="F565" i="3"/>
  <c r="G566" i="3"/>
  <c r="H567" i="3"/>
  <c r="I568" i="3"/>
  <c r="K569" i="3"/>
  <c r="D571" i="3"/>
  <c r="E572" i="3"/>
  <c r="F573" i="3"/>
  <c r="G574" i="3"/>
  <c r="H575" i="3"/>
  <c r="I576" i="3"/>
  <c r="K577" i="3"/>
  <c r="D579" i="3"/>
  <c r="E580" i="3"/>
  <c r="F581" i="3"/>
  <c r="G582" i="3"/>
  <c r="H583" i="3"/>
  <c r="I584" i="3"/>
  <c r="K585" i="3"/>
  <c r="D587" i="3"/>
  <c r="E588" i="3"/>
  <c r="F589" i="3"/>
  <c r="G590" i="3"/>
  <c r="H591" i="3"/>
  <c r="I592" i="3"/>
  <c r="K593" i="3"/>
  <c r="D595" i="3"/>
  <c r="E596" i="3"/>
  <c r="F597" i="3"/>
  <c r="G598" i="3"/>
  <c r="H599" i="3"/>
  <c r="I600" i="3"/>
  <c r="K601" i="3"/>
  <c r="D603" i="3"/>
  <c r="E604" i="3"/>
  <c r="F605" i="3"/>
  <c r="G606" i="3"/>
  <c r="H607" i="3"/>
  <c r="I608" i="3"/>
  <c r="K609" i="3"/>
  <c r="D611" i="3"/>
  <c r="E612" i="3"/>
  <c r="F613" i="3"/>
  <c r="G614" i="3"/>
  <c r="H615" i="3"/>
  <c r="I616" i="3"/>
  <c r="K617" i="3"/>
  <c r="D619" i="3"/>
  <c r="E620" i="3"/>
  <c r="F621" i="3"/>
  <c r="G622" i="3"/>
  <c r="H623" i="3"/>
  <c r="I624" i="3"/>
  <c r="K625" i="3"/>
  <c r="D627" i="3"/>
  <c r="E628" i="3"/>
  <c r="F629" i="3"/>
  <c r="G630" i="3"/>
  <c r="H631" i="3"/>
  <c r="I632" i="3"/>
  <c r="K633" i="3"/>
  <c r="D635" i="3"/>
  <c r="E636" i="3"/>
  <c r="F637" i="3"/>
  <c r="G638" i="3"/>
  <c r="H639" i="3"/>
  <c r="I640" i="3"/>
  <c r="K641" i="3"/>
  <c r="D643" i="3"/>
  <c r="E644" i="3"/>
  <c r="F645" i="3"/>
  <c r="G646" i="3"/>
  <c r="H647" i="3"/>
  <c r="I648" i="3"/>
  <c r="K649" i="3"/>
  <c r="D651" i="3"/>
  <c r="E652" i="3"/>
  <c r="F653" i="3"/>
  <c r="G654" i="3"/>
  <c r="H655" i="3"/>
  <c r="I656" i="3"/>
  <c r="K657" i="3"/>
  <c r="D659" i="3"/>
  <c r="E660" i="3"/>
  <c r="F661" i="3"/>
  <c r="G662" i="3"/>
  <c r="H663" i="3"/>
  <c r="I664" i="3"/>
  <c r="K665" i="3"/>
  <c r="E351" i="3"/>
  <c r="K7" i="3"/>
  <c r="D9" i="3"/>
  <c r="E10" i="3"/>
  <c r="F11" i="3"/>
  <c r="G12" i="3"/>
  <c r="H13" i="3"/>
  <c r="I14" i="3"/>
  <c r="K15" i="3"/>
  <c r="D17" i="3"/>
  <c r="E18" i="3"/>
  <c r="F19" i="3"/>
  <c r="G20" i="3"/>
  <c r="H21" i="3"/>
  <c r="I22" i="3"/>
  <c r="K23" i="3"/>
  <c r="D25" i="3"/>
  <c r="E26" i="3"/>
  <c r="F27" i="3"/>
  <c r="G28" i="3"/>
  <c r="H29" i="3"/>
  <c r="I30" i="3"/>
  <c r="K31" i="3"/>
  <c r="D33" i="3"/>
  <c r="E34" i="3"/>
  <c r="F35" i="3"/>
  <c r="G36" i="3"/>
  <c r="H37" i="3"/>
  <c r="I38" i="3"/>
  <c r="K39" i="3"/>
  <c r="D41" i="3"/>
  <c r="E42" i="3"/>
  <c r="F43" i="3"/>
  <c r="G44" i="3"/>
  <c r="H45" i="3"/>
  <c r="I46" i="3"/>
  <c r="K47" i="3"/>
  <c r="D49" i="3"/>
  <c r="E50" i="3"/>
  <c r="F51" i="3"/>
  <c r="G52" i="3"/>
  <c r="H53" i="3"/>
  <c r="I54" i="3"/>
  <c r="K55" i="3"/>
  <c r="D57" i="3"/>
  <c r="E58" i="3"/>
  <c r="F59" i="3"/>
  <c r="G60" i="3"/>
  <c r="H61" i="3"/>
  <c r="I62" i="3"/>
  <c r="K63" i="3"/>
  <c r="D65" i="3"/>
  <c r="E66" i="3"/>
  <c r="H320" i="3"/>
  <c r="G319" i="3"/>
  <c r="F318" i="3"/>
  <c r="E317" i="3"/>
  <c r="D316" i="3"/>
  <c r="K314" i="3"/>
  <c r="I313" i="3"/>
  <c r="H312" i="3"/>
  <c r="G311" i="3"/>
  <c r="F310" i="3"/>
  <c r="E309" i="3"/>
  <c r="D308" i="3"/>
  <c r="K306" i="3"/>
  <c r="I305" i="3"/>
  <c r="H304" i="3"/>
  <c r="G303" i="3"/>
  <c r="F302" i="3"/>
  <c r="E301" i="3"/>
  <c r="D300" i="3"/>
  <c r="K298" i="3"/>
  <c r="I297" i="3"/>
  <c r="H296" i="3"/>
  <c r="G295" i="3"/>
  <c r="F294" i="3"/>
  <c r="E293" i="3"/>
  <c r="D292" i="3"/>
  <c r="K290" i="3"/>
  <c r="I289" i="3"/>
  <c r="H288" i="3"/>
  <c r="G287" i="3"/>
  <c r="F286" i="3"/>
  <c r="E285" i="3"/>
  <c r="D284" i="3"/>
  <c r="K282" i="3"/>
  <c r="I281" i="3"/>
  <c r="H280" i="3"/>
  <c r="G279" i="3"/>
  <c r="F278" i="3"/>
  <c r="E277" i="3"/>
  <c r="D276" i="3"/>
  <c r="K274" i="3"/>
  <c r="I273" i="3"/>
  <c r="H272" i="3"/>
  <c r="G271" i="3"/>
  <c r="F270" i="3"/>
  <c r="E269" i="3"/>
  <c r="D268" i="3"/>
  <c r="K266" i="3"/>
  <c r="I265" i="3"/>
  <c r="H264" i="3"/>
  <c r="G263" i="3"/>
  <c r="F262" i="3"/>
  <c r="E261" i="3"/>
  <c r="D260" i="3"/>
  <c r="K258" i="3"/>
  <c r="I257" i="3"/>
  <c r="H256" i="3"/>
  <c r="G255" i="3"/>
  <c r="F254" i="3"/>
  <c r="E253" i="3"/>
  <c r="D252" i="3"/>
  <c r="K250" i="3"/>
  <c r="I249" i="3"/>
  <c r="H248" i="3"/>
  <c r="G247" i="3"/>
  <c r="F246" i="3"/>
  <c r="E245" i="3"/>
  <c r="D244" i="3"/>
  <c r="K242" i="3"/>
  <c r="I241" i="3"/>
  <c r="H240" i="3"/>
  <c r="G239" i="3"/>
  <c r="F238" i="3"/>
  <c r="E237" i="3"/>
  <c r="D236" i="3"/>
  <c r="K234" i="3"/>
  <c r="I233" i="3"/>
  <c r="H232" i="3"/>
  <c r="G231" i="3"/>
  <c r="F230" i="3"/>
  <c r="E229" i="3"/>
  <c r="D228" i="3"/>
  <c r="K226" i="3"/>
  <c r="I225" i="3"/>
  <c r="H224" i="3"/>
  <c r="G223" i="3"/>
  <c r="F222" i="3"/>
  <c r="E221" i="3"/>
  <c r="D220" i="3"/>
  <c r="K218" i="3"/>
  <c r="I217" i="3"/>
  <c r="H216" i="3"/>
  <c r="G215" i="3"/>
  <c r="F214" i="3"/>
  <c r="E213" i="3"/>
  <c r="D212" i="3"/>
  <c r="K210" i="3"/>
  <c r="I209" i="3"/>
  <c r="H208" i="3"/>
  <c r="G207" i="3"/>
  <c r="F206" i="3"/>
  <c r="E205" i="3"/>
  <c r="D204" i="3"/>
  <c r="K202" i="3"/>
  <c r="I201" i="3"/>
  <c r="H200" i="3"/>
  <c r="G199" i="3"/>
  <c r="F198" i="3"/>
  <c r="E197" i="3"/>
  <c r="D196" i="3"/>
  <c r="K194" i="3"/>
  <c r="I193" i="3"/>
  <c r="H192" i="3"/>
  <c r="G191" i="3"/>
  <c r="F190" i="3"/>
  <c r="E189" i="3"/>
  <c r="D188" i="3"/>
  <c r="K186" i="3"/>
  <c r="I185" i="3"/>
  <c r="H184" i="3"/>
  <c r="G183" i="3"/>
  <c r="F182" i="3"/>
  <c r="E181" i="3"/>
  <c r="D180" i="3"/>
  <c r="K178" i="3"/>
  <c r="I177" i="3"/>
  <c r="H176" i="3"/>
  <c r="G175" i="3"/>
  <c r="F174" i="3"/>
  <c r="E173" i="3"/>
  <c r="D172" i="3"/>
  <c r="K170" i="3"/>
  <c r="I169" i="3"/>
  <c r="H168" i="3"/>
  <c r="G167" i="3"/>
  <c r="F166" i="3"/>
  <c r="E165" i="3"/>
  <c r="D164" i="3"/>
  <c r="K162" i="3"/>
  <c r="I161" i="3"/>
  <c r="H160" i="3"/>
  <c r="G159" i="3"/>
  <c r="F158" i="3"/>
  <c r="E157" i="3"/>
  <c r="K155" i="3"/>
  <c r="H154" i="3"/>
  <c r="F153" i="3"/>
  <c r="D152" i="3"/>
  <c r="I150" i="3"/>
  <c r="F149" i="3"/>
  <c r="D148" i="3"/>
  <c r="G146" i="3"/>
  <c r="I144" i="3"/>
  <c r="G142" i="3"/>
  <c r="E140" i="3"/>
  <c r="F137" i="3"/>
  <c r="I134" i="3"/>
  <c r="G131" i="3"/>
  <c r="E128" i="3"/>
  <c r="H125" i="3"/>
  <c r="F122" i="3"/>
  <c r="D119" i="3"/>
  <c r="G116" i="3"/>
  <c r="E113" i="3"/>
  <c r="K109" i="3"/>
  <c r="F107" i="3"/>
  <c r="D104" i="3"/>
  <c r="I100" i="3"/>
  <c r="E98" i="3"/>
  <c r="K94" i="3"/>
  <c r="H91" i="3"/>
  <c r="D89" i="3"/>
  <c r="I85" i="3"/>
  <c r="G82" i="3"/>
  <c r="K79" i="3"/>
  <c r="H76" i="3"/>
  <c r="F73" i="3"/>
  <c r="I70" i="3"/>
  <c r="G67" i="3"/>
  <c r="D63" i="3"/>
  <c r="G58" i="3"/>
  <c r="K53" i="3"/>
  <c r="F49" i="3"/>
  <c r="I44" i="3"/>
  <c r="E40" i="3"/>
  <c r="H35" i="3"/>
  <c r="D31" i="3"/>
  <c r="G26" i="3"/>
  <c r="K21" i="3"/>
  <c r="F17" i="3"/>
  <c r="I12" i="3"/>
  <c r="E8" i="3"/>
  <c r="K663" i="3"/>
  <c r="F659" i="3"/>
  <c r="I654" i="3"/>
  <c r="E650" i="3"/>
  <c r="H645" i="3"/>
  <c r="D641" i="3"/>
  <c r="G636" i="3"/>
  <c r="K631" i="3"/>
  <c r="F627" i="3"/>
  <c r="I622" i="3"/>
  <c r="E618" i="3"/>
  <c r="H613" i="3"/>
  <c r="D609" i="3"/>
  <c r="G604" i="3"/>
  <c r="K599" i="3"/>
  <c r="F595" i="3"/>
  <c r="I590" i="3"/>
  <c r="E586" i="3"/>
  <c r="H581" i="3"/>
  <c r="D577" i="3"/>
  <c r="G572" i="3"/>
  <c r="K567" i="3"/>
  <c r="F563" i="3"/>
  <c r="I558" i="3"/>
  <c r="E554" i="3"/>
  <c r="H549" i="3"/>
  <c r="D545" i="3"/>
  <c r="G540" i="3"/>
  <c r="H535" i="3"/>
  <c r="F530" i="3"/>
  <c r="E525" i="3"/>
  <c r="H519" i="3"/>
  <c r="F512" i="3"/>
  <c r="K504" i="3"/>
  <c r="I497" i="3"/>
  <c r="F488" i="3"/>
  <c r="H472" i="3"/>
  <c r="F454" i="3"/>
  <c r="D436" i="3"/>
  <c r="I417" i="3"/>
  <c r="G399" i="3"/>
  <c r="E381" i="3"/>
  <c r="K362" i="3"/>
  <c r="H1010" i="3"/>
  <c r="F992" i="3"/>
  <c r="D974" i="3"/>
  <c r="D948" i="3"/>
  <c r="E912" i="3"/>
  <c r="H875" i="3"/>
  <c r="H826" i="3"/>
  <c r="H777" i="3"/>
  <c r="F729" i="3"/>
  <c r="G1351" i="3"/>
  <c r="D1266" i="3"/>
  <c r="H1069" i="3"/>
  <c r="I1962" i="3"/>
  <c r="G320" i="3"/>
  <c r="F319" i="3"/>
  <c r="L319" i="3" s="1"/>
  <c r="E318" i="3"/>
  <c r="D317" i="3"/>
  <c r="K315" i="3"/>
  <c r="I314" i="3"/>
  <c r="H313" i="3"/>
  <c r="G312" i="3"/>
  <c r="F311" i="3"/>
  <c r="E310" i="3"/>
  <c r="D309" i="3"/>
  <c r="K307" i="3"/>
  <c r="I306" i="3"/>
  <c r="H305" i="3"/>
  <c r="G304" i="3"/>
  <c r="F303" i="3"/>
  <c r="E302" i="3"/>
  <c r="D301" i="3"/>
  <c r="K299" i="3"/>
  <c r="I298" i="3"/>
  <c r="H297" i="3"/>
  <c r="G296" i="3"/>
  <c r="F295" i="3"/>
  <c r="E294" i="3"/>
  <c r="D293" i="3"/>
  <c r="K291" i="3"/>
  <c r="I290" i="3"/>
  <c r="H289" i="3"/>
  <c r="G288" i="3"/>
  <c r="F287" i="3"/>
  <c r="E286" i="3"/>
  <c r="D285" i="3"/>
  <c r="K283" i="3"/>
  <c r="I282" i="3"/>
  <c r="H281" i="3"/>
  <c r="G280" i="3"/>
  <c r="F279" i="3"/>
  <c r="E278" i="3"/>
  <c r="D277" i="3"/>
  <c r="K275" i="3"/>
  <c r="I274" i="3"/>
  <c r="H273" i="3"/>
  <c r="G272" i="3"/>
  <c r="F271" i="3"/>
  <c r="E270" i="3"/>
  <c r="D269" i="3"/>
  <c r="K267" i="3"/>
  <c r="I266" i="3"/>
  <c r="H265" i="3"/>
  <c r="G264" i="3"/>
  <c r="F263" i="3"/>
  <c r="E262" i="3"/>
  <c r="D261" i="3"/>
  <c r="K259" i="3"/>
  <c r="I258" i="3"/>
  <c r="H257" i="3"/>
  <c r="G256" i="3"/>
  <c r="F255" i="3"/>
  <c r="E254" i="3"/>
  <c r="D253" i="3"/>
  <c r="K251" i="3"/>
  <c r="I250" i="3"/>
  <c r="H249" i="3"/>
  <c r="G248" i="3"/>
  <c r="F247" i="3"/>
  <c r="E246" i="3"/>
  <c r="D245" i="3"/>
  <c r="K243" i="3"/>
  <c r="I242" i="3"/>
  <c r="H241" i="3"/>
  <c r="G240" i="3"/>
  <c r="F239" i="3"/>
  <c r="E238" i="3"/>
  <c r="D237" i="3"/>
  <c r="K235" i="3"/>
  <c r="I234" i="3"/>
  <c r="H233" i="3"/>
  <c r="G232" i="3"/>
  <c r="F231" i="3"/>
  <c r="E230" i="3"/>
  <c r="D229" i="3"/>
  <c r="K227" i="3"/>
  <c r="I226" i="3"/>
  <c r="H225" i="3"/>
  <c r="G224" i="3"/>
  <c r="F223" i="3"/>
  <c r="E222" i="3"/>
  <c r="D221" i="3"/>
  <c r="K219" i="3"/>
  <c r="I218" i="3"/>
  <c r="H217" i="3"/>
  <c r="G216" i="3"/>
  <c r="F215" i="3"/>
  <c r="E214" i="3"/>
  <c r="D213" i="3"/>
  <c r="K211" i="3"/>
  <c r="I210" i="3"/>
  <c r="H209" i="3"/>
  <c r="G208" i="3"/>
  <c r="F207" i="3"/>
  <c r="E206" i="3"/>
  <c r="D205" i="3"/>
  <c r="K203" i="3"/>
  <c r="I202" i="3"/>
  <c r="H201" i="3"/>
  <c r="G200" i="3"/>
  <c r="F199" i="3"/>
  <c r="E198" i="3"/>
  <c r="D197" i="3"/>
  <c r="K195" i="3"/>
  <c r="I194" i="3"/>
  <c r="H193" i="3"/>
  <c r="G192" i="3"/>
  <c r="F191" i="3"/>
  <c r="E190" i="3"/>
  <c r="D189" i="3"/>
  <c r="K187" i="3"/>
  <c r="I186" i="3"/>
  <c r="H185" i="3"/>
  <c r="G184" i="3"/>
  <c r="F183" i="3"/>
  <c r="E182" i="3"/>
  <c r="D181" i="3"/>
  <c r="K179" i="3"/>
  <c r="I178" i="3"/>
  <c r="H177" i="3"/>
  <c r="G176" i="3"/>
  <c r="F175" i="3"/>
  <c r="E174" i="3"/>
  <c r="D173" i="3"/>
  <c r="K171" i="3"/>
  <c r="I170" i="3"/>
  <c r="H169" i="3"/>
  <c r="G168" i="3"/>
  <c r="F167" i="3"/>
  <c r="E166" i="3"/>
  <c r="D165" i="3"/>
  <c r="K163" i="3"/>
  <c r="I162" i="3"/>
  <c r="H161" i="3"/>
  <c r="G160" i="3"/>
  <c r="F159" i="3"/>
  <c r="E158" i="3"/>
  <c r="D157" i="3"/>
  <c r="I155" i="3"/>
  <c r="G154" i="3"/>
  <c r="E153" i="3"/>
  <c r="K151" i="3"/>
  <c r="G150" i="3"/>
  <c r="E149" i="3"/>
  <c r="I147" i="3"/>
  <c r="F146" i="3"/>
  <c r="E144" i="3"/>
  <c r="K141" i="3"/>
  <c r="H139" i="3"/>
  <c r="E137" i="3"/>
  <c r="K133" i="3"/>
  <c r="F131" i="3"/>
  <c r="D128" i="3"/>
  <c r="I124" i="3"/>
  <c r="E122" i="3"/>
  <c r="K118" i="3"/>
  <c r="H115" i="3"/>
  <c r="D113" i="3"/>
  <c r="I109" i="3"/>
  <c r="G106" i="3"/>
  <c r="K103" i="3"/>
  <c r="H100" i="3"/>
  <c r="F97" i="3"/>
  <c r="I94" i="3"/>
  <c r="G91" i="3"/>
  <c r="E88" i="3"/>
  <c r="H85" i="3"/>
  <c r="F82" i="3"/>
  <c r="D79" i="3"/>
  <c r="G76" i="3"/>
  <c r="E73" i="3"/>
  <c r="K69" i="3"/>
  <c r="F67" i="3"/>
  <c r="K62" i="3"/>
  <c r="F58" i="3"/>
  <c r="I53" i="3"/>
  <c r="E49" i="3"/>
  <c r="H44" i="3"/>
  <c r="D40" i="3"/>
  <c r="G35" i="3"/>
  <c r="K30" i="3"/>
  <c r="F26" i="3"/>
  <c r="I21" i="3"/>
  <c r="E17" i="3"/>
  <c r="H12" i="3"/>
  <c r="D8" i="3"/>
  <c r="I663" i="3"/>
  <c r="E659" i="3"/>
  <c r="H654" i="3"/>
  <c r="D650" i="3"/>
  <c r="G645" i="3"/>
  <c r="K640" i="3"/>
  <c r="F636" i="3"/>
  <c r="I631" i="3"/>
  <c r="E627" i="3"/>
  <c r="H622" i="3"/>
  <c r="D618" i="3"/>
  <c r="G613" i="3"/>
  <c r="K608" i="3"/>
  <c r="F604" i="3"/>
  <c r="I599" i="3"/>
  <c r="E595" i="3"/>
  <c r="H590" i="3"/>
  <c r="D586" i="3"/>
  <c r="G581" i="3"/>
  <c r="K576" i="3"/>
  <c r="F572" i="3"/>
  <c r="I567" i="3"/>
  <c r="E563" i="3"/>
  <c r="H558" i="3"/>
  <c r="D554" i="3"/>
  <c r="G549" i="3"/>
  <c r="K544" i="3"/>
  <c r="F540" i="3"/>
  <c r="G535" i="3"/>
  <c r="E530" i="3"/>
  <c r="D525" i="3"/>
  <c r="G519" i="3"/>
  <c r="D512" i="3"/>
  <c r="I504" i="3"/>
  <c r="G497" i="3"/>
  <c r="I487" i="3"/>
  <c r="F472" i="3"/>
  <c r="D454" i="3"/>
  <c r="I435" i="3"/>
  <c r="G417" i="3"/>
  <c r="E399" i="3"/>
  <c r="K380" i="3"/>
  <c r="H362" i="3"/>
  <c r="F1010" i="3"/>
  <c r="D992" i="3"/>
  <c r="I973" i="3"/>
  <c r="I947" i="3"/>
  <c r="F911" i="3"/>
  <c r="H874" i="3"/>
  <c r="H825" i="3"/>
  <c r="F777" i="3"/>
  <c r="F728" i="3"/>
  <c r="K1348" i="3"/>
  <c r="K1256" i="3"/>
  <c r="F1060" i="3"/>
  <c r="F320" i="3"/>
  <c r="E319" i="3"/>
  <c r="D318" i="3"/>
  <c r="K316" i="3"/>
  <c r="I315" i="3"/>
  <c r="H314" i="3"/>
  <c r="G313" i="3"/>
  <c r="F312" i="3"/>
  <c r="E311" i="3"/>
  <c r="D310" i="3"/>
  <c r="K308" i="3"/>
  <c r="I307" i="3"/>
  <c r="H306" i="3"/>
  <c r="G305" i="3"/>
  <c r="F304" i="3"/>
  <c r="E303" i="3"/>
  <c r="D302" i="3"/>
  <c r="K300" i="3"/>
  <c r="I299" i="3"/>
  <c r="H298" i="3"/>
  <c r="G297" i="3"/>
  <c r="F296" i="3"/>
  <c r="E295" i="3"/>
  <c r="D294" i="3"/>
  <c r="K292" i="3"/>
  <c r="I291" i="3"/>
  <c r="H290" i="3"/>
  <c r="G289" i="3"/>
  <c r="F288" i="3"/>
  <c r="E287" i="3"/>
  <c r="D286" i="3"/>
  <c r="K284" i="3"/>
  <c r="I283" i="3"/>
  <c r="H282" i="3"/>
  <c r="G281" i="3"/>
  <c r="F280" i="3"/>
  <c r="E279" i="3"/>
  <c r="D278" i="3"/>
  <c r="K276" i="3"/>
  <c r="I275" i="3"/>
  <c r="H274" i="3"/>
  <c r="G273" i="3"/>
  <c r="F272" i="3"/>
  <c r="E271" i="3"/>
  <c r="D270" i="3"/>
  <c r="K268" i="3"/>
  <c r="I267" i="3"/>
  <c r="H266" i="3"/>
  <c r="G265" i="3"/>
  <c r="F264" i="3"/>
  <c r="E263" i="3"/>
  <c r="D262" i="3"/>
  <c r="K260" i="3"/>
  <c r="I259" i="3"/>
  <c r="H258" i="3"/>
  <c r="G257" i="3"/>
  <c r="F256" i="3"/>
  <c r="E255" i="3"/>
  <c r="D254" i="3"/>
  <c r="K252" i="3"/>
  <c r="I251" i="3"/>
  <c r="H250" i="3"/>
  <c r="G249" i="3"/>
  <c r="F248" i="3"/>
  <c r="E247" i="3"/>
  <c r="D246" i="3"/>
  <c r="K244" i="3"/>
  <c r="I243" i="3"/>
  <c r="H242" i="3"/>
  <c r="G241" i="3"/>
  <c r="F240" i="3"/>
  <c r="E239" i="3"/>
  <c r="D238" i="3"/>
  <c r="K236" i="3"/>
  <c r="I235" i="3"/>
  <c r="H234" i="3"/>
  <c r="G233" i="3"/>
  <c r="F232" i="3"/>
  <c r="E231" i="3"/>
  <c r="D230" i="3"/>
  <c r="K228" i="3"/>
  <c r="I227" i="3"/>
  <c r="H226" i="3"/>
  <c r="G225" i="3"/>
  <c r="F224" i="3"/>
  <c r="E223" i="3"/>
  <c r="D222" i="3"/>
  <c r="K220" i="3"/>
  <c r="I219" i="3"/>
  <c r="H218" i="3"/>
  <c r="G217" i="3"/>
  <c r="F216" i="3"/>
  <c r="E215" i="3"/>
  <c r="D214" i="3"/>
  <c r="K212" i="3"/>
  <c r="I211" i="3"/>
  <c r="H210" i="3"/>
  <c r="G209" i="3"/>
  <c r="F208" i="3"/>
  <c r="E207" i="3"/>
  <c r="D206" i="3"/>
  <c r="K204" i="3"/>
  <c r="I203" i="3"/>
  <c r="H202" i="3"/>
  <c r="G201" i="3"/>
  <c r="F200" i="3"/>
  <c r="E199" i="3"/>
  <c r="D198" i="3"/>
  <c r="K196" i="3"/>
  <c r="I195" i="3"/>
  <c r="H194" i="3"/>
  <c r="G193" i="3"/>
  <c r="F192" i="3"/>
  <c r="E191" i="3"/>
  <c r="D190" i="3"/>
  <c r="K188" i="3"/>
  <c r="I187" i="3"/>
  <c r="H186" i="3"/>
  <c r="G185" i="3"/>
  <c r="F184" i="3"/>
  <c r="E183" i="3"/>
  <c r="D182" i="3"/>
  <c r="K180" i="3"/>
  <c r="I179" i="3"/>
  <c r="H178" i="3"/>
  <c r="G177" i="3"/>
  <c r="F176" i="3"/>
  <c r="E175" i="3"/>
  <c r="D174" i="3"/>
  <c r="K172" i="3"/>
  <c r="I171" i="3"/>
  <c r="H170" i="3"/>
  <c r="G169" i="3"/>
  <c r="F168" i="3"/>
  <c r="E167" i="3"/>
  <c r="D166" i="3"/>
  <c r="K164" i="3"/>
  <c r="I163" i="3"/>
  <c r="H162" i="3"/>
  <c r="G161" i="3"/>
  <c r="F160" i="3"/>
  <c r="E159" i="3"/>
  <c r="D158" i="3"/>
  <c r="K156" i="3"/>
  <c r="H155" i="3"/>
  <c r="F154" i="3"/>
  <c r="D153" i="3"/>
  <c r="H151" i="3"/>
  <c r="F150" i="3"/>
  <c r="D149" i="3"/>
  <c r="H147" i="3"/>
  <c r="E146" i="3"/>
  <c r="D144" i="3"/>
  <c r="I141" i="3"/>
  <c r="G139" i="3"/>
  <c r="D137" i="3"/>
  <c r="I133" i="3"/>
  <c r="G130" i="3"/>
  <c r="K127" i="3"/>
  <c r="H124" i="3"/>
  <c r="F121" i="3"/>
  <c r="I118" i="3"/>
  <c r="G115" i="3"/>
  <c r="E112" i="3"/>
  <c r="H109" i="3"/>
  <c r="F106" i="3"/>
  <c r="D103" i="3"/>
  <c r="G100" i="3"/>
  <c r="E97" i="3"/>
  <c r="K93" i="3"/>
  <c r="F91" i="3"/>
  <c r="D88" i="3"/>
  <c r="I84" i="3"/>
  <c r="E82" i="3"/>
  <c r="K78" i="3"/>
  <c r="H75" i="3"/>
  <c r="D73" i="3"/>
  <c r="I69" i="3"/>
  <c r="G66" i="3"/>
  <c r="K61" i="3"/>
  <c r="F57" i="3"/>
  <c r="I52" i="3"/>
  <c r="E48" i="3"/>
  <c r="H43" i="3"/>
  <c r="D39" i="3"/>
  <c r="G34" i="3"/>
  <c r="K29" i="3"/>
  <c r="F25" i="3"/>
  <c r="I20" i="3"/>
  <c r="E16" i="3"/>
  <c r="H11" i="3"/>
  <c r="D7" i="3"/>
  <c r="I662" i="3"/>
  <c r="E658" i="3"/>
  <c r="H653" i="3"/>
  <c r="D649" i="3"/>
  <c r="G644" i="3"/>
  <c r="K639" i="3"/>
  <c r="F635" i="3"/>
  <c r="I630" i="3"/>
  <c r="E626" i="3"/>
  <c r="H621" i="3"/>
  <c r="D617" i="3"/>
  <c r="G612" i="3"/>
  <c r="K607" i="3"/>
  <c r="F603" i="3"/>
  <c r="I598" i="3"/>
  <c r="E594" i="3"/>
  <c r="H589" i="3"/>
  <c r="D585" i="3"/>
  <c r="G580" i="3"/>
  <c r="K575" i="3"/>
  <c r="F571" i="3"/>
  <c r="I566" i="3"/>
  <c r="E562" i="3"/>
  <c r="H557" i="3"/>
  <c r="D553" i="3"/>
  <c r="G548" i="3"/>
  <c r="K543" i="3"/>
  <c r="F539" i="3"/>
  <c r="F534" i="3"/>
  <c r="D529" i="3"/>
  <c r="K523" i="3"/>
  <c r="I517" i="3"/>
  <c r="G510" i="3"/>
  <c r="E503" i="3"/>
  <c r="I495" i="3"/>
  <c r="E485" i="3"/>
  <c r="D468" i="3"/>
  <c r="I449" i="3"/>
  <c r="G431" i="3"/>
  <c r="E413" i="3"/>
  <c r="K394" i="3"/>
  <c r="H376" i="3"/>
  <c r="F358" i="3"/>
  <c r="D1006" i="3"/>
  <c r="I987" i="3"/>
  <c r="G969" i="3"/>
  <c r="H939" i="3"/>
  <c r="D903" i="3"/>
  <c r="E863" i="3"/>
  <c r="E814" i="3"/>
  <c r="K765" i="3"/>
  <c r="I715" i="3"/>
  <c r="E1338" i="3"/>
  <c r="K1215" i="3"/>
  <c r="E320" i="3"/>
  <c r="D319" i="3"/>
  <c r="K317" i="3"/>
  <c r="I316" i="3"/>
  <c r="H315" i="3"/>
  <c r="G314" i="3"/>
  <c r="F313" i="3"/>
  <c r="E312" i="3"/>
  <c r="D311" i="3"/>
  <c r="K309" i="3"/>
  <c r="I308" i="3"/>
  <c r="H307" i="3"/>
  <c r="G306" i="3"/>
  <c r="F305" i="3"/>
  <c r="E304" i="3"/>
  <c r="D303" i="3"/>
  <c r="K301" i="3"/>
  <c r="I300" i="3"/>
  <c r="H299" i="3"/>
  <c r="G298" i="3"/>
  <c r="F297" i="3"/>
  <c r="E296" i="3"/>
  <c r="D295" i="3"/>
  <c r="K293" i="3"/>
  <c r="I292" i="3"/>
  <c r="H291" i="3"/>
  <c r="G290" i="3"/>
  <c r="F289" i="3"/>
  <c r="E288" i="3"/>
  <c r="D287" i="3"/>
  <c r="K285" i="3"/>
  <c r="I284" i="3"/>
  <c r="H283" i="3"/>
  <c r="G282" i="3"/>
  <c r="F281" i="3"/>
  <c r="E280" i="3"/>
  <c r="D279" i="3"/>
  <c r="K277" i="3"/>
  <c r="I276" i="3"/>
  <c r="H275" i="3"/>
  <c r="G274" i="3"/>
  <c r="F273" i="3"/>
  <c r="E272" i="3"/>
  <c r="D271" i="3"/>
  <c r="K269" i="3"/>
  <c r="I268" i="3"/>
  <c r="H267" i="3"/>
  <c r="G266" i="3"/>
  <c r="F265" i="3"/>
  <c r="E264" i="3"/>
  <c r="D263" i="3"/>
  <c r="K261" i="3"/>
  <c r="I260" i="3"/>
  <c r="H259" i="3"/>
  <c r="G258" i="3"/>
  <c r="F257" i="3"/>
  <c r="E256" i="3"/>
  <c r="D255" i="3"/>
  <c r="K253" i="3"/>
  <c r="I252" i="3"/>
  <c r="H251" i="3"/>
  <c r="G250" i="3"/>
  <c r="F249" i="3"/>
  <c r="E248" i="3"/>
  <c r="D247" i="3"/>
  <c r="K245" i="3"/>
  <c r="I244" i="3"/>
  <c r="H243" i="3"/>
  <c r="G242" i="3"/>
  <c r="F241" i="3"/>
  <c r="E240" i="3"/>
  <c r="D239" i="3"/>
  <c r="K237" i="3"/>
  <c r="I236" i="3"/>
  <c r="H235" i="3"/>
  <c r="G234" i="3"/>
  <c r="F233" i="3"/>
  <c r="E232" i="3"/>
  <c r="D231" i="3"/>
  <c r="K229" i="3"/>
  <c r="I228" i="3"/>
  <c r="H227" i="3"/>
  <c r="G226" i="3"/>
  <c r="F225" i="3"/>
  <c r="E224" i="3"/>
  <c r="D223" i="3"/>
  <c r="K221" i="3"/>
  <c r="I220" i="3"/>
  <c r="H219" i="3"/>
  <c r="G218" i="3"/>
  <c r="F217" i="3"/>
  <c r="E216" i="3"/>
  <c r="D215" i="3"/>
  <c r="K213" i="3"/>
  <c r="I212" i="3"/>
  <c r="H211" i="3"/>
  <c r="G210" i="3"/>
  <c r="F209" i="3"/>
  <c r="E208" i="3"/>
  <c r="D207" i="3"/>
  <c r="K205" i="3"/>
  <c r="I204" i="3"/>
  <c r="H203" i="3"/>
  <c r="G202" i="3"/>
  <c r="F201" i="3"/>
  <c r="E200" i="3"/>
  <c r="D199" i="3"/>
  <c r="K197" i="3"/>
  <c r="I196" i="3"/>
  <c r="H195" i="3"/>
  <c r="G194" i="3"/>
  <c r="F193" i="3"/>
  <c r="E192" i="3"/>
  <c r="D191" i="3"/>
  <c r="K189" i="3"/>
  <c r="I188" i="3"/>
  <c r="H187" i="3"/>
  <c r="G186" i="3"/>
  <c r="F185" i="3"/>
  <c r="E184" i="3"/>
  <c r="D183" i="3"/>
  <c r="K181" i="3"/>
  <c r="I180" i="3"/>
  <c r="H179" i="3"/>
  <c r="G178" i="3"/>
  <c r="F177" i="3"/>
  <c r="E176" i="3"/>
  <c r="D175" i="3"/>
  <c r="K173" i="3"/>
  <c r="I172" i="3"/>
  <c r="H171" i="3"/>
  <c r="G170" i="3"/>
  <c r="F169" i="3"/>
  <c r="E168" i="3"/>
  <c r="D167" i="3"/>
  <c r="K165" i="3"/>
  <c r="I164" i="3"/>
  <c r="H163" i="3"/>
  <c r="G162" i="3"/>
  <c r="F161" i="3"/>
  <c r="E160" i="3"/>
  <c r="D159" i="3"/>
  <c r="K157" i="3"/>
  <c r="I156" i="3"/>
  <c r="G155" i="3"/>
  <c r="E154" i="3"/>
  <c r="I152" i="3"/>
  <c r="G151" i="3"/>
  <c r="E150" i="3"/>
  <c r="K148" i="3"/>
  <c r="G147" i="3"/>
  <c r="K145" i="3"/>
  <c r="K143" i="3"/>
  <c r="H141" i="3"/>
  <c r="F139" i="3"/>
  <c r="E136" i="3"/>
  <c r="H133" i="3"/>
  <c r="F130" i="3"/>
  <c r="D127" i="3"/>
  <c r="G124" i="3"/>
  <c r="E121" i="3"/>
  <c r="K117" i="3"/>
  <c r="F115" i="3"/>
  <c r="D112" i="3"/>
  <c r="I108" i="3"/>
  <c r="E106" i="3"/>
  <c r="K102" i="3"/>
  <c r="H99" i="3"/>
  <c r="D97" i="3"/>
  <c r="I93" i="3"/>
  <c r="G90" i="3"/>
  <c r="K87" i="3"/>
  <c r="H84" i="3"/>
  <c r="F81" i="3"/>
  <c r="I78" i="3"/>
  <c r="G75" i="3"/>
  <c r="E72" i="3"/>
  <c r="H69" i="3"/>
  <c r="F66" i="3"/>
  <c r="I61" i="3"/>
  <c r="E57" i="3"/>
  <c r="H52" i="3"/>
  <c r="D48" i="3"/>
  <c r="G43" i="3"/>
  <c r="K38" i="3"/>
  <c r="F34" i="3"/>
  <c r="I29" i="3"/>
  <c r="E25" i="3"/>
  <c r="H20" i="3"/>
  <c r="D16" i="3"/>
  <c r="G11" i="3"/>
  <c r="D351" i="3"/>
  <c r="H662" i="3"/>
  <c r="D658" i="3"/>
  <c r="G653" i="3"/>
  <c r="K648" i="3"/>
  <c r="F644" i="3"/>
  <c r="I639" i="3"/>
  <c r="E635" i="3"/>
  <c r="H630" i="3"/>
  <c r="D626" i="3"/>
  <c r="G621" i="3"/>
  <c r="K616" i="3"/>
  <c r="F612" i="3"/>
  <c r="I607" i="3"/>
  <c r="E603" i="3"/>
  <c r="H598" i="3"/>
  <c r="D594" i="3"/>
  <c r="G589" i="3"/>
  <c r="K584" i="3"/>
  <c r="F580" i="3"/>
  <c r="I575" i="3"/>
  <c r="E571" i="3"/>
  <c r="H566" i="3"/>
  <c r="D562" i="3"/>
  <c r="G557" i="3"/>
  <c r="K552" i="3"/>
  <c r="F548" i="3"/>
  <c r="I543" i="3"/>
  <c r="E539" i="3"/>
  <c r="E534" i="3"/>
  <c r="K528" i="3"/>
  <c r="I523" i="3"/>
  <c r="G517" i="3"/>
  <c r="F510" i="3"/>
  <c r="K502" i="3"/>
  <c r="G495" i="3"/>
  <c r="K484" i="3"/>
  <c r="I467" i="3"/>
  <c r="G449" i="3"/>
  <c r="E431" i="3"/>
  <c r="K412" i="3"/>
  <c r="H394" i="3"/>
  <c r="F376" i="3"/>
  <c r="D358" i="3"/>
  <c r="I1005" i="3"/>
  <c r="G987" i="3"/>
  <c r="E969" i="3"/>
  <c r="I938" i="3"/>
  <c r="E902" i="3"/>
  <c r="E862" i="3"/>
  <c r="K813" i="3"/>
  <c r="K764" i="3"/>
  <c r="H714" i="3"/>
  <c r="G1335" i="3"/>
  <c r="I1206" i="3"/>
  <c r="K6" i="3"/>
  <c r="D320" i="3"/>
  <c r="K318" i="3"/>
  <c r="I317" i="3"/>
  <c r="H316" i="3"/>
  <c r="G315" i="3"/>
  <c r="F314" i="3"/>
  <c r="E313" i="3"/>
  <c r="D312" i="3"/>
  <c r="K310" i="3"/>
  <c r="I309" i="3"/>
  <c r="H308" i="3"/>
  <c r="G307" i="3"/>
  <c r="F306" i="3"/>
  <c r="E305" i="3"/>
  <c r="D304" i="3"/>
  <c r="K302" i="3"/>
  <c r="I301" i="3"/>
  <c r="H300" i="3"/>
  <c r="G299" i="3"/>
  <c r="F298" i="3"/>
  <c r="E297" i="3"/>
  <c r="D296" i="3"/>
  <c r="K294" i="3"/>
  <c r="I293" i="3"/>
  <c r="H292" i="3"/>
  <c r="G291" i="3"/>
  <c r="F290" i="3"/>
  <c r="E289" i="3"/>
  <c r="D288" i="3"/>
  <c r="K286" i="3"/>
  <c r="I285" i="3"/>
  <c r="H284" i="3"/>
  <c r="G283" i="3"/>
  <c r="F282" i="3"/>
  <c r="E281" i="3"/>
  <c r="D280" i="3"/>
  <c r="K278" i="3"/>
  <c r="I277" i="3"/>
  <c r="H276" i="3"/>
  <c r="G275" i="3"/>
  <c r="F274" i="3"/>
  <c r="E273" i="3"/>
  <c r="D272" i="3"/>
  <c r="K270" i="3"/>
  <c r="I269" i="3"/>
  <c r="H268" i="3"/>
  <c r="G267" i="3"/>
  <c r="F266" i="3"/>
  <c r="E265" i="3"/>
  <c r="D264" i="3"/>
  <c r="K262" i="3"/>
  <c r="I261" i="3"/>
  <c r="H260" i="3"/>
  <c r="G259" i="3"/>
  <c r="F258" i="3"/>
  <c r="E257" i="3"/>
  <c r="D256" i="3"/>
  <c r="K254" i="3"/>
  <c r="I253" i="3"/>
  <c r="H252" i="3"/>
  <c r="G251" i="3"/>
  <c r="F250" i="3"/>
  <c r="E249" i="3"/>
  <c r="D248" i="3"/>
  <c r="K246" i="3"/>
  <c r="I245" i="3"/>
  <c r="H244" i="3"/>
  <c r="G243" i="3"/>
  <c r="F242" i="3"/>
  <c r="E241" i="3"/>
  <c r="D240" i="3"/>
  <c r="K238" i="3"/>
  <c r="I237" i="3"/>
  <c r="H236" i="3"/>
  <c r="G235" i="3"/>
  <c r="F234" i="3"/>
  <c r="E233" i="3"/>
  <c r="D232" i="3"/>
  <c r="K230" i="3"/>
  <c r="I229" i="3"/>
  <c r="H228" i="3"/>
  <c r="G227" i="3"/>
  <c r="F226" i="3"/>
  <c r="E225" i="3"/>
  <c r="D224" i="3"/>
  <c r="K222" i="3"/>
  <c r="I221" i="3"/>
  <c r="H220" i="3"/>
  <c r="G219" i="3"/>
  <c r="F218" i="3"/>
  <c r="E217" i="3"/>
  <c r="D216" i="3"/>
  <c r="K214" i="3"/>
  <c r="I213" i="3"/>
  <c r="H212" i="3"/>
  <c r="G211" i="3"/>
  <c r="F210" i="3"/>
  <c r="E209" i="3"/>
  <c r="D208" i="3"/>
  <c r="K206" i="3"/>
  <c r="I205" i="3"/>
  <c r="H204" i="3"/>
  <c r="G203" i="3"/>
  <c r="F202" i="3"/>
  <c r="E201" i="3"/>
  <c r="D200" i="3"/>
  <c r="K198" i="3"/>
  <c r="I197" i="3"/>
  <c r="H196" i="3"/>
  <c r="G195" i="3"/>
  <c r="F194" i="3"/>
  <c r="E193" i="3"/>
  <c r="D192" i="3"/>
  <c r="K190" i="3"/>
  <c r="I189" i="3"/>
  <c r="H188" i="3"/>
  <c r="G187" i="3"/>
  <c r="F186" i="3"/>
  <c r="E185" i="3"/>
  <c r="D184" i="3"/>
  <c r="K182" i="3"/>
  <c r="I181" i="3"/>
  <c r="H180" i="3"/>
  <c r="G179" i="3"/>
  <c r="F178" i="3"/>
  <c r="E177" i="3"/>
  <c r="D176" i="3"/>
  <c r="K174" i="3"/>
  <c r="I173" i="3"/>
  <c r="H172" i="3"/>
  <c r="G171" i="3"/>
  <c r="F170" i="3"/>
  <c r="E169" i="3"/>
  <c r="D168" i="3"/>
  <c r="K166" i="3"/>
  <c r="I165" i="3"/>
  <c r="H164" i="3"/>
  <c r="G163" i="3"/>
  <c r="F162" i="3"/>
  <c r="E161" i="3"/>
  <c r="D160" i="3"/>
  <c r="K158" i="3"/>
  <c r="I157" i="3"/>
  <c r="H156" i="3"/>
  <c r="F155" i="3"/>
  <c r="K153" i="3"/>
  <c r="H152" i="3"/>
  <c r="F151" i="3"/>
  <c r="D150" i="3"/>
  <c r="I148" i="3"/>
  <c r="F147" i="3"/>
  <c r="I145" i="3"/>
  <c r="H143" i="3"/>
  <c r="F141" i="3"/>
  <c r="D139" i="3"/>
  <c r="D136" i="3"/>
  <c r="I132" i="3"/>
  <c r="E130" i="3"/>
  <c r="K126" i="3"/>
  <c r="H123" i="3"/>
  <c r="D121" i="3"/>
  <c r="I117" i="3"/>
  <c r="G114" i="3"/>
  <c r="K111" i="3"/>
  <c r="H108" i="3"/>
  <c r="F105" i="3"/>
  <c r="I102" i="3"/>
  <c r="G99" i="3"/>
  <c r="E96" i="3"/>
  <c r="H93" i="3"/>
  <c r="F90" i="3"/>
  <c r="D87" i="3"/>
  <c r="G84" i="3"/>
  <c r="E81" i="3"/>
  <c r="K77" i="3"/>
  <c r="F75" i="3"/>
  <c r="D72" i="3"/>
  <c r="I68" i="3"/>
  <c r="F65" i="3"/>
  <c r="I60" i="3"/>
  <c r="E56" i="3"/>
  <c r="H51" i="3"/>
  <c r="D47" i="3"/>
  <c r="G42" i="3"/>
  <c r="K37" i="3"/>
  <c r="F33" i="3"/>
  <c r="I28" i="3"/>
  <c r="E24" i="3"/>
  <c r="H19" i="3"/>
  <c r="D15" i="3"/>
  <c r="G10" i="3"/>
  <c r="H661" i="3"/>
  <c r="D657" i="3"/>
  <c r="G652" i="3"/>
  <c r="K647" i="3"/>
  <c r="F643" i="3"/>
  <c r="I638" i="3"/>
  <c r="E634" i="3"/>
  <c r="H629" i="3"/>
  <c r="D625" i="3"/>
  <c r="G620" i="3"/>
  <c r="K615" i="3"/>
  <c r="F611" i="3"/>
  <c r="I606" i="3"/>
  <c r="E602" i="3"/>
  <c r="H597" i="3"/>
  <c r="D593" i="3"/>
  <c r="G588" i="3"/>
  <c r="K583" i="3"/>
  <c r="F579" i="3"/>
  <c r="I574" i="3"/>
  <c r="E570" i="3"/>
  <c r="H565" i="3"/>
  <c r="D561" i="3"/>
  <c r="G556" i="3"/>
  <c r="K551" i="3"/>
  <c r="F547" i="3"/>
  <c r="I542" i="3"/>
  <c r="E538" i="3"/>
  <c r="D533" i="3"/>
  <c r="I527" i="3"/>
  <c r="H522" i="3"/>
  <c r="D516" i="3"/>
  <c r="H508" i="3"/>
  <c r="F501" i="3"/>
  <c r="G493" i="3"/>
  <c r="I481" i="3"/>
  <c r="G463" i="3"/>
  <c r="E445" i="3"/>
  <c r="K426" i="3"/>
  <c r="H408" i="3"/>
  <c r="F390" i="3"/>
  <c r="D372" i="3"/>
  <c r="I353" i="3"/>
  <c r="G1001" i="3"/>
  <c r="E983" i="3"/>
  <c r="I962" i="3"/>
  <c r="G930" i="3"/>
  <c r="K893" i="3"/>
  <c r="I850" i="3"/>
  <c r="G802" i="3"/>
  <c r="G753" i="3"/>
  <c r="G701" i="3"/>
  <c r="K1323" i="3"/>
  <c r="H1166" i="3"/>
  <c r="E1680" i="3"/>
  <c r="K319" i="3"/>
  <c r="I318" i="3"/>
  <c r="H317" i="3"/>
  <c r="G316" i="3"/>
  <c r="F315" i="3"/>
  <c r="E314" i="3"/>
  <c r="D313" i="3"/>
  <c r="K311" i="3"/>
  <c r="I310" i="3"/>
  <c r="H309" i="3"/>
  <c r="G308" i="3"/>
  <c r="F307" i="3"/>
  <c r="E306" i="3"/>
  <c r="D305" i="3"/>
  <c r="K303" i="3"/>
  <c r="I302" i="3"/>
  <c r="H301" i="3"/>
  <c r="G300" i="3"/>
  <c r="F299" i="3"/>
  <c r="E298" i="3"/>
  <c r="D297" i="3"/>
  <c r="K295" i="3"/>
  <c r="I294" i="3"/>
  <c r="H293" i="3"/>
  <c r="G292" i="3"/>
  <c r="F291" i="3"/>
  <c r="E290" i="3"/>
  <c r="D289" i="3"/>
  <c r="K287" i="3"/>
  <c r="I286" i="3"/>
  <c r="H285" i="3"/>
  <c r="G284" i="3"/>
  <c r="F283" i="3"/>
  <c r="E282" i="3"/>
  <c r="D281" i="3"/>
  <c r="K279" i="3"/>
  <c r="I278" i="3"/>
  <c r="H277" i="3"/>
  <c r="G276" i="3"/>
  <c r="F275" i="3"/>
  <c r="E274" i="3"/>
  <c r="D273" i="3"/>
  <c r="K271" i="3"/>
  <c r="I270" i="3"/>
  <c r="H269" i="3"/>
  <c r="G268" i="3"/>
  <c r="F267" i="3"/>
  <c r="E266" i="3"/>
  <c r="D265" i="3"/>
  <c r="K263" i="3"/>
  <c r="I262" i="3"/>
  <c r="H261" i="3"/>
  <c r="G260" i="3"/>
  <c r="F259" i="3"/>
  <c r="E258" i="3"/>
  <c r="D257" i="3"/>
  <c r="K255" i="3"/>
  <c r="I254" i="3"/>
  <c r="H253" i="3"/>
  <c r="G252" i="3"/>
  <c r="F251" i="3"/>
  <c r="E250" i="3"/>
  <c r="D249" i="3"/>
  <c r="K247" i="3"/>
  <c r="I246" i="3"/>
  <c r="H245" i="3"/>
  <c r="G244" i="3"/>
  <c r="F243" i="3"/>
  <c r="E242" i="3"/>
  <c r="D241" i="3"/>
  <c r="K239" i="3"/>
  <c r="I238" i="3"/>
  <c r="H237" i="3"/>
  <c r="G236" i="3"/>
  <c r="F235" i="3"/>
  <c r="E234" i="3"/>
  <c r="D233" i="3"/>
  <c r="K231" i="3"/>
  <c r="I230" i="3"/>
  <c r="H229" i="3"/>
  <c r="G228" i="3"/>
  <c r="F227" i="3"/>
  <c r="E226" i="3"/>
  <c r="D225" i="3"/>
  <c r="K223" i="3"/>
  <c r="I222" i="3"/>
  <c r="H221" i="3"/>
  <c r="G220" i="3"/>
  <c r="F219" i="3"/>
  <c r="E218" i="3"/>
  <c r="D217" i="3"/>
  <c r="K215" i="3"/>
  <c r="I214" i="3"/>
  <c r="H213" i="3"/>
  <c r="G212" i="3"/>
  <c r="F211" i="3"/>
  <c r="E210" i="3"/>
  <c r="D209" i="3"/>
  <c r="K207" i="3"/>
  <c r="I206" i="3"/>
  <c r="H205" i="3"/>
  <c r="G204" i="3"/>
  <c r="F203" i="3"/>
  <c r="E202" i="3"/>
  <c r="D201" i="3"/>
  <c r="K199" i="3"/>
  <c r="I198" i="3"/>
  <c r="H197" i="3"/>
  <c r="G196" i="3"/>
  <c r="F195" i="3"/>
  <c r="E194" i="3"/>
  <c r="D193" i="3"/>
  <c r="K191" i="3"/>
  <c r="I190" i="3"/>
  <c r="H189" i="3"/>
  <c r="G188" i="3"/>
  <c r="F187" i="3"/>
  <c r="E186" i="3"/>
  <c r="D185" i="3"/>
  <c r="K183" i="3"/>
  <c r="I182" i="3"/>
  <c r="H181" i="3"/>
  <c r="G180" i="3"/>
  <c r="F179" i="3"/>
  <c r="E178" i="3"/>
  <c r="D177" i="3"/>
  <c r="K175" i="3"/>
  <c r="I174" i="3"/>
  <c r="H173" i="3"/>
  <c r="G172" i="3"/>
  <c r="F171" i="3"/>
  <c r="E170" i="3"/>
  <c r="D169" i="3"/>
  <c r="K167" i="3"/>
  <c r="I166" i="3"/>
  <c r="H165" i="3"/>
  <c r="G164" i="3"/>
  <c r="F163" i="3"/>
  <c r="E162" i="3"/>
  <c r="D161" i="3"/>
  <c r="K159" i="3"/>
  <c r="I158" i="3"/>
  <c r="H157" i="3"/>
  <c r="G156" i="3"/>
  <c r="D155" i="3"/>
  <c r="I153" i="3"/>
  <c r="G152" i="3"/>
  <c r="E151" i="3"/>
  <c r="K149" i="3"/>
  <c r="H148" i="3"/>
  <c r="D147" i="3"/>
  <c r="F145" i="3"/>
  <c r="D143" i="3"/>
  <c r="I140" i="3"/>
  <c r="G138" i="3"/>
  <c r="K135" i="3"/>
  <c r="H132" i="3"/>
  <c r="F129" i="3"/>
  <c r="I126" i="3"/>
  <c r="G123" i="3"/>
  <c r="E120" i="3"/>
  <c r="H117" i="3"/>
  <c r="F114" i="3"/>
  <c r="D111" i="3"/>
  <c r="G108" i="3"/>
  <c r="E105" i="3"/>
  <c r="K101" i="3"/>
  <c r="F99" i="3"/>
  <c r="D96" i="3"/>
  <c r="I92" i="3"/>
  <c r="E90" i="3"/>
  <c r="K86" i="3"/>
  <c r="H83" i="3"/>
  <c r="D81" i="3"/>
  <c r="I77" i="3"/>
  <c r="G74" i="3"/>
  <c r="K71" i="3"/>
  <c r="H68" i="3"/>
  <c r="E65" i="3"/>
  <c r="H60" i="3"/>
  <c r="D56" i="3"/>
  <c r="G51" i="3"/>
  <c r="K46" i="3"/>
  <c r="F42" i="3"/>
  <c r="I37" i="3"/>
  <c r="E33" i="3"/>
  <c r="H28" i="3"/>
  <c r="D24" i="3"/>
  <c r="G19" i="3"/>
  <c r="K14" i="3"/>
  <c r="F10" i="3"/>
  <c r="G661" i="3"/>
  <c r="K656" i="3"/>
  <c r="F652" i="3"/>
  <c r="I647" i="3"/>
  <c r="E643" i="3"/>
  <c r="H638" i="3"/>
  <c r="D634" i="3"/>
  <c r="G629" i="3"/>
  <c r="K624" i="3"/>
  <c r="F620" i="3"/>
  <c r="I615" i="3"/>
  <c r="E611" i="3"/>
  <c r="H606" i="3"/>
  <c r="D602" i="3"/>
  <c r="G597" i="3"/>
  <c r="K592" i="3"/>
  <c r="F588" i="3"/>
  <c r="I583" i="3"/>
  <c r="E579" i="3"/>
  <c r="H574" i="3"/>
  <c r="D570" i="3"/>
  <c r="G565" i="3"/>
  <c r="K560" i="3"/>
  <c r="F556" i="3"/>
  <c r="I551" i="3"/>
  <c r="E547" i="3"/>
  <c r="H542" i="3"/>
  <c r="D538" i="3"/>
  <c r="K532" i="3"/>
  <c r="H527" i="3"/>
  <c r="F522" i="3"/>
  <c r="I515" i="3"/>
  <c r="F508" i="3"/>
  <c r="E501" i="3"/>
  <c r="E493" i="3"/>
  <c r="G481" i="3"/>
  <c r="E463" i="3"/>
  <c r="K444" i="3"/>
  <c r="H426" i="3"/>
  <c r="F408" i="3"/>
  <c r="D390" i="3"/>
  <c r="I371" i="3"/>
  <c r="G353" i="3"/>
  <c r="E1001" i="3"/>
  <c r="K982" i="3"/>
  <c r="G962" i="3"/>
  <c r="H929" i="3"/>
  <c r="D893" i="3"/>
  <c r="G850" i="3"/>
  <c r="G801" i="3"/>
  <c r="G752" i="3"/>
  <c r="E701" i="3"/>
  <c r="F1321" i="3"/>
  <c r="G1157" i="3"/>
  <c r="H1643" i="3"/>
  <c r="D6" i="3"/>
  <c r="E6" i="3"/>
  <c r="F6" i="3"/>
  <c r="G6" i="3"/>
  <c r="H6" i="3"/>
  <c r="E9" i="1"/>
  <c r="J3" i="3" s="1"/>
  <c r="L1822" i="3" l="1"/>
  <c r="L2509" i="3"/>
  <c r="L2491" i="3"/>
  <c r="L2429" i="3"/>
  <c r="L2432" i="3"/>
  <c r="L2353" i="3"/>
  <c r="L2264" i="3"/>
  <c r="L2454" i="3"/>
  <c r="L2435" i="3"/>
  <c r="L671" i="3"/>
  <c r="L271" i="3"/>
  <c r="L2218" i="3"/>
  <c r="L2442" i="3"/>
  <c r="L2486" i="3"/>
  <c r="L2425" i="3"/>
  <c r="L2461" i="3"/>
  <c r="L2505" i="3"/>
  <c r="L2519" i="3"/>
  <c r="L2450" i="3"/>
  <c r="L2424" i="3"/>
  <c r="L2439" i="3"/>
  <c r="L2423" i="3"/>
  <c r="L2511" i="3"/>
  <c r="L2488" i="3"/>
  <c r="L2487" i="3"/>
  <c r="L2329" i="3"/>
  <c r="L2459" i="3"/>
  <c r="L2441" i="3"/>
  <c r="L2514" i="3"/>
  <c r="L2496" i="3"/>
  <c r="L2494" i="3"/>
  <c r="L2502" i="3"/>
  <c r="L1488" i="3"/>
  <c r="L1862" i="3"/>
  <c r="L2445" i="3"/>
  <c r="L2440" i="3"/>
  <c r="L2490" i="3"/>
  <c r="L2448" i="3"/>
  <c r="L2498" i="3"/>
  <c r="L2510" i="3"/>
  <c r="L2422" i="3"/>
  <c r="L2431" i="3"/>
  <c r="L2455" i="3"/>
  <c r="L2446" i="3"/>
  <c r="L2513" i="3"/>
  <c r="L2518" i="3"/>
  <c r="L2499" i="3"/>
  <c r="L2520" i="3"/>
  <c r="L2464" i="3"/>
  <c r="L2463" i="3"/>
  <c r="L2462" i="3"/>
  <c r="L2434" i="3"/>
  <c r="L2453" i="3"/>
  <c r="L2430" i="3"/>
  <c r="L2504" i="3"/>
  <c r="L327" i="3"/>
  <c r="L2427" i="3"/>
  <c r="L2515" i="3"/>
  <c r="L2521" i="3"/>
  <c r="L2489" i="3"/>
  <c r="L2460" i="3"/>
  <c r="L2437" i="3"/>
  <c r="L2443" i="3"/>
  <c r="L2522" i="3"/>
  <c r="L2508" i="3"/>
  <c r="L2456" i="3"/>
  <c r="L2501" i="3"/>
  <c r="L2497" i="3"/>
  <c r="L2523" i="3"/>
  <c r="L2516" i="3"/>
  <c r="L2512" i="3"/>
  <c r="L2426" i="3"/>
  <c r="L2500" i="3"/>
  <c r="L2526" i="3"/>
  <c r="L2457" i="3"/>
  <c r="L2517" i="3"/>
  <c r="L2524" i="3"/>
  <c r="L2507" i="3"/>
  <c r="L2495" i="3"/>
  <c r="L2492" i="3"/>
  <c r="L2452" i="3"/>
  <c r="L2436" i="3"/>
  <c r="L2421" i="3"/>
  <c r="L2447" i="3"/>
  <c r="L2444" i="3"/>
  <c r="L2229" i="3"/>
  <c r="L2092" i="3"/>
  <c r="L2088" i="3"/>
  <c r="L2143" i="3"/>
  <c r="L2385" i="3"/>
  <c r="L2236" i="3"/>
  <c r="L2389" i="3"/>
  <c r="L303" i="3"/>
  <c r="L295" i="3"/>
  <c r="L2263" i="3"/>
  <c r="L1014" i="3"/>
  <c r="L326" i="3"/>
  <c r="L2381" i="3"/>
  <c r="L2320" i="3"/>
  <c r="L2055" i="3"/>
  <c r="L1791" i="3"/>
  <c r="L334" i="3"/>
  <c r="L1827" i="3"/>
  <c r="L2191" i="3"/>
  <c r="L1367" i="3"/>
  <c r="L1369" i="3"/>
  <c r="L335" i="3"/>
  <c r="L2206" i="3"/>
  <c r="L2106" i="3"/>
  <c r="L2063" i="3"/>
  <c r="L2405" i="3"/>
  <c r="L1368" i="3"/>
  <c r="L2058" i="3"/>
  <c r="L682" i="3"/>
  <c r="L2213" i="3"/>
  <c r="L2199" i="3"/>
  <c r="L159" i="3"/>
  <c r="L2220" i="3"/>
  <c r="L1461" i="3"/>
  <c r="L1886" i="3"/>
  <c r="L2186" i="3"/>
  <c r="L2102" i="3"/>
  <c r="L2149" i="3"/>
  <c r="L2156" i="3"/>
  <c r="L247" i="3"/>
  <c r="L2402" i="3"/>
  <c r="L2032" i="3"/>
  <c r="L1850" i="3"/>
  <c r="L2231" i="3"/>
  <c r="L2121" i="3"/>
  <c r="L1718" i="3"/>
  <c r="L1717" i="3"/>
  <c r="L2060" i="3"/>
  <c r="L1026" i="3"/>
  <c r="L2006" i="3"/>
  <c r="L2221" i="3"/>
  <c r="L1714" i="3"/>
  <c r="L336" i="3"/>
  <c r="L1716" i="3"/>
  <c r="L1138" i="3"/>
  <c r="L1996" i="3"/>
  <c r="L1408" i="3"/>
  <c r="L1845" i="3"/>
  <c r="L1925" i="3"/>
  <c r="L1847" i="3"/>
  <c r="L1772" i="3"/>
  <c r="L1844" i="3"/>
  <c r="L1739" i="3"/>
  <c r="L1760" i="3"/>
  <c r="L1780" i="3"/>
  <c r="L2328" i="3"/>
  <c r="L2228" i="3"/>
  <c r="L2184" i="3"/>
  <c r="L2174" i="3"/>
  <c r="L2113" i="3"/>
  <c r="L2084" i="3"/>
  <c r="L1028" i="3"/>
  <c r="L683" i="3"/>
  <c r="L1528" i="3"/>
  <c r="L2021" i="3"/>
  <c r="L1978" i="3"/>
  <c r="L1872" i="3"/>
  <c r="L2388" i="3"/>
  <c r="L2217" i="3"/>
  <c r="L2201" i="3"/>
  <c r="L2153" i="3"/>
  <c r="L2250" i="3"/>
  <c r="L2120" i="3"/>
  <c r="L2119" i="3"/>
  <c r="L2059" i="3"/>
  <c r="L678" i="3"/>
  <c r="L1023" i="3"/>
  <c r="L1027" i="3"/>
  <c r="L2338" i="3"/>
  <c r="L1024" i="3"/>
  <c r="L1713" i="3"/>
  <c r="L1712" i="3"/>
  <c r="L2034" i="3"/>
  <c r="L1536" i="3"/>
  <c r="L1517" i="3"/>
  <c r="L2031" i="3"/>
  <c r="L1398" i="3"/>
  <c r="L1923" i="3"/>
  <c r="L1912" i="3"/>
  <c r="L1853" i="3"/>
  <c r="L1819" i="3"/>
  <c r="L1930" i="3"/>
  <c r="L1748" i="3"/>
  <c r="L1852" i="3"/>
  <c r="L2324" i="3"/>
  <c r="L2318" i="3"/>
  <c r="L1749" i="3"/>
  <c r="L2327" i="3"/>
  <c r="L2225" i="3"/>
  <c r="L2222" i="3"/>
  <c r="L2223" i="3"/>
  <c r="L2248" i="3"/>
  <c r="L2111" i="3"/>
  <c r="L2182" i="3"/>
  <c r="L2136" i="3"/>
  <c r="L2096" i="3"/>
  <c r="L1370" i="3"/>
  <c r="L263" i="3"/>
  <c r="L2403" i="3"/>
  <c r="L338" i="3"/>
  <c r="L679" i="3"/>
  <c r="L1373" i="3"/>
  <c r="L183" i="3"/>
  <c r="L2407" i="3"/>
  <c r="L1715" i="3"/>
  <c r="L677" i="3"/>
  <c r="L333" i="3"/>
  <c r="L1025" i="3"/>
  <c r="L337" i="3"/>
  <c r="L2408" i="3"/>
  <c r="L1372" i="3"/>
  <c r="L1968" i="3"/>
  <c r="L1778" i="3"/>
  <c r="L2406" i="3"/>
  <c r="L2404" i="3"/>
  <c r="L681" i="3"/>
  <c r="L2062" i="3"/>
  <c r="L1371" i="3"/>
  <c r="L1824" i="3"/>
  <c r="L1941" i="3"/>
  <c r="L1995" i="3"/>
  <c r="L1711" i="3"/>
  <c r="L1874" i="3"/>
  <c r="L2342" i="3"/>
  <c r="L2129" i="3"/>
  <c r="L1022" i="3"/>
  <c r="L2261" i="3"/>
  <c r="L2192" i="3"/>
  <c r="L2233" i="3"/>
  <c r="L332" i="3"/>
  <c r="L2057" i="3"/>
  <c r="L255" i="3"/>
  <c r="L239" i="3"/>
  <c r="L231" i="3"/>
  <c r="L287" i="3"/>
  <c r="L101" i="3"/>
  <c r="L1643" i="3"/>
  <c r="L978" i="3"/>
  <c r="L1241" i="3"/>
  <c r="L1177" i="3"/>
  <c r="L1617" i="3"/>
  <c r="L1902" i="3"/>
  <c r="L2245" i="3"/>
  <c r="L2161" i="3"/>
  <c r="L2086" i="3"/>
  <c r="L2172" i="3"/>
  <c r="L1569" i="3"/>
  <c r="L1837" i="3"/>
  <c r="L2278" i="3"/>
  <c r="L2132" i="3"/>
  <c r="L1887" i="3"/>
  <c r="L1814" i="3"/>
  <c r="L1427" i="3"/>
  <c r="L1854" i="3"/>
  <c r="L1789" i="3"/>
  <c r="L1927" i="3"/>
  <c r="L1950" i="3"/>
  <c r="L1473" i="3"/>
  <c r="L2023" i="3"/>
  <c r="L2026" i="3"/>
  <c r="L1835" i="3"/>
  <c r="L1763" i="3"/>
  <c r="L2325" i="3"/>
  <c r="L2159" i="3"/>
  <c r="L2350" i="3"/>
  <c r="L1735" i="3"/>
  <c r="L2386" i="3"/>
  <c r="L2330" i="3"/>
  <c r="L2158" i="3"/>
  <c r="L2097" i="3"/>
  <c r="L2130" i="3"/>
  <c r="L1362" i="3"/>
  <c r="L215" i="3"/>
  <c r="L2047" i="3"/>
  <c r="L2053" i="3"/>
  <c r="L1710" i="3"/>
  <c r="L1792" i="3"/>
  <c r="L325" i="3"/>
  <c r="L1796" i="3"/>
  <c r="L2301" i="3"/>
  <c r="L2313" i="3"/>
  <c r="L2269" i="3"/>
  <c r="L2238" i="3"/>
  <c r="L2194" i="3"/>
  <c r="L1019" i="3"/>
  <c r="L1021" i="3"/>
  <c r="L2393" i="3"/>
  <c r="L329" i="3"/>
  <c r="L668" i="3"/>
  <c r="L1706" i="3"/>
  <c r="L2395" i="3"/>
  <c r="L2396" i="3"/>
  <c r="L1358" i="3"/>
  <c r="L1018" i="3"/>
  <c r="L1359" i="3"/>
  <c r="L323" i="3"/>
  <c r="L2394" i="3"/>
  <c r="L2050" i="3"/>
  <c r="L1708" i="3"/>
  <c r="L1709" i="3"/>
  <c r="L670" i="3"/>
  <c r="L330" i="3"/>
  <c r="L1357" i="3"/>
  <c r="L331" i="3"/>
  <c r="L1702" i="3"/>
  <c r="L2052" i="3"/>
  <c r="L1361" i="3"/>
  <c r="L2400" i="3"/>
  <c r="L669" i="3"/>
  <c r="L2401" i="3"/>
  <c r="L2049" i="3"/>
  <c r="L1012" i="3"/>
  <c r="L1363" i="3"/>
  <c r="L667" i="3"/>
  <c r="L1689" i="3"/>
  <c r="L1268" i="3"/>
  <c r="L1624" i="3"/>
  <c r="L1507" i="3"/>
  <c r="L1525" i="3"/>
  <c r="L1387" i="3"/>
  <c r="L1821" i="3"/>
  <c r="L1939" i="3"/>
  <c r="L1842" i="3"/>
  <c r="L1986" i="3"/>
  <c r="L1972" i="3"/>
  <c r="L1964" i="3"/>
  <c r="L1957" i="3"/>
  <c r="L1911" i="3"/>
  <c r="L1831" i="3"/>
  <c r="L1810" i="3"/>
  <c r="L2256" i="3"/>
  <c r="L1768" i="3"/>
  <c r="L1759" i="3"/>
  <c r="L1754" i="3"/>
  <c r="L1851" i="3"/>
  <c r="L2365" i="3"/>
  <c r="L2356" i="3"/>
  <c r="L2292" i="3"/>
  <c r="L2332" i="3"/>
  <c r="L2286" i="3"/>
  <c r="L2274" i="3"/>
  <c r="L2359" i="3"/>
  <c r="L2341" i="3"/>
  <c r="L2295" i="3"/>
  <c r="L2214" i="3"/>
  <c r="L2344" i="3"/>
  <c r="L2335" i="3"/>
  <c r="L2289" i="3"/>
  <c r="L2152" i="3"/>
  <c r="L2109" i="3"/>
  <c r="L2167" i="3"/>
  <c r="L2154" i="3"/>
  <c r="L2204" i="3"/>
  <c r="L2134" i="3"/>
  <c r="L2079" i="3"/>
  <c r="L2122" i="3"/>
  <c r="L2137" i="3"/>
  <c r="L1703" i="3"/>
  <c r="L199" i="3"/>
  <c r="L149" i="3"/>
  <c r="L673" i="3"/>
  <c r="L2048" i="3"/>
  <c r="L1364" i="3"/>
  <c r="L311" i="3"/>
  <c r="L36" i="3"/>
  <c r="L614" i="3"/>
  <c r="L2399" i="3"/>
  <c r="L1017" i="3"/>
  <c r="L1365" i="3"/>
  <c r="L2054" i="3"/>
  <c r="L1705" i="3"/>
  <c r="L1704" i="3"/>
  <c r="L322" i="3"/>
  <c r="L2397" i="3"/>
  <c r="L2051" i="3"/>
  <c r="L1015" i="3"/>
  <c r="L1020" i="3"/>
  <c r="L1366" i="3"/>
  <c r="L324" i="3"/>
  <c r="L2398" i="3"/>
  <c r="L2056" i="3"/>
  <c r="L1360" i="3"/>
  <c r="L1016" i="3"/>
  <c r="L674" i="3"/>
  <c r="L675" i="3"/>
  <c r="L1707" i="3"/>
  <c r="L2392" i="3"/>
  <c r="L672" i="3"/>
  <c r="L328" i="3"/>
  <c r="L676" i="3"/>
  <c r="L1013" i="3"/>
  <c r="L1291" i="3"/>
  <c r="L743" i="3"/>
  <c r="L146" i="3"/>
  <c r="L895" i="3"/>
  <c r="L1234" i="3"/>
  <c r="L1170" i="3"/>
  <c r="L1106" i="3"/>
  <c r="L1561" i="3"/>
  <c r="L2118" i="3"/>
  <c r="L1390" i="3"/>
  <c r="L1544" i="3"/>
  <c r="L1552" i="3"/>
  <c r="L1738" i="3"/>
  <c r="L1497" i="3"/>
  <c r="L1191" i="3"/>
  <c r="L1425" i="3"/>
  <c r="L1960" i="3"/>
  <c r="L2279" i="3"/>
  <c r="L1747" i="3"/>
  <c r="L2362" i="3"/>
  <c r="L2166" i="3"/>
  <c r="L2095" i="3"/>
  <c r="L2117" i="3"/>
  <c r="L2103" i="3"/>
  <c r="L2046" i="3"/>
  <c r="L2284" i="3"/>
  <c r="L2101" i="3"/>
  <c r="L1264" i="3"/>
  <c r="L1200" i="3"/>
  <c r="L1136" i="3"/>
  <c r="L1072" i="3"/>
  <c r="L1082" i="3"/>
  <c r="L1260" i="3"/>
  <c r="L1491" i="3"/>
  <c r="L1453" i="3"/>
  <c r="L1975" i="3"/>
  <c r="L1863" i="3"/>
  <c r="L1834" i="3"/>
  <c r="L1813" i="3"/>
  <c r="L2012" i="3"/>
  <c r="L1940" i="3"/>
  <c r="L1885" i="3"/>
  <c r="L1800" i="3"/>
  <c r="L1942" i="3"/>
  <c r="L1910" i="3"/>
  <c r="L1856" i="3"/>
  <c r="L1967" i="3"/>
  <c r="L1903" i="3"/>
  <c r="L1790" i="3"/>
  <c r="L1896" i="3"/>
  <c r="L1843" i="3"/>
  <c r="L1779" i="3"/>
  <c r="L2380" i="3"/>
  <c r="L2316" i="3"/>
  <c r="L2310" i="3"/>
  <c r="L2282" i="3"/>
  <c r="L2383" i="3"/>
  <c r="L2319" i="3"/>
  <c r="L2368" i="3"/>
  <c r="L2336" i="3"/>
  <c r="L2280" i="3"/>
  <c r="L2298" i="3"/>
  <c r="L2271" i="3"/>
  <c r="L2126" i="3"/>
  <c r="L2273" i="3"/>
  <c r="L2209" i="3"/>
  <c r="L2145" i="3"/>
  <c r="L2210" i="3"/>
  <c r="L2146" i="3"/>
  <c r="L2244" i="3"/>
  <c r="L2180" i="3"/>
  <c r="L2237" i="3"/>
  <c r="L2173" i="3"/>
  <c r="L2094" i="3"/>
  <c r="L2105" i="3"/>
  <c r="L2082" i="3"/>
  <c r="L2391" i="3"/>
  <c r="L223" i="3"/>
  <c r="L440" i="3"/>
  <c r="L582" i="3"/>
  <c r="L550" i="3"/>
  <c r="L207" i="3"/>
  <c r="L1286" i="3"/>
  <c r="L1011" i="3"/>
  <c r="L321" i="3"/>
  <c r="L1356" i="3"/>
  <c r="L293" i="3"/>
  <c r="L1579" i="3"/>
  <c r="L1987" i="3"/>
  <c r="L2377" i="3"/>
  <c r="L2299" i="3"/>
  <c r="L1701" i="3"/>
  <c r="L1328" i="3"/>
  <c r="L1119" i="3"/>
  <c r="L2255" i="3"/>
  <c r="L666" i="3"/>
  <c r="L536" i="3"/>
  <c r="L113" i="3"/>
  <c r="L1150" i="3"/>
  <c r="L1233" i="3"/>
  <c r="L1239" i="3"/>
  <c r="L2157" i="3"/>
  <c r="L1625" i="3"/>
  <c r="L1503" i="3"/>
  <c r="L232" i="3"/>
  <c r="L1175" i="3"/>
  <c r="L1306" i="3"/>
  <c r="L1204" i="3"/>
  <c r="L1666" i="3"/>
  <c r="L1677" i="3"/>
  <c r="L1613" i="3"/>
  <c r="L1688" i="3"/>
  <c r="L1880" i="3"/>
  <c r="L2093" i="3"/>
  <c r="L67" i="3"/>
  <c r="L1310" i="3"/>
  <c r="L2020" i="3"/>
  <c r="L158" i="3"/>
  <c r="L222" i="3"/>
  <c r="L286" i="3"/>
  <c r="L131" i="3"/>
  <c r="L76" i="3"/>
  <c r="L137" i="3"/>
  <c r="L86" i="3"/>
  <c r="L22" i="3"/>
  <c r="L59" i="3"/>
  <c r="L637" i="3"/>
  <c r="L573" i="3"/>
  <c r="L1134" i="3"/>
  <c r="L1065" i="3"/>
  <c r="L1623" i="3"/>
  <c r="L1696" i="3"/>
  <c r="L1632" i="3"/>
  <c r="L1635" i="3"/>
  <c r="L1956" i="3"/>
  <c r="L1670" i="3"/>
  <c r="L1606" i="3"/>
  <c r="L1426" i="3"/>
  <c r="L1673" i="3"/>
  <c r="L1489" i="3"/>
  <c r="L2044" i="3"/>
  <c r="L1509" i="3"/>
  <c r="L1445" i="3"/>
  <c r="L1574" i="3"/>
  <c r="L2035" i="3"/>
  <c r="L1823" i="3"/>
  <c r="L2215" i="3"/>
  <c r="L2193" i="3"/>
  <c r="L1948" i="3"/>
  <c r="L1744" i="3"/>
  <c r="L2164" i="3"/>
  <c r="L176" i="3"/>
  <c r="L304" i="3"/>
  <c r="L98" i="3"/>
  <c r="L1095" i="3"/>
  <c r="L1741" i="3"/>
  <c r="L1571" i="3"/>
  <c r="L1111" i="3"/>
  <c r="L123" i="3"/>
  <c r="L828" i="3"/>
  <c r="L499" i="3"/>
  <c r="L1348" i="3"/>
  <c r="L1921" i="3"/>
  <c r="L1142" i="3"/>
  <c r="L129" i="3"/>
  <c r="L570" i="3"/>
  <c r="L479" i="3"/>
  <c r="L415" i="3"/>
  <c r="L1407" i="3"/>
  <c r="L1588" i="3"/>
  <c r="L910" i="3"/>
  <c r="L1198" i="3"/>
  <c r="L887" i="3"/>
  <c r="L1312" i="3"/>
  <c r="L1290" i="3"/>
  <c r="L1226" i="3"/>
  <c r="L1894" i="3"/>
  <c r="L2346" i="3"/>
  <c r="L1303" i="3"/>
  <c r="L1652" i="3"/>
  <c r="L2030" i="3"/>
  <c r="L2005" i="3"/>
  <c r="L1519" i="3"/>
  <c r="L1781" i="3"/>
  <c r="L2281" i="3"/>
  <c r="L189" i="3"/>
  <c r="L1060" i="3"/>
  <c r="L1140" i="3"/>
  <c r="L1048" i="3"/>
  <c r="L1615" i="3"/>
  <c r="L1699" i="3"/>
  <c r="L1274" i="3"/>
  <c r="L1210" i="3"/>
  <c r="L1146" i="3"/>
  <c r="L2019" i="3"/>
  <c r="L1634" i="3"/>
  <c r="L1537" i="3"/>
  <c r="L1467" i="3"/>
  <c r="L1403" i="3"/>
  <c r="L1866" i="3"/>
  <c r="L1532" i="3"/>
  <c r="L1989" i="3"/>
  <c r="L1947" i="3"/>
  <c r="L1832" i="3"/>
  <c r="L1811" i="3"/>
  <c r="L1914" i="3"/>
  <c r="L1876" i="3"/>
  <c r="L70" i="3"/>
  <c r="L1070" i="3"/>
  <c r="L1339" i="3"/>
  <c r="L1899" i="3"/>
  <c r="L1691" i="3"/>
  <c r="L166" i="3"/>
  <c r="L230" i="3"/>
  <c r="L294" i="3"/>
  <c r="L533" i="3"/>
  <c r="L437" i="3"/>
  <c r="L80" i="3"/>
  <c r="L1324" i="3"/>
  <c r="L2089" i="3"/>
  <c r="L1409" i="3"/>
  <c r="L2176" i="3"/>
  <c r="L371" i="3"/>
  <c r="L1183" i="3"/>
  <c r="L1346" i="3"/>
  <c r="L2028" i="3"/>
  <c r="L1468" i="3"/>
  <c r="L1788" i="3"/>
  <c r="L2151" i="3"/>
  <c r="L2169" i="3"/>
  <c r="L2226" i="3"/>
  <c r="L2276" i="3"/>
  <c r="L2125" i="3"/>
  <c r="L2196" i="3"/>
  <c r="L2253" i="3"/>
  <c r="L2189" i="3"/>
  <c r="L2124" i="3"/>
  <c r="L2135" i="3"/>
  <c r="L2098" i="3"/>
  <c r="L646" i="3"/>
  <c r="L179" i="3"/>
  <c r="L243" i="3"/>
  <c r="L307" i="3"/>
  <c r="L178" i="3"/>
  <c r="L242" i="3"/>
  <c r="L306" i="3"/>
  <c r="L938" i="3"/>
  <c r="L523" i="3"/>
  <c r="L654" i="3"/>
  <c r="L45" i="3"/>
  <c r="L623" i="3"/>
  <c r="L559" i="3"/>
  <c r="L96" i="3"/>
  <c r="L32" i="3"/>
  <c r="L610" i="3"/>
  <c r="L546" i="3"/>
  <c r="L994" i="3"/>
  <c r="L50" i="3"/>
  <c r="L41" i="3"/>
  <c r="L628" i="3"/>
  <c r="L564" i="3"/>
  <c r="L526" i="3"/>
  <c r="L1327" i="3"/>
  <c r="L458" i="3"/>
  <c r="L1466" i="3"/>
  <c r="L794" i="3"/>
  <c r="L876" i="3"/>
  <c r="L748" i="3"/>
  <c r="L1305" i="3"/>
  <c r="L854" i="3"/>
  <c r="L790" i="3"/>
  <c r="L726" i="3"/>
  <c r="L1354" i="3"/>
  <c r="L1311" i="3"/>
  <c r="L1224" i="3"/>
  <c r="L1160" i="3"/>
  <c r="L1096" i="3"/>
  <c r="L1192" i="3"/>
  <c r="L1054" i="3"/>
  <c r="L1633" i="3"/>
  <c r="L1434" i="3"/>
  <c r="L1043" i="3"/>
  <c r="L1676" i="3"/>
  <c r="L1658" i="3"/>
  <c r="L1640" i="3"/>
  <c r="L1576" i="3"/>
  <c r="L1416" i="3"/>
  <c r="L1547" i="3"/>
  <c r="L1490" i="3"/>
  <c r="L1787" i="3"/>
  <c r="L1799" i="3"/>
  <c r="L2040" i="3"/>
  <c r="L1783" i="3"/>
  <c r="L1750" i="3"/>
  <c r="L2326" i="3"/>
  <c r="L1775" i="3"/>
  <c r="L1732" i="3"/>
  <c r="L2354" i="3"/>
  <c r="L2290" i="3"/>
  <c r="L2224" i="3"/>
  <c r="L2270" i="3"/>
  <c r="L2207" i="3"/>
  <c r="L2085" i="3"/>
  <c r="L510" i="3"/>
  <c r="L566" i="3"/>
  <c r="L52" i="3"/>
  <c r="L130" i="3"/>
  <c r="L184" i="3"/>
  <c r="L248" i="3"/>
  <c r="L312" i="3"/>
  <c r="L435" i="3"/>
  <c r="L892" i="3"/>
  <c r="L1247" i="3"/>
  <c r="L1602" i="3"/>
  <c r="L1242" i="3"/>
  <c r="L1178" i="3"/>
  <c r="L1114" i="3"/>
  <c r="L949" i="3"/>
  <c r="L1480" i="3"/>
  <c r="L1864" i="3"/>
  <c r="L1751" i="3"/>
  <c r="L2160" i="3"/>
  <c r="L2239" i="3"/>
  <c r="L2258" i="3"/>
  <c r="L2110" i="3"/>
  <c r="L619" i="3"/>
  <c r="L555" i="3"/>
  <c r="L2208" i="3"/>
  <c r="L2340" i="3"/>
  <c r="L2240" i="3"/>
  <c r="L12" i="3"/>
  <c r="L167" i="3"/>
  <c r="L104" i="3"/>
  <c r="L40" i="3"/>
  <c r="L618" i="3"/>
  <c r="L554" i="3"/>
  <c r="L525" i="3"/>
  <c r="L956" i="3"/>
  <c r="L1555" i="3"/>
  <c r="L175" i="3"/>
  <c r="L68" i="3"/>
  <c r="L181" i="3"/>
  <c r="L245" i="3"/>
  <c r="L309" i="3"/>
  <c r="L152" i="3"/>
  <c r="L180" i="3"/>
  <c r="L244" i="3"/>
  <c r="L308" i="3"/>
  <c r="L240" i="3"/>
  <c r="L142" i="3"/>
  <c r="L1660" i="3"/>
  <c r="L1609" i="3"/>
  <c r="L1907" i="3"/>
  <c r="L2013" i="3"/>
  <c r="L1946" i="3"/>
  <c r="L1895" i="3"/>
  <c r="L422" i="3"/>
  <c r="L165" i="3"/>
  <c r="L544" i="3"/>
  <c r="L1527" i="3"/>
  <c r="L150" i="3"/>
  <c r="L224" i="3"/>
  <c r="L288" i="3"/>
  <c r="L29" i="3"/>
  <c r="L120" i="3"/>
  <c r="L56" i="3"/>
  <c r="L89" i="3"/>
  <c r="L138" i="3"/>
  <c r="L74" i="3"/>
  <c r="L634" i="3"/>
  <c r="L482" i="3"/>
  <c r="L354" i="3"/>
  <c r="L772" i="3"/>
  <c r="L1612" i="3"/>
  <c r="L1543" i="3"/>
  <c r="L1884" i="3"/>
  <c r="L1918" i="3"/>
  <c r="L1839" i="3"/>
  <c r="L2246" i="3"/>
  <c r="L2390" i="3"/>
  <c r="L2108" i="3"/>
  <c r="L83" i="3"/>
  <c r="L1938" i="3"/>
  <c r="L1920" i="3"/>
  <c r="L1820" i="3"/>
  <c r="L1929" i="3"/>
  <c r="L182" i="3"/>
  <c r="L246" i="3"/>
  <c r="L310" i="3"/>
  <c r="L900" i="3"/>
  <c r="L655" i="3"/>
  <c r="L591" i="3"/>
  <c r="L49" i="3"/>
  <c r="L16" i="3"/>
  <c r="L1323" i="3"/>
  <c r="L836" i="3"/>
  <c r="L171" i="3"/>
  <c r="L299" i="3"/>
  <c r="L65" i="3"/>
  <c r="L656" i="3"/>
  <c r="L592" i="3"/>
  <c r="L443" i="3"/>
  <c r="L884" i="3"/>
  <c r="L1167" i="3"/>
  <c r="L1610" i="3"/>
  <c r="L1250" i="3"/>
  <c r="L1186" i="3"/>
  <c r="L1122" i="3"/>
  <c r="L1443" i="3"/>
  <c r="L1424" i="3"/>
  <c r="L1846" i="3"/>
  <c r="L1808" i="3"/>
  <c r="L2027" i="3"/>
  <c r="L1949" i="3"/>
  <c r="L1915" i="3"/>
  <c r="L1955" i="3"/>
  <c r="L1924" i="3"/>
  <c r="L1959" i="3"/>
  <c r="L1802" i="3"/>
  <c r="L1906" i="3"/>
  <c r="L1771" i="3"/>
  <c r="L1764" i="3"/>
  <c r="L1752" i="3"/>
  <c r="L235" i="3"/>
  <c r="L2041" i="3"/>
  <c r="L38" i="3"/>
  <c r="L652" i="3"/>
  <c r="L117" i="3"/>
  <c r="L588" i="3"/>
  <c r="L60" i="3"/>
  <c r="L197" i="3"/>
  <c r="L261" i="3"/>
  <c r="L185" i="3"/>
  <c r="L212" i="3"/>
  <c r="L249" i="3"/>
  <c r="L276" i="3"/>
  <c r="L313" i="3"/>
  <c r="L662" i="3"/>
  <c r="L121" i="3"/>
  <c r="L192" i="3"/>
  <c r="L256" i="3"/>
  <c r="L320" i="3"/>
  <c r="L631" i="3"/>
  <c r="L379" i="3"/>
  <c r="L419" i="3"/>
  <c r="L906" i="3"/>
  <c r="L114" i="3"/>
  <c r="L26" i="3"/>
  <c r="L418" i="3"/>
  <c r="L804" i="3"/>
  <c r="L367" i="3"/>
  <c r="L475" i="3"/>
  <c r="L1326" i="3"/>
  <c r="L461" i="3"/>
  <c r="L397" i="3"/>
  <c r="L983" i="3"/>
  <c r="L852" i="3"/>
  <c r="L754" i="3"/>
  <c r="L703" i="3"/>
  <c r="L1008" i="3"/>
  <c r="L382" i="3"/>
  <c r="L957" i="3"/>
  <c r="L769" i="3"/>
  <c r="L122" i="3"/>
  <c r="L169" i="3"/>
  <c r="L233" i="3"/>
  <c r="L297" i="3"/>
  <c r="L92" i="3"/>
  <c r="L144" i="3"/>
  <c r="L507" i="3"/>
  <c r="L85" i="3"/>
  <c r="L10" i="3"/>
  <c r="L77" i="3"/>
  <c r="L508" i="3"/>
  <c r="L229" i="3"/>
  <c r="L34" i="3"/>
  <c r="L209" i="3"/>
  <c r="L25" i="3"/>
  <c r="L298" i="3"/>
  <c r="L139" i="3"/>
  <c r="L107" i="3"/>
  <c r="L296" i="3"/>
  <c r="L509" i="3"/>
  <c r="L109" i="3"/>
  <c r="L94" i="3"/>
  <c r="L30" i="3"/>
  <c r="L571" i="3"/>
  <c r="L964" i="3"/>
  <c r="L946" i="3"/>
  <c r="L1320" i="3"/>
  <c r="L1442" i="3"/>
  <c r="L1685" i="3"/>
  <c r="L1621" i="3"/>
  <c r="L2029" i="3"/>
  <c r="L1773" i="3"/>
  <c r="L2212" i="3"/>
  <c r="L2148" i="3"/>
  <c r="L2205" i="3"/>
  <c r="L2198" i="3"/>
  <c r="L2087" i="3"/>
  <c r="L2077" i="3"/>
  <c r="L925" i="3"/>
  <c r="L861" i="3"/>
  <c r="L733" i="3"/>
  <c r="L1278" i="3"/>
  <c r="L918" i="3"/>
  <c r="L1287" i="3"/>
  <c r="L831" i="3"/>
  <c r="L767" i="3"/>
  <c r="L740" i="3"/>
  <c r="L1126" i="3"/>
  <c r="L936" i="3"/>
  <c r="L872" i="3"/>
  <c r="L808" i="3"/>
  <c r="L705" i="3"/>
  <c r="L784" i="3"/>
  <c r="L766" i="3"/>
  <c r="L1338" i="3"/>
  <c r="L702" i="3"/>
  <c r="L1215" i="3"/>
  <c r="L1151" i="3"/>
  <c r="L1596" i="3"/>
  <c r="L1179" i="3"/>
  <c r="L1219" i="3"/>
  <c r="L1164" i="3"/>
  <c r="L1155" i="3"/>
  <c r="L1091" i="3"/>
  <c r="L1690" i="3"/>
  <c r="L1653" i="3"/>
  <c r="L1589" i="3"/>
  <c r="L1568" i="3"/>
  <c r="L1554" i="3"/>
  <c r="L1506" i="3"/>
  <c r="L1600" i="3"/>
  <c r="L1492" i="3"/>
  <c r="L1483" i="3"/>
  <c r="L1428" i="3"/>
  <c r="L2036" i="3"/>
  <c r="L1485" i="3"/>
  <c r="L1421" i="3"/>
  <c r="L2039" i="3"/>
  <c r="L1550" i="3"/>
  <c r="L1459" i="3"/>
  <c r="L1524" i="3"/>
  <c r="L1460" i="3"/>
  <c r="L2038" i="3"/>
  <c r="L2008" i="3"/>
  <c r="L1999" i="3"/>
  <c r="L1981" i="3"/>
  <c r="L1932" i="3"/>
  <c r="L1855" i="3"/>
  <c r="L1898" i="3"/>
  <c r="L2011" i="3"/>
  <c r="L2002" i="3"/>
  <c r="L1984" i="3"/>
  <c r="L1883" i="3"/>
  <c r="L1988" i="3"/>
  <c r="L1979" i="3"/>
  <c r="L1958" i="3"/>
  <c r="L1892" i="3"/>
  <c r="L1933" i="3"/>
  <c r="L1943" i="3"/>
  <c r="L1878" i="3"/>
  <c r="L1826" i="3"/>
  <c r="L1936" i="3"/>
  <c r="L1909" i="3"/>
  <c r="L1870" i="3"/>
  <c r="L1818" i="3"/>
  <c r="L1815" i="3"/>
  <c r="L1890" i="3"/>
  <c r="L1807" i="3"/>
  <c r="L1765" i="3"/>
  <c r="L1742" i="3"/>
  <c r="L2230" i="3"/>
  <c r="L1770" i="3"/>
  <c r="L1755" i="3"/>
  <c r="L1743" i="3"/>
  <c r="L1867" i="3"/>
  <c r="L1803" i="3"/>
  <c r="L2372" i="3"/>
  <c r="L2348" i="3"/>
  <c r="L2357" i="3"/>
  <c r="L2360" i="3"/>
  <c r="L2378" i="3"/>
  <c r="L2314" i="3"/>
  <c r="L2150" i="3"/>
  <c r="L1307" i="3"/>
  <c r="L1063" i="3"/>
  <c r="L1498" i="3"/>
  <c r="L1273" i="3"/>
  <c r="L1209" i="3"/>
  <c r="L1145" i="3"/>
  <c r="L1081" i="3"/>
  <c r="L2382" i="3"/>
  <c r="L2162" i="3"/>
  <c r="L2249" i="3"/>
  <c r="L2185" i="3"/>
  <c r="L2242" i="3"/>
  <c r="L2178" i="3"/>
  <c r="L2114" i="3"/>
  <c r="L2351" i="3"/>
  <c r="L2287" i="3"/>
  <c r="L2322" i="3"/>
  <c r="L2304" i="3"/>
  <c r="L2247" i="3"/>
  <c r="L1642" i="3"/>
  <c r="L2168" i="3"/>
  <c r="L2014" i="3"/>
  <c r="L2045" i="3"/>
  <c r="L1962" i="3"/>
  <c r="L1952" i="3"/>
  <c r="L1888" i="3"/>
  <c r="L1740" i="3"/>
  <c r="L1828" i="3"/>
  <c r="L1900" i="3"/>
  <c r="L1419" i="3"/>
  <c r="L72" i="3"/>
  <c r="L1302" i="3"/>
  <c r="L1934" i="3"/>
  <c r="L1805" i="3"/>
  <c r="L1797" i="3"/>
  <c r="L1733" i="3"/>
  <c r="L2375" i="3"/>
  <c r="L2311" i="3"/>
  <c r="L2293" i="3"/>
  <c r="L2232" i="3"/>
  <c r="L2305" i="3"/>
  <c r="L2216" i="3"/>
  <c r="L2265" i="3"/>
  <c r="L2183" i="3"/>
  <c r="L2112" i="3"/>
  <c r="L316" i="3"/>
  <c r="L116" i="3"/>
  <c r="L273" i="3"/>
  <c r="L35" i="3"/>
  <c r="L44" i="3"/>
  <c r="L170" i="3"/>
  <c r="L305" i="3"/>
  <c r="L20" i="3"/>
  <c r="L84" i="3"/>
  <c r="L147" i="3"/>
  <c r="L567" i="3"/>
  <c r="L53" i="3"/>
  <c r="L177" i="3"/>
  <c r="L43" i="3"/>
  <c r="L124" i="3"/>
  <c r="L112" i="3"/>
  <c r="L48" i="3"/>
  <c r="L21" i="3"/>
  <c r="L857" i="3"/>
  <c r="L134" i="3"/>
  <c r="L57" i="3"/>
  <c r="L744" i="3"/>
  <c r="L115" i="3"/>
  <c r="L764" i="3"/>
  <c r="L1337" i="3"/>
  <c r="L797" i="3"/>
  <c r="L1231" i="3"/>
  <c r="L1113" i="3"/>
  <c r="L1674" i="3"/>
  <c r="L1662" i="3"/>
  <c r="L1598" i="3"/>
  <c r="L1580" i="3"/>
  <c r="L1435" i="3"/>
  <c r="L1417" i="3"/>
  <c r="L2141" i="3"/>
  <c r="L1476" i="3"/>
  <c r="L2024" i="3"/>
  <c r="L2015" i="3"/>
  <c r="L1997" i="3"/>
  <c r="L1891" i="3"/>
  <c r="L2016" i="3"/>
  <c r="L2007" i="3"/>
  <c r="L1893" i="3"/>
  <c r="L1836" i="3"/>
  <c r="L2004" i="3"/>
  <c r="L1970" i="3"/>
  <c r="L226" i="3"/>
  <c r="L290" i="3"/>
  <c r="L644" i="3"/>
  <c r="L11" i="3"/>
  <c r="L93" i="3"/>
  <c r="L168" i="3"/>
  <c r="L58" i="3"/>
  <c r="L1127" i="3"/>
  <c r="L234" i="3"/>
  <c r="L241" i="3"/>
  <c r="L162" i="3"/>
  <c r="L1905" i="3"/>
  <c r="L202" i="3"/>
  <c r="L102" i="3"/>
  <c r="L1668" i="3"/>
  <c r="L1471" i="3"/>
  <c r="L214" i="3"/>
  <c r="L278" i="3"/>
  <c r="L1255" i="3"/>
  <c r="L1076" i="3"/>
  <c r="L2043" i="3"/>
  <c r="L1879" i="3"/>
  <c r="L1795" i="3"/>
  <c r="L1951" i="3"/>
  <c r="L1922" i="3"/>
  <c r="L1875" i="3"/>
  <c r="L1798" i="3"/>
  <c r="L1758" i="3"/>
  <c r="L2307" i="3"/>
  <c r="L1766" i="3"/>
  <c r="L1776" i="3"/>
  <c r="L2374" i="3"/>
  <c r="L2345" i="3"/>
  <c r="L2165" i="3"/>
  <c r="L2257" i="3"/>
  <c r="L2181" i="3"/>
  <c r="L2188" i="3"/>
  <c r="L2202" i="3"/>
  <c r="L2138" i="3"/>
  <c r="L2090" i="3"/>
  <c r="L517" i="3"/>
  <c r="L279" i="3"/>
  <c r="L1005" i="3"/>
  <c r="L174" i="3"/>
  <c r="L238" i="3"/>
  <c r="L275" i="3"/>
  <c r="L302" i="3"/>
  <c r="L66" i="3"/>
  <c r="L75" i="3"/>
  <c r="L195" i="3"/>
  <c r="L194" i="3"/>
  <c r="L191" i="3"/>
  <c r="L90" i="3"/>
  <c r="L259" i="3"/>
  <c r="L258" i="3"/>
  <c r="L132" i="3"/>
  <c r="L187" i="3"/>
  <c r="L205" i="3"/>
  <c r="L251" i="3"/>
  <c r="L269" i="3"/>
  <c r="L315" i="3"/>
  <c r="L756" i="3"/>
  <c r="L997" i="3"/>
  <c r="L1318" i="3"/>
  <c r="L1103" i="3"/>
  <c r="L1578" i="3"/>
  <c r="L1511" i="3"/>
  <c r="L786" i="3"/>
  <c r="L812" i="3"/>
  <c r="L914" i="3"/>
  <c r="L717" i="3"/>
  <c r="L160" i="3"/>
  <c r="L13" i="3"/>
  <c r="L1159" i="3"/>
  <c r="L1563" i="3"/>
  <c r="L511" i="3"/>
  <c r="L820" i="3"/>
  <c r="L922" i="3"/>
  <c r="L460" i="3"/>
  <c r="L396" i="3"/>
  <c r="L373" i="3"/>
  <c r="L968" i="3"/>
  <c r="L658" i="3"/>
  <c r="L594" i="3"/>
  <c r="L355" i="3"/>
  <c r="L427" i="3"/>
  <c r="L468" i="3"/>
  <c r="L404" i="3"/>
  <c r="L982" i="3"/>
  <c r="L1410" i="3"/>
  <c r="L445" i="3"/>
  <c r="L381" i="3"/>
  <c r="L778" i="3"/>
  <c r="L838" i="3"/>
  <c r="L774" i="3"/>
  <c r="L708" i="3"/>
  <c r="L1223" i="3"/>
  <c r="L1062" i="3"/>
  <c r="L1282" i="3"/>
  <c r="L1218" i="3"/>
  <c r="L1154" i="3"/>
  <c r="L1090" i="3"/>
  <c r="L1545" i="3"/>
  <c r="L51" i="3"/>
  <c r="L105" i="3"/>
  <c r="L186" i="3"/>
  <c r="L204" i="3"/>
  <c r="L250" i="3"/>
  <c r="L268" i="3"/>
  <c r="L314" i="3"/>
  <c r="L156" i="3"/>
  <c r="L193" i="3"/>
  <c r="L211" i="3"/>
  <c r="L220" i="3"/>
  <c r="L257" i="3"/>
  <c r="L284" i="3"/>
  <c r="L69" i="3"/>
  <c r="L154" i="3"/>
  <c r="L200" i="3"/>
  <c r="L264" i="3"/>
  <c r="L663" i="3"/>
  <c r="L97" i="3"/>
  <c r="L201" i="3"/>
  <c r="L210" i="3"/>
  <c r="L265" i="3"/>
  <c r="L729" i="3"/>
  <c r="L161" i="3"/>
  <c r="L198" i="3"/>
  <c r="L216" i="3"/>
  <c r="L225" i="3"/>
  <c r="L262" i="3"/>
  <c r="L280" i="3"/>
  <c r="L289" i="3"/>
  <c r="L37" i="3"/>
  <c r="L19" i="3"/>
  <c r="L100" i="3"/>
  <c r="L54" i="3"/>
  <c r="L384" i="3"/>
  <c r="L125" i="3"/>
  <c r="L88" i="3"/>
  <c r="L61" i="3"/>
  <c r="L24" i="3"/>
  <c r="L602" i="3"/>
  <c r="L538" i="3"/>
  <c r="L483" i="3"/>
  <c r="L110" i="3"/>
  <c r="L73" i="3"/>
  <c r="L9" i="3"/>
  <c r="L651" i="3"/>
  <c r="L587" i="3"/>
  <c r="L143" i="3"/>
  <c r="L106" i="3"/>
  <c r="L42" i="3"/>
  <c r="L33" i="3"/>
  <c r="L556" i="3"/>
  <c r="L446" i="3"/>
  <c r="L82" i="3"/>
  <c r="L27" i="3"/>
  <c r="L18" i="3"/>
  <c r="L605" i="3"/>
  <c r="L541" i="3"/>
  <c r="L459" i="3"/>
  <c r="L386" i="3"/>
  <c r="L514" i="3"/>
  <c r="L450" i="3"/>
  <c r="L929" i="3"/>
  <c r="L1334" i="3"/>
  <c r="L531" i="3"/>
  <c r="L476" i="3"/>
  <c r="L412" i="3"/>
  <c r="L403" i="3"/>
  <c r="L385" i="3"/>
  <c r="L990" i="3"/>
  <c r="L1288" i="3"/>
  <c r="L453" i="3"/>
  <c r="L389" i="3"/>
  <c r="L975" i="3"/>
  <c r="L706" i="3"/>
  <c r="L1340" i="3"/>
  <c r="L478" i="3"/>
  <c r="L414" i="3"/>
  <c r="L1000" i="3"/>
  <c r="L928" i="3"/>
  <c r="L849" i="3"/>
  <c r="L800" i="3"/>
  <c r="L447" i="3"/>
  <c r="L383" i="3"/>
  <c r="L866" i="3"/>
  <c r="L793" i="3"/>
  <c r="L719" i="3"/>
  <c r="L485" i="3"/>
  <c r="L448" i="3"/>
  <c r="L421" i="3"/>
  <c r="L357" i="3"/>
  <c r="L959" i="3"/>
  <c r="L917" i="3"/>
  <c r="L853" i="3"/>
  <c r="L789" i="3"/>
  <c r="L725" i="3"/>
  <c r="L1332" i="3"/>
  <c r="L1283" i="3"/>
  <c r="L1246" i="3"/>
  <c r="L846" i="3"/>
  <c r="L782" i="3"/>
  <c r="L1345" i="3"/>
  <c r="L1182" i="3"/>
  <c r="L1447" i="3"/>
  <c r="L951" i="3"/>
  <c r="L759" i="3"/>
  <c r="L1131" i="3"/>
  <c r="L1094" i="3"/>
  <c r="L1057" i="3"/>
  <c r="L864" i="3"/>
  <c r="L736" i="3"/>
  <c r="L1222" i="3"/>
  <c r="L785" i="3"/>
  <c r="L1235" i="3"/>
  <c r="L1344" i="3"/>
  <c r="L1317" i="3"/>
  <c r="L1280" i="3"/>
  <c r="L1253" i="3"/>
  <c r="L1216" i="3"/>
  <c r="L1189" i="3"/>
  <c r="L1152" i="3"/>
  <c r="L1088" i="3"/>
  <c r="L1061" i="3"/>
  <c r="L1248" i="3"/>
  <c r="L1184" i="3"/>
  <c r="L1120" i="3"/>
  <c r="L1102" i="3"/>
  <c r="L1044" i="3"/>
  <c r="L1171" i="3"/>
  <c r="L1107" i="3"/>
  <c r="L1284" i="3"/>
  <c r="L1275" i="3"/>
  <c r="L1220" i="3"/>
  <c r="L1156" i="3"/>
  <c r="L1092" i="3"/>
  <c r="L1083" i="3"/>
  <c r="L1562" i="3"/>
  <c r="L1258" i="3"/>
  <c r="L1194" i="3"/>
  <c r="L1130" i="3"/>
  <c r="L1681" i="3"/>
  <c r="L1644" i="3"/>
  <c r="L1659" i="3"/>
  <c r="L1595" i="3"/>
  <c r="L1645" i="3"/>
  <c r="L1581" i="3"/>
  <c r="L1570" i="3"/>
  <c r="L1400" i="3"/>
  <c r="L1694" i="3"/>
  <c r="L1630" i="3"/>
  <c r="L1656" i="3"/>
  <c r="L1592" i="3"/>
  <c r="L1573" i="3"/>
  <c r="L1481" i="3"/>
  <c r="L1046" i="3"/>
  <c r="L1641" i="3"/>
  <c r="L1577" i="3"/>
  <c r="L1549" i="3"/>
  <c r="L1531" i="3"/>
  <c r="L1458" i="3"/>
  <c r="L1829" i="3"/>
  <c r="L1548" i="3"/>
  <c r="L1484" i="3"/>
  <c r="L1420" i="3"/>
  <c r="L2018" i="3"/>
  <c r="L1982" i="3"/>
  <c r="L2302" i="3"/>
  <c r="L1477" i="3"/>
  <c r="L1413" i="3"/>
  <c r="L1404" i="3"/>
  <c r="L1961" i="3"/>
  <c r="L2107" i="3"/>
  <c r="L1392" i="3"/>
  <c r="L1990" i="3"/>
  <c r="L1542" i="3"/>
  <c r="L2042" i="3"/>
  <c r="L1998" i="3"/>
  <c r="L1505" i="3"/>
  <c r="L1441" i="3"/>
  <c r="L2037" i="3"/>
  <c r="L2000" i="3"/>
  <c r="L1991" i="3"/>
  <c r="L1973" i="3"/>
  <c r="L1916" i="3"/>
  <c r="L1816" i="3"/>
  <c r="L1396" i="3"/>
  <c r="L1992" i="3"/>
  <c r="L1974" i="3"/>
  <c r="L2010" i="3"/>
  <c r="L1860" i="3"/>
  <c r="L1794" i="3"/>
  <c r="L2003" i="3"/>
  <c r="L1994" i="3"/>
  <c r="L1976" i="3"/>
  <c r="L1966" i="3"/>
  <c r="L1954" i="3"/>
  <c r="L1904" i="3"/>
  <c r="L1736" i="3"/>
  <c r="L2017" i="3"/>
  <c r="L1980" i="3"/>
  <c r="L1971" i="3"/>
  <c r="L1931" i="3"/>
  <c r="L1913" i="3"/>
  <c r="L1917" i="3"/>
  <c r="L1756" i="3"/>
  <c r="L2317" i="3"/>
  <c r="L1935" i="3"/>
  <c r="L1908" i="3"/>
  <c r="L1848" i="3"/>
  <c r="L1838" i="3"/>
  <c r="L1965" i="3"/>
  <c r="L1928" i="3"/>
  <c r="L1901" i="3"/>
  <c r="L1882" i="3"/>
  <c r="L1840" i="3"/>
  <c r="L1830" i="3"/>
  <c r="L1944" i="3"/>
  <c r="L1806" i="3"/>
  <c r="L1782" i="3"/>
  <c r="L1871" i="3"/>
  <c r="L1786" i="3"/>
  <c r="L1757" i="3"/>
  <c r="L1746" i="3"/>
  <c r="L1767" i="3"/>
  <c r="L2262" i="3"/>
  <c r="L1774" i="3"/>
  <c r="L2366" i="3"/>
  <c r="L1762" i="3"/>
  <c r="L2128" i="3"/>
  <c r="L1859" i="3"/>
  <c r="L1804" i="3"/>
  <c r="L1777" i="3"/>
  <c r="L2308" i="3"/>
  <c r="L2373" i="3"/>
  <c r="L2309" i="3"/>
  <c r="L2367" i="3"/>
  <c r="L2303" i="3"/>
  <c r="L1734" i="3"/>
  <c r="L2376" i="3"/>
  <c r="L2312" i="3"/>
  <c r="L2144" i="3"/>
  <c r="L2370" i="3"/>
  <c r="L2306" i="3"/>
  <c r="L2091" i="3"/>
  <c r="L2260" i="3"/>
  <c r="L2266" i="3"/>
  <c r="L2175" i="3"/>
  <c r="L2200" i="3"/>
  <c r="L2080" i="3"/>
  <c r="L2268" i="3"/>
  <c r="L2197" i="3"/>
  <c r="L2254" i="3"/>
  <c r="L2190" i="3"/>
  <c r="L2115" i="3"/>
  <c r="L2078" i="3"/>
  <c r="L2100" i="3"/>
  <c r="L2133" i="3"/>
  <c r="L203" i="3"/>
  <c r="L267" i="3"/>
  <c r="L274" i="3"/>
  <c r="L266" i="3"/>
  <c r="L153" i="3"/>
  <c r="L190" i="3"/>
  <c r="L208" i="3"/>
  <c r="L254" i="3"/>
  <c r="L272" i="3"/>
  <c r="L318" i="3"/>
  <c r="L126" i="3"/>
  <c r="L62" i="3"/>
  <c r="L416" i="3"/>
  <c r="L136" i="3"/>
  <c r="L81" i="3"/>
  <c r="L17" i="3"/>
  <c r="L659" i="3"/>
  <c r="L595" i="3"/>
  <c r="L8" i="3"/>
  <c r="L549" i="3"/>
  <c r="L519" i="3"/>
  <c r="L945" i="3"/>
  <c r="L484" i="3"/>
  <c r="L486" i="3"/>
  <c r="L455" i="3"/>
  <c r="L391" i="3"/>
  <c r="L969" i="3"/>
  <c r="L392" i="3"/>
  <c r="L1355" i="3"/>
  <c r="L1265" i="3"/>
  <c r="L1201" i="3"/>
  <c r="L1137" i="3"/>
  <c r="L1073" i="3"/>
  <c r="L1042" i="3"/>
  <c r="L1292" i="3"/>
  <c r="L1228" i="3"/>
  <c r="L1100" i="3"/>
  <c r="L1664" i="3"/>
  <c r="L1649" i="3"/>
  <c r="L1585" i="3"/>
  <c r="L1556" i="3"/>
  <c r="L1391" i="3"/>
  <c r="L1504" i="3"/>
  <c r="L1440" i="3"/>
  <c r="L1449" i="3"/>
  <c r="L2369" i="3"/>
  <c r="L1564" i="3"/>
  <c r="L2076" i="3"/>
  <c r="L648" i="3"/>
  <c r="L584" i="3"/>
  <c r="L528" i="3"/>
  <c r="L626" i="3"/>
  <c r="L562" i="3"/>
  <c r="L496" i="3"/>
  <c r="L474" i="3"/>
  <c r="L436" i="3"/>
  <c r="L372" i="3"/>
  <c r="L954" i="3"/>
  <c r="L941" i="3"/>
  <c r="L877" i="3"/>
  <c r="L813" i="3"/>
  <c r="L749" i="3"/>
  <c r="L1086" i="3"/>
  <c r="L870" i="3"/>
  <c r="L806" i="3"/>
  <c r="L742" i="3"/>
  <c r="L1190" i="3"/>
  <c r="L1304" i="3"/>
  <c r="L1240" i="3"/>
  <c r="L1176" i="3"/>
  <c r="L1112" i="3"/>
  <c r="L1654" i="3"/>
  <c r="L1590" i="3"/>
  <c r="L1508" i="3"/>
  <c r="L1444" i="3"/>
  <c r="L1397" i="3"/>
  <c r="L574" i="3"/>
  <c r="L253" i="3"/>
  <c r="L317" i="3"/>
  <c r="L173" i="3"/>
  <c r="L237" i="3"/>
  <c r="L301" i="3"/>
  <c r="L172" i="3"/>
  <c r="L236" i="3"/>
  <c r="L300" i="3"/>
  <c r="L188" i="3"/>
  <c r="L252" i="3"/>
  <c r="L996" i="3"/>
  <c r="L858" i="3"/>
  <c r="L818" i="3"/>
  <c r="L1078" i="3"/>
  <c r="L885" i="3"/>
  <c r="L821" i="3"/>
  <c r="L757" i="3"/>
  <c r="L1118" i="3"/>
  <c r="L1139" i="3"/>
  <c r="L1463" i="3"/>
  <c r="L696" i="3"/>
  <c r="L164" i="3"/>
  <c r="L228" i="3"/>
  <c r="L292" i="3"/>
  <c r="L1499" i="3"/>
  <c r="L823" i="3"/>
  <c r="L874" i="3"/>
  <c r="L613" i="3"/>
  <c r="L456" i="3"/>
  <c r="L1350" i="3"/>
  <c r="L1329" i="3"/>
  <c r="L1352" i="3"/>
  <c r="L1298" i="3"/>
  <c r="L420" i="3"/>
  <c r="L356" i="3"/>
  <c r="L647" i="3"/>
  <c r="L606" i="3"/>
  <c r="L599" i="3"/>
  <c r="L640" i="3"/>
  <c r="L576" i="3"/>
  <c r="L411" i="3"/>
  <c r="L603" i="3"/>
  <c r="L539" i="3"/>
  <c r="L503" i="3"/>
  <c r="L133" i="3"/>
  <c r="L196" i="3"/>
  <c r="L598" i="3"/>
  <c r="L78" i="3"/>
  <c r="L14" i="3"/>
  <c r="L500" i="3"/>
  <c r="L480" i="3"/>
  <c r="L580" i="3"/>
  <c r="L351" i="3"/>
  <c r="L118" i="3"/>
  <c r="L128" i="3"/>
  <c r="L527" i="3"/>
  <c r="L163" i="3"/>
  <c r="L108" i="3"/>
  <c r="L260" i="3"/>
  <c r="L583" i="3"/>
  <c r="L219" i="3"/>
  <c r="L542" i="3"/>
  <c r="L141" i="3"/>
  <c r="L218" i="3"/>
  <c r="L1331" i="3"/>
  <c r="L46" i="3"/>
  <c r="L64" i="3"/>
  <c r="L227" i="3"/>
  <c r="L291" i="3"/>
  <c r="L611" i="3"/>
  <c r="L283" i="3"/>
  <c r="L282" i="3"/>
  <c r="L99" i="3"/>
  <c r="L145" i="3"/>
  <c r="L155" i="3"/>
  <c r="L217" i="3"/>
  <c r="L281" i="3"/>
  <c r="L664" i="3"/>
  <c r="L600" i="3"/>
  <c r="L140" i="3"/>
  <c r="L916" i="3"/>
  <c r="L650" i="3"/>
  <c r="L586" i="3"/>
  <c r="L635" i="3"/>
  <c r="L534" i="3"/>
  <c r="L604" i="3"/>
  <c r="L540" i="3"/>
  <c r="L530" i="3"/>
  <c r="L653" i="3"/>
  <c r="L589" i="3"/>
  <c r="L395" i="3"/>
  <c r="L498" i="3"/>
  <c r="L434" i="3"/>
  <c r="L522" i="3"/>
  <c r="L148" i="3"/>
  <c r="L213" i="3"/>
  <c r="L277" i="3"/>
  <c r="L157" i="3"/>
  <c r="L221" i="3"/>
  <c r="L285" i="3"/>
  <c r="L495" i="3"/>
  <c r="L91" i="3"/>
  <c r="L504" i="3"/>
  <c r="L206" i="3"/>
  <c r="L270" i="3"/>
  <c r="L616" i="3"/>
  <c r="L552" i="3"/>
  <c r="L28" i="3"/>
  <c r="L352" i="3"/>
  <c r="L834" i="3"/>
  <c r="L643" i="3"/>
  <c r="L612" i="3"/>
  <c r="L548" i="3"/>
  <c r="L2022" i="3"/>
  <c r="L1858" i="3"/>
  <c r="L1919" i="3"/>
  <c r="L1861" i="3"/>
  <c r="L1868" i="3"/>
  <c r="L1841" i="3"/>
  <c r="L2140" i="3"/>
  <c r="L1243" i="3"/>
  <c r="L1115" i="3"/>
  <c r="L1386" i="3"/>
  <c r="L1513" i="3"/>
  <c r="L636" i="3"/>
  <c r="L572" i="3"/>
  <c r="L512" i="3"/>
  <c r="L932" i="3"/>
  <c r="L557" i="3"/>
  <c r="L466" i="3"/>
  <c r="L402" i="3"/>
  <c r="L980" i="3"/>
  <c r="L746" i="3"/>
  <c r="L1279" i="3"/>
  <c r="L492" i="3"/>
  <c r="L428" i="3"/>
  <c r="L364" i="3"/>
  <c r="L1006" i="3"/>
  <c r="L494" i="3"/>
  <c r="L720" i="3"/>
  <c r="L463" i="3"/>
  <c r="L399" i="3"/>
  <c r="L977" i="3"/>
  <c r="L882" i="3"/>
  <c r="L738" i="3"/>
  <c r="L464" i="3"/>
  <c r="L400" i="3"/>
  <c r="L1049" i="3"/>
  <c r="L933" i="3"/>
  <c r="L869" i="3"/>
  <c r="L805" i="3"/>
  <c r="L741" i="3"/>
  <c r="L712" i="3"/>
  <c r="L1319" i="3"/>
  <c r="L926" i="3"/>
  <c r="L862" i="3"/>
  <c r="L798" i="3"/>
  <c r="L734" i="3"/>
  <c r="L704" i="3"/>
  <c r="L967" i="3"/>
  <c r="L903" i="3"/>
  <c r="L839" i="3"/>
  <c r="L775" i="3"/>
  <c r="L1158" i="3"/>
  <c r="L944" i="3"/>
  <c r="L880" i="3"/>
  <c r="L816" i="3"/>
  <c r="L752" i="3"/>
  <c r="L865" i="3"/>
  <c r="L801" i="3"/>
  <c r="L737" i="3"/>
  <c r="L1347" i="3"/>
  <c r="L1315" i="3"/>
  <c r="L1295" i="3"/>
  <c r="L1262" i="3"/>
  <c r="L710" i="3"/>
  <c r="L1296" i="3"/>
  <c r="L1232" i="3"/>
  <c r="L1168" i="3"/>
  <c r="L1104" i="3"/>
  <c r="L1058" i="3"/>
  <c r="L1628" i="3"/>
  <c r="L1059" i="3"/>
  <c r="L1251" i="3"/>
  <c r="L1187" i="3"/>
  <c r="L1123" i="3"/>
  <c r="L1300" i="3"/>
  <c r="L1236" i="3"/>
  <c r="L1172" i="3"/>
  <c r="L1108" i="3"/>
  <c r="L1594" i="3"/>
  <c r="L1661" i="3"/>
  <c r="L1597" i="3"/>
  <c r="L1388" i="3"/>
  <c r="L1646" i="3"/>
  <c r="L1582" i="3"/>
  <c r="L1557" i="3"/>
  <c r="L1541" i="3"/>
  <c r="L1672" i="3"/>
  <c r="L1608" i="3"/>
  <c r="L1538" i="3"/>
  <c r="L1657" i="3"/>
  <c r="L1500" i="3"/>
  <c r="L1436" i="3"/>
  <c r="L1493" i="3"/>
  <c r="L1429" i="3"/>
  <c r="L1558" i="3"/>
  <c r="L1512" i="3"/>
  <c r="L1448" i="3"/>
  <c r="L410" i="3"/>
  <c r="L988" i="3"/>
  <c r="L477" i="3"/>
  <c r="L413" i="3"/>
  <c r="L724" i="3"/>
  <c r="L921" i="3"/>
  <c r="L471" i="3"/>
  <c r="L407" i="3"/>
  <c r="L985" i="3"/>
  <c r="L898" i="3"/>
  <c r="L472" i="3"/>
  <c r="L986" i="3"/>
  <c r="L953" i="3"/>
  <c r="L934" i="3"/>
  <c r="L847" i="3"/>
  <c r="L783" i="3"/>
  <c r="L952" i="3"/>
  <c r="L888" i="3"/>
  <c r="L824" i="3"/>
  <c r="L760" i="3"/>
  <c r="L1342" i="3"/>
  <c r="L1321" i="3"/>
  <c r="L873" i="3"/>
  <c r="L809" i="3"/>
  <c r="L1259" i="3"/>
  <c r="L1195" i="3"/>
  <c r="L1067" i="3"/>
  <c r="L1308" i="3"/>
  <c r="L1244" i="3"/>
  <c r="L1180" i="3"/>
  <c r="L1116" i="3"/>
  <c r="L1626" i="3"/>
  <c r="L1052" i="3"/>
  <c r="L1683" i="3"/>
  <c r="L1619" i="3"/>
  <c r="L1669" i="3"/>
  <c r="L1605" i="3"/>
  <c r="L1553" i="3"/>
  <c r="L1680" i="3"/>
  <c r="L1616" i="3"/>
  <c r="L1665" i="3"/>
  <c r="L1572" i="3"/>
  <c r="L1501" i="3"/>
  <c r="L1437" i="3"/>
  <c r="L1566" i="3"/>
  <c r="L1401" i="3"/>
  <c r="L1389" i="3"/>
  <c r="L1520" i="3"/>
  <c r="L1456" i="3"/>
  <c r="L1529" i="3"/>
  <c r="L1238" i="3"/>
  <c r="L1007" i="3"/>
  <c r="L937" i="3"/>
  <c r="L993" i="3"/>
  <c r="L896" i="3"/>
  <c r="L832" i="3"/>
  <c r="L768" i="3"/>
  <c r="L722" i="3"/>
  <c r="L817" i="3"/>
  <c r="L1289" i="3"/>
  <c r="L1225" i="3"/>
  <c r="L1161" i="3"/>
  <c r="L1097" i="3"/>
  <c r="L1050" i="3"/>
  <c r="L1692" i="3"/>
  <c r="L1066" i="3"/>
  <c r="L1267" i="3"/>
  <c r="L1203" i="3"/>
  <c r="L1075" i="3"/>
  <c r="L1316" i="3"/>
  <c r="L1252" i="3"/>
  <c r="L1188" i="3"/>
  <c r="L1124" i="3"/>
  <c r="L627" i="3"/>
  <c r="L563" i="3"/>
  <c r="L989" i="3"/>
  <c r="L868" i="3"/>
  <c r="L770" i="3"/>
  <c r="L491" i="3"/>
  <c r="L645" i="3"/>
  <c r="L581" i="3"/>
  <c r="L535" i="3"/>
  <c r="L363" i="3"/>
  <c r="L1004" i="3"/>
  <c r="L810" i="3"/>
  <c r="L711" i="3"/>
  <c r="L452" i="3"/>
  <c r="L388" i="3"/>
  <c r="L429" i="3"/>
  <c r="L365" i="3"/>
  <c r="L940" i="3"/>
  <c r="L518" i="3"/>
  <c r="L454" i="3"/>
  <c r="L390" i="3"/>
  <c r="L976" i="3"/>
  <c r="L948" i="3"/>
  <c r="L930" i="3"/>
  <c r="L802" i="3"/>
  <c r="L360" i="3"/>
  <c r="L1002" i="3"/>
  <c r="L1110" i="3"/>
  <c r="L893" i="3"/>
  <c r="L829" i="3"/>
  <c r="L765" i="3"/>
  <c r="L1314" i="3"/>
  <c r="L950" i="3"/>
  <c r="L886" i="3"/>
  <c r="L822" i="3"/>
  <c r="L758" i="3"/>
  <c r="L1299" i="3"/>
  <c r="L927" i="3"/>
  <c r="L863" i="3"/>
  <c r="L799" i="3"/>
  <c r="L735" i="3"/>
  <c r="L1254" i="3"/>
  <c r="L904" i="3"/>
  <c r="L825" i="3"/>
  <c r="L761" i="3"/>
  <c r="L714" i="3"/>
  <c r="L1256" i="3"/>
  <c r="L1128" i="3"/>
  <c r="L1064" i="3"/>
  <c r="L1297" i="3"/>
  <c r="L1169" i="3"/>
  <c r="L1105" i="3"/>
  <c r="L1266" i="3"/>
  <c r="L1202" i="3"/>
  <c r="L1074" i="3"/>
  <c r="L1055" i="3"/>
  <c r="L1211" i="3"/>
  <c r="L1147" i="3"/>
  <c r="L1604" i="3"/>
  <c r="L1196" i="3"/>
  <c r="L1132" i="3"/>
  <c r="L1068" i="3"/>
  <c r="L524" i="3"/>
  <c r="L974" i="3"/>
  <c r="L730" i="3"/>
  <c r="L788" i="3"/>
  <c r="L398" i="3"/>
  <c r="L984" i="3"/>
  <c r="L431" i="3"/>
  <c r="L1009" i="3"/>
  <c r="L432" i="3"/>
  <c r="L368" i="3"/>
  <c r="L958" i="3"/>
  <c r="L894" i="3"/>
  <c r="L830" i="3"/>
  <c r="L935" i="3"/>
  <c r="L871" i="3"/>
  <c r="L807" i="3"/>
  <c r="L912" i="3"/>
  <c r="L848" i="3"/>
  <c r="L709" i="3"/>
  <c r="L833" i="3"/>
  <c r="L493" i="3"/>
  <c r="L506" i="3"/>
  <c r="L442" i="3"/>
  <c r="L378" i="3"/>
  <c r="L913" i="3"/>
  <c r="L1343" i="3"/>
  <c r="L470" i="3"/>
  <c r="L406" i="3"/>
  <c r="L992" i="3"/>
  <c r="L1041" i="3"/>
  <c r="L1087" i="3"/>
  <c r="L909" i="3"/>
  <c r="L845" i="3"/>
  <c r="L781" i="3"/>
  <c r="L716" i="3"/>
  <c r="L1214" i="3"/>
  <c r="L966" i="3"/>
  <c r="L902" i="3"/>
  <c r="L943" i="3"/>
  <c r="L879" i="3"/>
  <c r="L815" i="3"/>
  <c r="L713" i="3"/>
  <c r="L920" i="3"/>
  <c r="L856" i="3"/>
  <c r="L792" i="3"/>
  <c r="L728" i="3"/>
  <c r="L841" i="3"/>
  <c r="L777" i="3"/>
  <c r="L1351" i="3"/>
  <c r="L1330" i="3"/>
  <c r="L1336" i="3"/>
  <c r="L1313" i="3"/>
  <c r="L1249" i="3"/>
  <c r="L1185" i="3"/>
  <c r="L1121" i="3"/>
  <c r="L1698" i="3"/>
  <c r="L1227" i="3"/>
  <c r="L1163" i="3"/>
  <c r="L1099" i="3"/>
  <c r="L1276" i="3"/>
  <c r="L1212" i="3"/>
  <c r="L1148" i="3"/>
  <c r="L1084" i="3"/>
  <c r="L1651" i="3"/>
  <c r="L1587" i="3"/>
  <c r="L1565" i="3"/>
  <c r="L1637" i="3"/>
  <c r="L1515" i="3"/>
  <c r="L1686" i="3"/>
  <c r="L1622" i="3"/>
  <c r="L1418" i="3"/>
  <c r="L1523" i="3"/>
  <c r="L1648" i="3"/>
  <c r="L1584" i="3"/>
  <c r="L1560" i="3"/>
  <c r="L1522" i="3"/>
  <c r="L1047" i="3"/>
  <c r="L1697" i="3"/>
  <c r="L1540" i="3"/>
  <c r="L1412" i="3"/>
  <c r="L1433" i="3"/>
  <c r="L2339" i="3"/>
  <c r="L2333" i="3"/>
  <c r="L2142" i="3"/>
  <c r="L2116" i="3"/>
  <c r="L1627" i="3"/>
  <c r="L1636" i="3"/>
  <c r="L1693" i="3"/>
  <c r="L1629" i="3"/>
  <c r="L1678" i="3"/>
  <c r="L1614" i="3"/>
  <c r="L1516" i="3"/>
  <c r="L1452" i="3"/>
  <c r="L753" i="3"/>
  <c r="L960" i="3"/>
  <c r="L855" i="3"/>
  <c r="L2331" i="3"/>
  <c r="L2296" i="3"/>
  <c r="L2241" i="3"/>
  <c r="L2177" i="3"/>
  <c r="L2252" i="3"/>
  <c r="L2234" i="3"/>
  <c r="L2170" i="3"/>
  <c r="L2081" i="3"/>
  <c r="L2099" i="3"/>
  <c r="L1687" i="3"/>
  <c r="L1399" i="3"/>
  <c r="L1455" i="3"/>
  <c r="L1487" i="3"/>
  <c r="L1638" i="3"/>
  <c r="L1482" i="3"/>
  <c r="L1551" i="3"/>
  <c r="L1591" i="3"/>
  <c r="L1474" i="3"/>
  <c r="L2123" i="3"/>
  <c r="L1877" i="3"/>
  <c r="L1812" i="3"/>
  <c r="L1983" i="3"/>
  <c r="L1963" i="3"/>
  <c r="L1926" i="3"/>
  <c r="L1869" i="3"/>
  <c r="L1784" i="3"/>
  <c r="L1745" i="3"/>
  <c r="L1731" i="3"/>
  <c r="L1897" i="3"/>
  <c r="L1611" i="3"/>
  <c r="L1675" i="3"/>
  <c r="L1593" i="3"/>
  <c r="L1700" i="3"/>
  <c r="L1559" i="3"/>
  <c r="L1521" i="3"/>
  <c r="L1457" i="3"/>
  <c r="L1402" i="3"/>
  <c r="L1010" i="3"/>
  <c r="L826" i="3"/>
  <c r="L444" i="3"/>
  <c r="L380" i="3"/>
  <c r="L430" i="3"/>
  <c r="L2315" i="3"/>
  <c r="L1322" i="3"/>
  <c r="L1335" i="3"/>
  <c r="L1207" i="3"/>
  <c r="L1230" i="3"/>
  <c r="L1281" i="3"/>
  <c r="L1217" i="3"/>
  <c r="L1199" i="3"/>
  <c r="L1153" i="3"/>
  <c r="L1135" i="3"/>
  <c r="L1089" i="3"/>
  <c r="L1071" i="3"/>
  <c r="L590" i="3"/>
  <c r="L502" i="3"/>
  <c r="L374" i="3"/>
  <c r="L1451" i="3"/>
  <c r="L488" i="3"/>
  <c r="L424" i="3"/>
  <c r="L516" i="3"/>
  <c r="L423" i="3"/>
  <c r="L359" i="3"/>
  <c r="L919" i="3"/>
  <c r="L840" i="3"/>
  <c r="L776" i="3"/>
  <c r="L1599" i="3"/>
  <c r="L1663" i="3"/>
  <c r="L1431" i="3"/>
  <c r="L1695" i="3"/>
  <c r="L1495" i="3"/>
  <c r="L621" i="3"/>
  <c r="L469" i="3"/>
  <c r="L405" i="3"/>
  <c r="L630" i="3"/>
  <c r="L366" i="3"/>
  <c r="L1001" i="3"/>
  <c r="L718" i="3"/>
  <c r="L981" i="3"/>
  <c r="L897" i="3"/>
  <c r="L745" i="3"/>
  <c r="L762" i="3"/>
  <c r="L942" i="3"/>
  <c r="L878" i="3"/>
  <c r="L814" i="3"/>
  <c r="L750" i="3"/>
  <c r="L732" i="3"/>
  <c r="L901" i="3"/>
  <c r="L837" i="3"/>
  <c r="L791" i="3"/>
  <c r="L773" i="3"/>
  <c r="L727" i="3"/>
  <c r="L721" i="3"/>
  <c r="L700" i="3"/>
  <c r="L911" i="3"/>
  <c r="L972" i="3"/>
  <c r="L889" i="3"/>
  <c r="L970" i="3"/>
  <c r="L998" i="3"/>
  <c r="L638" i="3"/>
  <c r="L376" i="3"/>
  <c r="L661" i="3"/>
  <c r="L615" i="3"/>
  <c r="L597" i="3"/>
  <c r="L532" i="3"/>
  <c r="L632" i="3"/>
  <c r="L568" i="3"/>
  <c r="L520" i="3"/>
  <c r="L639" i="3"/>
  <c r="L575" i="3"/>
  <c r="L467" i="3"/>
  <c r="L449" i="3"/>
  <c r="L451" i="3"/>
  <c r="L438" i="3"/>
  <c r="L439" i="3"/>
  <c r="L375" i="3"/>
  <c r="L579" i="3"/>
  <c r="L660" i="3"/>
  <c r="L578" i="3"/>
  <c r="L551" i="3"/>
  <c r="L642" i="3"/>
  <c r="L513" i="3"/>
  <c r="L487" i="3"/>
  <c r="L362" i="3"/>
  <c r="L596" i="3"/>
  <c r="L426" i="3"/>
  <c r="L490" i="3"/>
  <c r="L394" i="3"/>
  <c r="L358" i="3"/>
  <c r="L2300" i="3"/>
  <c r="L2285" i="3"/>
  <c r="L2349" i="3"/>
  <c r="L2352" i="3"/>
  <c r="L2288" i="3"/>
  <c r="L2343" i="3"/>
  <c r="L2277" i="3"/>
  <c r="L2083" i="3"/>
  <c r="L1465" i="3"/>
  <c r="L1601" i="3"/>
  <c r="L1650" i="3"/>
  <c r="L1667" i="3"/>
  <c r="L1603" i="3"/>
  <c r="L1475" i="3"/>
  <c r="L1514" i="3"/>
  <c r="L962" i="3"/>
  <c r="L850" i="3"/>
  <c r="L697" i="3"/>
  <c r="L991" i="3"/>
  <c r="L973" i="3"/>
  <c r="L961" i="3"/>
  <c r="L905" i="3"/>
  <c r="L842" i="3"/>
  <c r="L999" i="3"/>
  <c r="L908" i="3"/>
  <c r="L890" i="3"/>
  <c r="L844" i="3"/>
  <c r="L883" i="3"/>
  <c r="L819" i="3"/>
  <c r="L755" i="3"/>
  <c r="L924" i="3"/>
  <c r="L860" i="3"/>
  <c r="L462" i="3"/>
  <c r="L370" i="3"/>
  <c r="L515" i="3"/>
  <c r="L1639" i="3"/>
  <c r="L1682" i="3"/>
  <c r="L1618" i="3"/>
  <c r="L1546" i="3"/>
  <c r="L1684" i="3"/>
  <c r="L1620" i="3"/>
  <c r="L1411" i="3"/>
  <c r="L1394" i="3"/>
  <c r="L1534" i="3"/>
  <c r="L1406" i="3"/>
  <c r="L1469" i="3"/>
  <c r="L1405" i="3"/>
  <c r="L1395" i="3"/>
  <c r="L1535" i="3"/>
  <c r="L1166" i="3"/>
  <c r="L1263" i="3"/>
  <c r="L1272" i="3"/>
  <c r="L1208" i="3"/>
  <c r="L1144" i="3"/>
  <c r="L1080" i="3"/>
  <c r="L1045" i="3"/>
  <c r="L1085" i="3"/>
  <c r="L1056" i="3"/>
  <c r="L701" i="3"/>
  <c r="L751" i="3"/>
  <c r="L2384" i="3"/>
  <c r="L2364" i="3"/>
  <c r="L881" i="3"/>
  <c r="L622" i="3"/>
  <c r="L558" i="3"/>
  <c r="L387" i="3"/>
  <c r="L620" i="3"/>
  <c r="L629" i="3"/>
  <c r="L565" i="3"/>
  <c r="L624" i="3"/>
  <c r="L501" i="3"/>
  <c r="L547" i="3"/>
  <c r="L608" i="3"/>
  <c r="L560" i="3"/>
  <c r="L408" i="3"/>
  <c r="L607" i="3"/>
  <c r="L543" i="3"/>
  <c r="L2358" i="3"/>
  <c r="L2294" i="3"/>
  <c r="L2272" i="3"/>
  <c r="L2334" i="3"/>
  <c r="L2361" i="3"/>
  <c r="L2297" i="3"/>
  <c r="L2127" i="3"/>
  <c r="L2104" i="3"/>
  <c r="L2371" i="3"/>
  <c r="L1450" i="3"/>
  <c r="L1567" i="3"/>
  <c r="L1586" i="3"/>
  <c r="L1530" i="3"/>
  <c r="L1496" i="3"/>
  <c r="L1393" i="3"/>
  <c r="L1671" i="3"/>
  <c r="L1539" i="3"/>
  <c r="L1439" i="3"/>
  <c r="L1533" i="3"/>
  <c r="L1432" i="3"/>
  <c r="L1607" i="3"/>
  <c r="L1206" i="3"/>
  <c r="L1174" i="3"/>
  <c r="L1270" i="3"/>
  <c r="L1353" i="3"/>
  <c r="L1271" i="3"/>
  <c r="L1143" i="3"/>
  <c r="L1079" i="3"/>
  <c r="L1294" i="3"/>
  <c r="L1162" i="3"/>
  <c r="L1098" i="3"/>
  <c r="L1257" i="3"/>
  <c r="L1193" i="3"/>
  <c r="L1129" i="3"/>
  <c r="L1051" i="3"/>
  <c r="L1237" i="3"/>
  <c r="L780" i="3"/>
  <c r="L947" i="3"/>
  <c r="L796" i="3"/>
  <c r="L965" i="3"/>
  <c r="L955" i="3"/>
  <c r="L698" i="3"/>
  <c r="L657" i="3"/>
  <c r="L593" i="3"/>
  <c r="L2163" i="3"/>
  <c r="L87" i="3"/>
  <c r="L23" i="3"/>
  <c r="L665" i="3"/>
  <c r="L601" i="3"/>
  <c r="L521" i="3"/>
  <c r="L457" i="3"/>
  <c r="L393" i="3"/>
  <c r="L971" i="3"/>
  <c r="L891" i="3"/>
  <c r="L827" i="3"/>
  <c r="L763" i="3"/>
  <c r="L1325" i="3"/>
  <c r="L1261" i="3"/>
  <c r="L1197" i="3"/>
  <c r="L1133" i="3"/>
  <c r="L1069" i="3"/>
  <c r="L1583" i="3"/>
  <c r="L1486" i="3"/>
  <c r="L1422" i="3"/>
  <c r="L2025" i="3"/>
  <c r="L1849" i="3"/>
  <c r="L1785" i="3"/>
  <c r="L2235" i="3"/>
  <c r="L2171" i="3"/>
  <c r="L79" i="3"/>
  <c r="L151" i="3"/>
  <c r="L95" i="3"/>
  <c r="L31" i="3"/>
  <c r="L609" i="3"/>
  <c r="L545" i="3"/>
  <c r="L529" i="3"/>
  <c r="L465" i="3"/>
  <c r="L401" i="3"/>
  <c r="L979" i="3"/>
  <c r="L963" i="3"/>
  <c r="L899" i="3"/>
  <c r="L835" i="3"/>
  <c r="L771" i="3"/>
  <c r="L1333" i="3"/>
  <c r="L1269" i="3"/>
  <c r="L1205" i="3"/>
  <c r="L1141" i="3"/>
  <c r="L1077" i="3"/>
  <c r="L1053" i="3"/>
  <c r="L1631" i="3"/>
  <c r="L1494" i="3"/>
  <c r="L1430" i="3"/>
  <c r="L1969" i="3"/>
  <c r="L1753" i="3"/>
  <c r="L2387" i="3"/>
  <c r="L2291" i="3"/>
  <c r="L1857" i="3"/>
  <c r="L1793" i="3"/>
  <c r="L2243" i="3"/>
  <c r="L2179" i="3"/>
  <c r="L1125" i="3"/>
  <c r="L1478" i="3"/>
  <c r="L103" i="3"/>
  <c r="L39" i="3"/>
  <c r="L617" i="3"/>
  <c r="L553" i="3"/>
  <c r="L537" i="3"/>
  <c r="L473" i="3"/>
  <c r="L409" i="3"/>
  <c r="L987" i="3"/>
  <c r="L907" i="3"/>
  <c r="L843" i="3"/>
  <c r="L779" i="3"/>
  <c r="L1341" i="3"/>
  <c r="L1277" i="3"/>
  <c r="L1213" i="3"/>
  <c r="L1149" i="3"/>
  <c r="L1647" i="3"/>
  <c r="L1415" i="3"/>
  <c r="L1502" i="3"/>
  <c r="L1438" i="3"/>
  <c r="L1977" i="3"/>
  <c r="L2323" i="3"/>
  <c r="L1865" i="3"/>
  <c r="L1801" i="3"/>
  <c r="L2251" i="3"/>
  <c r="L2187" i="3"/>
  <c r="L111" i="3"/>
  <c r="L47" i="3"/>
  <c r="L625" i="3"/>
  <c r="L561" i="3"/>
  <c r="L481" i="3"/>
  <c r="L417" i="3"/>
  <c r="L353" i="3"/>
  <c r="L995" i="3"/>
  <c r="L915" i="3"/>
  <c r="L851" i="3"/>
  <c r="L787" i="3"/>
  <c r="L699" i="3"/>
  <c r="L1349" i="3"/>
  <c r="L1285" i="3"/>
  <c r="L1221" i="3"/>
  <c r="L1157" i="3"/>
  <c r="L1093" i="3"/>
  <c r="L1510" i="3"/>
  <c r="L1446" i="3"/>
  <c r="L2033" i="3"/>
  <c r="L1889" i="3"/>
  <c r="L1945" i="3"/>
  <c r="L1985" i="3"/>
  <c r="L2355" i="3"/>
  <c r="L1873" i="3"/>
  <c r="L1809" i="3"/>
  <c r="L2259" i="3"/>
  <c r="L2195" i="3"/>
  <c r="L15" i="3"/>
  <c r="L119" i="3"/>
  <c r="L55" i="3"/>
  <c r="L633" i="3"/>
  <c r="L569" i="3"/>
  <c r="L489" i="3"/>
  <c r="L425" i="3"/>
  <c r="L361" i="3"/>
  <c r="L1003" i="3"/>
  <c r="L923" i="3"/>
  <c r="L859" i="3"/>
  <c r="L795" i="3"/>
  <c r="L731" i="3"/>
  <c r="L707" i="3"/>
  <c r="L1293" i="3"/>
  <c r="L1229" i="3"/>
  <c r="L1165" i="3"/>
  <c r="L1101" i="3"/>
  <c r="L1518" i="3"/>
  <c r="L1454" i="3"/>
  <c r="L1993" i="3"/>
  <c r="L2347" i="3"/>
  <c r="L1737" i="3"/>
  <c r="L1881" i="3"/>
  <c r="L1817" i="3"/>
  <c r="L2267" i="3"/>
  <c r="L2203" i="3"/>
  <c r="L2139" i="3"/>
  <c r="L1414" i="3"/>
  <c r="L127" i="3"/>
  <c r="L63" i="3"/>
  <c r="L641" i="3"/>
  <c r="L577" i="3"/>
  <c r="L497" i="3"/>
  <c r="L433" i="3"/>
  <c r="L369" i="3"/>
  <c r="L931" i="3"/>
  <c r="L867" i="3"/>
  <c r="L803" i="3"/>
  <c r="L739" i="3"/>
  <c r="L715" i="3"/>
  <c r="L1301" i="3"/>
  <c r="L1173" i="3"/>
  <c r="L1109" i="3"/>
  <c r="L1479" i="3"/>
  <c r="L1423" i="3"/>
  <c r="L1526" i="3"/>
  <c r="L1462" i="3"/>
  <c r="L1953" i="3"/>
  <c r="L2001" i="3"/>
  <c r="L2379" i="3"/>
  <c r="L1825" i="3"/>
  <c r="L1761" i="3"/>
  <c r="L2131" i="3"/>
  <c r="L2275" i="3"/>
  <c r="L2211" i="3"/>
  <c r="L2147" i="3"/>
  <c r="L135" i="3"/>
  <c r="L71" i="3"/>
  <c r="L7" i="3"/>
  <c r="L649" i="3"/>
  <c r="L585" i="3"/>
  <c r="L505" i="3"/>
  <c r="L441" i="3"/>
  <c r="L377" i="3"/>
  <c r="L939" i="3"/>
  <c r="L875" i="3"/>
  <c r="L811" i="3"/>
  <c r="L747" i="3"/>
  <c r="L723" i="3"/>
  <c r="L1309" i="3"/>
  <c r="L1245" i="3"/>
  <c r="L1181" i="3"/>
  <c r="L1117" i="3"/>
  <c r="L1575" i="3"/>
  <c r="L1470" i="3"/>
  <c r="L1937" i="3"/>
  <c r="L2009" i="3"/>
  <c r="L2363" i="3"/>
  <c r="L1833" i="3"/>
  <c r="L1769" i="3"/>
  <c r="L2283" i="3"/>
  <c r="L2219" i="3"/>
  <c r="L2155" i="3"/>
  <c r="L6" i="3"/>
  <c r="I2227" i="3" l="1"/>
  <c r="L2227" i="3" l="1"/>
  <c r="L3" i="3" s="1"/>
  <c r="H3" i="3"/>
  <c r="Q387" i="1"/>
  <c r="P9" i="1"/>
  <c r="G9" i="1" l="1"/>
  <c r="E3" i="3" s="1"/>
  <c r="D9" i="1"/>
  <c r="B11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9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</futureMetadata>
  <valueMetadata count="49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</valueMetadata>
</metadata>
</file>

<file path=xl/sharedStrings.xml><?xml version="1.0" encoding="utf-8"?>
<sst xmlns="http://schemas.openxmlformats.org/spreadsheetml/2006/main" count="985" uniqueCount="404">
  <si>
    <t>CNPJ</t>
  </si>
  <si>
    <t>IE</t>
  </si>
  <si>
    <t>FONE</t>
  </si>
  <si>
    <t>EMAIL</t>
  </si>
  <si>
    <t>CEP</t>
  </si>
  <si>
    <t>ENGLISH</t>
  </si>
  <si>
    <t>CONTAINERS</t>
  </si>
  <si>
    <t>Nº</t>
  </si>
  <si>
    <t>BC 1/2X1/8 (Flat bar 1/2 X 1/8" )</t>
  </si>
  <si>
    <t>6063T5</t>
  </si>
  <si>
    <t>BC 1X1/8 (Flat bar 1 X 1/8")</t>
  </si>
  <si>
    <t>TR3/8 (Round tube 3/8" with 0.80 mm tickness)</t>
  </si>
  <si>
    <t>TR3/8</t>
  </si>
  <si>
    <t>TR1/2 (Round tube 1/2 with 0.90 mm tickness)</t>
  </si>
  <si>
    <t>TR 5/8 (Round tube 5/8" with 0.80 mm thickness)</t>
  </si>
  <si>
    <t>TR58</t>
  </si>
  <si>
    <t>TR3/4A (Round tube 3/4" with 0.80 mm thickness)</t>
  </si>
  <si>
    <t>TR34A</t>
  </si>
  <si>
    <t>TR7/8 (Round tube 7/8" with 0.90 mm thickness)</t>
  </si>
  <si>
    <t>TR7/8</t>
  </si>
  <si>
    <t>TR24.8 (Round tube 24.8 mm with 0.90 mm thickness)</t>
  </si>
  <si>
    <t>TR24.8</t>
  </si>
  <si>
    <t>TR1 (Round tube 1" with 0.80 mm thickness)</t>
  </si>
  <si>
    <t>TR1</t>
  </si>
  <si>
    <t>TR1x1.0 (Round tube 1" with 1.00 mm thickness)</t>
  </si>
  <si>
    <t>TR1.1/4 (Round tube  1.1/4" with 1.00 mm thickness)</t>
  </si>
  <si>
    <t>TR1.1-4</t>
  </si>
  <si>
    <t>TR1.1/2 (Round tube  1.1/2" with 1.00 mmthickness)</t>
  </si>
  <si>
    <t>TR1.1/2</t>
  </si>
  <si>
    <t>TR2A (Round tube 2" with 0.95 mm thickness)</t>
  </si>
  <si>
    <t>TR2A</t>
  </si>
  <si>
    <t>TR3 (Round tube 3" with 1.27 mm thickness)</t>
  </si>
  <si>
    <t>TR3</t>
  </si>
  <si>
    <t>TQ3/4 (Square tube 3/4 with 0.90 mm thickness)</t>
  </si>
  <si>
    <t>TQ34</t>
  </si>
  <si>
    <t>TQ1 (Squar tube 1" with 0.80 mm thickness)</t>
  </si>
  <si>
    <t>TQ1.1/2A (Square tube 1.1/2" with 0.80 mm thickness)</t>
  </si>
  <si>
    <t>TQ2L</t>
  </si>
  <si>
    <t>TQ2A (Square tube 2" with 0.95 mm thickness)</t>
  </si>
  <si>
    <t>TQ2A</t>
  </si>
  <si>
    <t>TQ2 (Square tube 2" with 1.10 mm thickness)</t>
  </si>
  <si>
    <t>TQ2</t>
  </si>
  <si>
    <t>TQ3 (Square tube 3" with 1.10 mm thickness)</t>
  </si>
  <si>
    <t>TQ3</t>
  </si>
  <si>
    <t>TQ4 (Square tube 4" with 1.30 mm thickness)</t>
  </si>
  <si>
    <t>TQ4</t>
  </si>
  <si>
    <t>TG1X1/2 (Rectangular tube 1" x 1/2  with 0.80 mm thickness)</t>
  </si>
  <si>
    <t>TG2X1/2A (Retangular tube 2 X 1/2 with 0.80 mm tickness)</t>
  </si>
  <si>
    <t>TG2X12A</t>
  </si>
  <si>
    <t>TG2X1/2 (Retangular tube 2 X 1/2 with 0.90 mm tickness)</t>
  </si>
  <si>
    <t>TG2X12</t>
  </si>
  <si>
    <t>TG2X1 0.7 ( Retangular tube 2"X1" with 0.70 mm tickness)</t>
  </si>
  <si>
    <t>TG2X1 0.7</t>
  </si>
  <si>
    <t>TG2X1 ( Retangular tube 2"X1" with 0.80 mm tickness)</t>
  </si>
  <si>
    <t>TG2X1</t>
  </si>
  <si>
    <t>TG2X1.1/2 ( Retangular tube 2"x1.1 /2" with 0.90 mm tickness)</t>
  </si>
  <si>
    <t>TG3X1.1/2 ( Retangular tube 3"x1.1 /2" with 1.00 mm tickness)</t>
  </si>
  <si>
    <t>TG4X2 (Rectangular Tube 4" X 2" with 1.00 mm tickness)</t>
  </si>
  <si>
    <t>PT008A (Perfil T de 1" com 0.80 mm tickness)</t>
  </si>
  <si>
    <t>PT008A</t>
  </si>
  <si>
    <t>PT008 (Perfil T de 1" com 0.90 mm tickness)</t>
  </si>
  <si>
    <t>PT008</t>
  </si>
  <si>
    <t>AF052U (U13MM)</t>
  </si>
  <si>
    <t>AF052U</t>
  </si>
  <si>
    <t>PU639A</t>
  </si>
  <si>
    <t>PU639</t>
  </si>
  <si>
    <t>L1/2 (Angle L 1/2" with 0.90 mm tickness)</t>
  </si>
  <si>
    <t>L12</t>
  </si>
  <si>
    <t>L5/8 (Angle L 5/8" with 0.90 mm tickness)</t>
  </si>
  <si>
    <t>L5-8</t>
  </si>
  <si>
    <t>L3/4 (Angle L 3/4" with 0.80 mm tickness)</t>
  </si>
  <si>
    <t>L34</t>
  </si>
  <si>
    <t>L1 (Angle L 1" with 0.90 mm thickness)</t>
  </si>
  <si>
    <t>L1</t>
  </si>
  <si>
    <t>L1X1/16 (Angle L1 x 1/16")</t>
  </si>
  <si>
    <t>L1X1/8 (Angle L1 x 1/8" )</t>
  </si>
  <si>
    <t xml:space="preserve">L1.1/2X1/16 (Angle L 1.1/2x1/16" )　 </t>
  </si>
  <si>
    <t xml:space="preserve">L1.1/2X1/8 (Angle L 1.1/2x1/8") 　 </t>
  </si>
  <si>
    <t>L2X1/16 (Angle L 2 x 1/16")</t>
  </si>
  <si>
    <t>L2 x 1/8  (Angle L 2 x 1/8")</t>
  </si>
  <si>
    <t>TRS3/16 (Round  solid 3/16")</t>
  </si>
  <si>
    <t>TRS3/16</t>
  </si>
  <si>
    <t>TRS1/4 (Round  solid 1/4")</t>
  </si>
  <si>
    <t>TRS1/4</t>
  </si>
  <si>
    <t>TQS1/4 (Square solid 1/4")</t>
  </si>
  <si>
    <t>TQS1/4</t>
  </si>
  <si>
    <t>CM200</t>
  </si>
  <si>
    <t>CL006</t>
  </si>
  <si>
    <t>CL011</t>
  </si>
  <si>
    <t>BX810</t>
  </si>
  <si>
    <t>BX811</t>
  </si>
  <si>
    <t>BX856</t>
  </si>
  <si>
    <t>AF051</t>
  </si>
  <si>
    <t>AF053</t>
  </si>
  <si>
    <t>AF055</t>
  </si>
  <si>
    <t>AF056</t>
  </si>
  <si>
    <t>AF057</t>
  </si>
  <si>
    <t>AF059</t>
  </si>
  <si>
    <t>AF060</t>
  </si>
  <si>
    <t>AF061 15E</t>
  </si>
  <si>
    <t>AF 061 15E</t>
  </si>
  <si>
    <t>AF061 15</t>
  </si>
  <si>
    <t>AF061 18</t>
  </si>
  <si>
    <t>AF066</t>
  </si>
  <si>
    <t>BX275</t>
  </si>
  <si>
    <t>DV021</t>
  </si>
  <si>
    <t>DV021A</t>
  </si>
  <si>
    <t>DV022</t>
  </si>
  <si>
    <t>DV185</t>
  </si>
  <si>
    <t>DV389</t>
  </si>
  <si>
    <t>BX628</t>
  </si>
  <si>
    <t>BX705</t>
  </si>
  <si>
    <t>BX818</t>
  </si>
  <si>
    <t>BX819</t>
  </si>
  <si>
    <t>BX820</t>
  </si>
  <si>
    <t>BX838</t>
  </si>
  <si>
    <t>BX855</t>
  </si>
  <si>
    <t>BX952</t>
  </si>
  <si>
    <t>BX954</t>
  </si>
  <si>
    <t>BX955</t>
  </si>
  <si>
    <t>BG011</t>
  </si>
  <si>
    <t>DV110</t>
  </si>
  <si>
    <t>DV111</t>
  </si>
  <si>
    <t>DV112</t>
  </si>
  <si>
    <t>DV132</t>
  </si>
  <si>
    <t>BX796</t>
  </si>
  <si>
    <t>BX797</t>
  </si>
  <si>
    <t>BX798</t>
  </si>
  <si>
    <t>BX799</t>
  </si>
  <si>
    <t>BX958</t>
  </si>
  <si>
    <t>BG202</t>
  </si>
  <si>
    <t>MP069</t>
  </si>
  <si>
    <t>MP070</t>
  </si>
  <si>
    <t>MP300</t>
  </si>
  <si>
    <t>MP300MP</t>
  </si>
  <si>
    <t>MP302</t>
  </si>
  <si>
    <t>MP309</t>
  </si>
  <si>
    <t>MP321</t>
  </si>
  <si>
    <t>MP321MP</t>
  </si>
  <si>
    <t>MP332</t>
  </si>
  <si>
    <t>MP336</t>
  </si>
  <si>
    <t>MP336MP</t>
  </si>
  <si>
    <t>MP352</t>
  </si>
  <si>
    <t>MP354</t>
  </si>
  <si>
    <t>MP357</t>
  </si>
  <si>
    <t>MP358</t>
  </si>
  <si>
    <t>MP359</t>
  </si>
  <si>
    <t>MP360</t>
  </si>
  <si>
    <t>MP361</t>
  </si>
  <si>
    <t>MP362</t>
  </si>
  <si>
    <t>MP363</t>
  </si>
  <si>
    <t>MP370</t>
  </si>
  <si>
    <t>BG001</t>
  </si>
  <si>
    <t>BG035</t>
  </si>
  <si>
    <t>ME056</t>
  </si>
  <si>
    <t>25002L</t>
  </si>
  <si>
    <t>25048 (MM-376)</t>
  </si>
  <si>
    <t>25052 (MM-375)</t>
  </si>
  <si>
    <t>25312(25046)</t>
  </si>
  <si>
    <t>25504L</t>
  </si>
  <si>
    <t>VZ024L</t>
  </si>
  <si>
    <t>VZ060L</t>
  </si>
  <si>
    <t>VZ201</t>
  </si>
  <si>
    <t xml:space="preserve">BX828 </t>
  </si>
  <si>
    <t>BX828</t>
  </si>
  <si>
    <t>AF180U</t>
  </si>
  <si>
    <t>BX627</t>
  </si>
  <si>
    <t>BX812</t>
  </si>
  <si>
    <t>25517A</t>
  </si>
  <si>
    <t>TB600</t>
  </si>
  <si>
    <t>TB650</t>
  </si>
  <si>
    <t>PC0276</t>
  </si>
  <si>
    <t>PC027 6</t>
  </si>
  <si>
    <t>PC0276.5A</t>
  </si>
  <si>
    <t>PC027 6.5A</t>
  </si>
  <si>
    <t>E77</t>
  </si>
  <si>
    <t>ALB099 1.1</t>
  </si>
  <si>
    <t>ALB099</t>
  </si>
  <si>
    <t>ALB099 1.2</t>
  </si>
  <si>
    <t>LB005</t>
  </si>
  <si>
    <t>LB007</t>
  </si>
  <si>
    <t>LB008</t>
  </si>
  <si>
    <t>LB010</t>
  </si>
  <si>
    <t>LB020</t>
  </si>
  <si>
    <t>PLB036</t>
  </si>
  <si>
    <t>PLB036P</t>
  </si>
  <si>
    <t>LB037</t>
  </si>
  <si>
    <t>LB038</t>
  </si>
  <si>
    <t>LB050</t>
  </si>
  <si>
    <t>LB070</t>
  </si>
  <si>
    <t>LB081</t>
  </si>
  <si>
    <t>BX816</t>
  </si>
  <si>
    <t>BX841</t>
  </si>
  <si>
    <t>BX842</t>
  </si>
  <si>
    <t>BX1041</t>
  </si>
  <si>
    <t>TGR2X1 (Rectangular tube 2"X1" with 0.90 mm thickness c/reforco)</t>
  </si>
  <si>
    <t>TGR2X1</t>
  </si>
  <si>
    <t>TGR3X1.1/2L (Rectangular tube 3"x1.1 /2" with 1.00 mm tickness c/reforço)</t>
  </si>
  <si>
    <t>TGR3X1.1/2 (Rectangular tube 3"x1.1 /2" with 1.98 mm tickness c/reforço)</t>
  </si>
  <si>
    <t>TGR4X2 (Rectangular Tube 4" X 2" with 1.50 mm tickness c/reforço)</t>
  </si>
  <si>
    <t>TGR4X2</t>
  </si>
  <si>
    <t>MT 0045 (Retangular Tube 3x1.1/2 com raia)</t>
  </si>
  <si>
    <t>MT0045</t>
  </si>
  <si>
    <t>MT0008</t>
  </si>
  <si>
    <t>MT0010</t>
  </si>
  <si>
    <t>CG072</t>
  </si>
  <si>
    <t>MT0046</t>
  </si>
  <si>
    <t>MT0047</t>
  </si>
  <si>
    <t>MT0048</t>
  </si>
  <si>
    <t>CG075 (MT0049)</t>
  </si>
  <si>
    <t>MT0049</t>
  </si>
  <si>
    <t>CG2535</t>
  </si>
  <si>
    <t>BX706</t>
  </si>
  <si>
    <t>GR001</t>
  </si>
  <si>
    <t>GR002</t>
  </si>
  <si>
    <t>BX062</t>
  </si>
  <si>
    <t>BX101</t>
  </si>
  <si>
    <t>BX060</t>
  </si>
  <si>
    <t>BX061</t>
  </si>
  <si>
    <t>BX063</t>
  </si>
  <si>
    <t>BX116</t>
  </si>
  <si>
    <t>BX156</t>
  </si>
  <si>
    <t>BX157</t>
  </si>
  <si>
    <t>BX158</t>
  </si>
  <si>
    <t>BX159</t>
  </si>
  <si>
    <t>BX092</t>
  </si>
  <si>
    <t>BX189A</t>
  </si>
  <si>
    <t>BX201</t>
  </si>
  <si>
    <t>AL001</t>
  </si>
  <si>
    <t>AL001AL</t>
  </si>
  <si>
    <t>AL002</t>
  </si>
  <si>
    <t>AL002AL</t>
  </si>
  <si>
    <t>AL 049</t>
  </si>
  <si>
    <t>AL049</t>
  </si>
  <si>
    <t>AL050</t>
  </si>
  <si>
    <t>AL003L</t>
  </si>
  <si>
    <t>MT0066</t>
  </si>
  <si>
    <t>MT0066(PU010)</t>
  </si>
  <si>
    <t>MT0067</t>
  </si>
  <si>
    <t>MT0067(PU008)</t>
  </si>
  <si>
    <t>MT0080</t>
  </si>
  <si>
    <t>MT0088</t>
  </si>
  <si>
    <t>MT0089</t>
  </si>
  <si>
    <t>MT0090</t>
  </si>
  <si>
    <t>BX128</t>
  </si>
  <si>
    <t>BX626</t>
  </si>
  <si>
    <t>BT807</t>
  </si>
  <si>
    <t>BX013</t>
  </si>
  <si>
    <t>BX014</t>
  </si>
  <si>
    <t>BX016</t>
  </si>
  <si>
    <t>MT0079 (Infeiror de engenharia 10 mm)</t>
  </si>
  <si>
    <t>MT0092 (Inferior engenharia de 10mm)</t>
  </si>
  <si>
    <t>MT0093 (Superior engenharia 10 mm)</t>
  </si>
  <si>
    <t>MT0094 (Capa engenharia de 10 mm)</t>
  </si>
  <si>
    <t>MT0095 (BX330-Click Engenharia de 10 mm)</t>
  </si>
  <si>
    <t>BX054 (Inferior simples 10mm)</t>
  </si>
  <si>
    <t>BX054</t>
  </si>
  <si>
    <t>BX130</t>
  </si>
  <si>
    <t>BX238</t>
  </si>
  <si>
    <t>KP062</t>
  </si>
  <si>
    <t>KP063</t>
  </si>
  <si>
    <t>KP064</t>
  </si>
  <si>
    <t>DS004</t>
  </si>
  <si>
    <t>SU079</t>
  </si>
  <si>
    <t>SU086</t>
  </si>
  <si>
    <t>SU090</t>
  </si>
  <si>
    <t>SU091</t>
  </si>
  <si>
    <t>SU103</t>
  </si>
  <si>
    <t>SU276</t>
  </si>
  <si>
    <t>SU302</t>
  </si>
  <si>
    <t>SU779</t>
  </si>
  <si>
    <t>SU004</t>
  </si>
  <si>
    <t>SU005</t>
  </si>
  <si>
    <t>SU006</t>
  </si>
  <si>
    <t>SU007</t>
  </si>
  <si>
    <t>SU009</t>
  </si>
  <si>
    <t>SU010</t>
  </si>
  <si>
    <t>SU011</t>
  </si>
  <si>
    <t>SU012</t>
  </si>
  <si>
    <t>SU121</t>
  </si>
  <si>
    <t>SU122</t>
  </si>
  <si>
    <t>SU123</t>
  </si>
  <si>
    <t>SU230</t>
  </si>
  <si>
    <t>SU238</t>
  </si>
  <si>
    <t>SU250</t>
  </si>
  <si>
    <t>SU279</t>
  </si>
  <si>
    <t>SU352</t>
  </si>
  <si>
    <t>FU350</t>
  </si>
  <si>
    <t>FU362</t>
  </si>
  <si>
    <t>FU363</t>
  </si>
  <si>
    <t>FU364</t>
  </si>
  <si>
    <t>FU899</t>
  </si>
  <si>
    <t>FU900</t>
  </si>
  <si>
    <t>FU901</t>
  </si>
  <si>
    <t>MT0113</t>
  </si>
  <si>
    <t>MT0117</t>
  </si>
  <si>
    <t>MT0121</t>
  </si>
  <si>
    <t>BX823</t>
  </si>
  <si>
    <t>BX824</t>
  </si>
  <si>
    <t>BX825</t>
  </si>
  <si>
    <t>BX826</t>
  </si>
  <si>
    <t>BX827</t>
  </si>
  <si>
    <t>BX1087</t>
  </si>
  <si>
    <t>ME013</t>
  </si>
  <si>
    <t>BX662</t>
  </si>
  <si>
    <t>BX663</t>
  </si>
  <si>
    <t>BX664</t>
  </si>
  <si>
    <t>BX665</t>
  </si>
  <si>
    <t>BX666</t>
  </si>
  <si>
    <t>BX667</t>
  </si>
  <si>
    <t>BX709</t>
  </si>
  <si>
    <t>BX710</t>
  </si>
  <si>
    <t>BX713</t>
  </si>
  <si>
    <t>BX716</t>
  </si>
  <si>
    <t>BX717A</t>
  </si>
  <si>
    <t>BX1096 (FC-261)</t>
  </si>
  <si>
    <t>BX1096</t>
  </si>
  <si>
    <t>BX1099 (FC-225)</t>
  </si>
  <si>
    <t>BX1099</t>
  </si>
  <si>
    <t>BX1095</t>
  </si>
  <si>
    <t>BX1097</t>
  </si>
  <si>
    <t>BX1103</t>
  </si>
  <si>
    <t xml:space="preserve"> U 15 (PU 004 5/8 x 1/16")  </t>
  </si>
  <si>
    <t>BX567</t>
  </si>
  <si>
    <t>Total:</t>
  </si>
  <si>
    <t>REQUEST TITLE</t>
  </si>
  <si>
    <t>PERCENTAGE UNDER 0.250 KG</t>
  </si>
  <si>
    <t>TOTAL QUANTITY</t>
  </si>
  <si>
    <t>TOTAL CUBAGE</t>
  </si>
  <si>
    <t>TOTAL WEIGHT</t>
  </si>
  <si>
    <t>ALUMIFONT CODE</t>
  </si>
  <si>
    <t>FACTORY CODE</t>
  </si>
  <si>
    <t>IMAGE</t>
  </si>
  <si>
    <t>LENGTH (MM)</t>
  </si>
  <si>
    <t>TEMPER ALLOY</t>
  </si>
  <si>
    <t>WEIGHT (M/KG)</t>
  </si>
  <si>
    <t>QUANTITY</t>
  </si>
  <si>
    <t>COLOUR</t>
  </si>
  <si>
    <t>CUBAGE</t>
  </si>
  <si>
    <t>TOTAL WEIGHT (KG)</t>
  </si>
  <si>
    <t>Código Alumifont</t>
  </si>
  <si>
    <t>Código Fábrica</t>
  </si>
  <si>
    <t>Imagem</t>
  </si>
  <si>
    <t>Tamanho (mm)</t>
  </si>
  <si>
    <t>Liga Temperada</t>
  </si>
  <si>
    <t>Peso (m/kg)</t>
  </si>
  <si>
    <t>Cubagem</t>
  </si>
  <si>
    <t>TR1X1.0</t>
  </si>
  <si>
    <t>TGR3X1.1-2L</t>
  </si>
  <si>
    <t>TGR3X1.1-2</t>
  </si>
  <si>
    <t>MT0079</t>
  </si>
  <si>
    <t>MT0092</t>
  </si>
  <si>
    <t>MT0093</t>
  </si>
  <si>
    <t>MT0094</t>
  </si>
  <si>
    <t>MT0095</t>
  </si>
  <si>
    <t>BC1/2X1/8</t>
  </si>
  <si>
    <t>BC1X1/8</t>
  </si>
  <si>
    <t>TR12</t>
  </si>
  <si>
    <t>TQ1</t>
  </si>
  <si>
    <t>TQ1.12A</t>
  </si>
  <si>
    <t>TG3X1.12</t>
  </si>
  <si>
    <t>TG4X2</t>
  </si>
  <si>
    <t>L1X1/16</t>
  </si>
  <si>
    <t>L1X1/8</t>
  </si>
  <si>
    <t>L1.1/2X1/16</t>
  </si>
  <si>
    <t>L1.1/2X1/8</t>
  </si>
  <si>
    <t>L2X1/16</t>
  </si>
  <si>
    <t>L2x1/8</t>
  </si>
  <si>
    <t>TG1X12</t>
  </si>
  <si>
    <t>TG2X1.12</t>
  </si>
  <si>
    <t xml:space="preserve"> BX352 (MT0077-Perfilpara tela de mosquito)</t>
  </si>
  <si>
    <t>BX352</t>
  </si>
  <si>
    <t>AFY-15</t>
  </si>
  <si>
    <t>TOTAL</t>
  </si>
  <si>
    <t>NEIGHBORHOOD</t>
  </si>
  <si>
    <t>AGENT</t>
  </si>
  <si>
    <t>STATE</t>
  </si>
  <si>
    <t>FACTORY</t>
  </si>
  <si>
    <t>LANGUAGE</t>
  </si>
  <si>
    <t>MILL FINISH</t>
  </si>
  <si>
    <t>SILVER FINISH</t>
  </si>
  <si>
    <t>WHITE FINISH</t>
  </si>
  <si>
    <t>BRONZE FINISH</t>
  </si>
  <si>
    <t>BLACK FINISH</t>
  </si>
  <si>
    <t>CHAMPAGNE FINISH</t>
  </si>
  <si>
    <t>WOOD FINISH</t>
  </si>
  <si>
    <t>WEIGHT</t>
  </si>
  <si>
    <t>ALUMIFONT CODE (SEARCH HERE)</t>
  </si>
  <si>
    <t>ALUMINIUM PROFILE</t>
  </si>
  <si>
    <t>REFERENCE</t>
  </si>
  <si>
    <t>DESCRIPTION</t>
  </si>
  <si>
    <t>NUMBER OF PIECES PER SURFACE FINISH</t>
  </si>
  <si>
    <t>SILVER ANODIZED (FAYP01)</t>
  </si>
  <si>
    <t>BLACK ANODIZED (FAYP06)</t>
  </si>
  <si>
    <t>ELECT. CHAMPAGNE (FAYH02)</t>
  </si>
  <si>
    <t>BRONZE ANODIZED (FAYP03)</t>
  </si>
  <si>
    <t>COMPANY</t>
  </si>
  <si>
    <t>CONTACT</t>
  </si>
  <si>
    <t>ADDRESS</t>
  </si>
  <si>
    <t>CITY</t>
  </si>
  <si>
    <t/>
  </si>
  <si>
    <t>WOOD FINISH (BA)</t>
  </si>
  <si>
    <t>WHITE POWDER COAT (PE/BA)</t>
  </si>
  <si>
    <t>TQ2L (Square tube 2" with 0.90 mm thickness)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</si>
</sst>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"/>
    <numFmt numFmtId="165" formatCode="_-[$$-409]* #,##0.00_ ;_-[$$-409]* \-#,##0.00\ ;_-[$$-409]* &quot;-&quot;??_ ;_-@_ "/>
    <numFmt numFmtId="166" formatCode="_-* #,##0.000_-;\-* #,##0.000_-;_-* &quot;-&quot;??_-;_-@_-"/>
    <numFmt numFmtId="167" formatCode="_-* #,##0_-;\-* #,##0_-;_-* &quot;-&quot;??_-;_-@_-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 indent="1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43" fontId="0" fillId="2" borderId="1" xfId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165" fontId="4" fillId="0" borderId="12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top" wrapText="1"/>
    </xf>
    <xf numFmtId="0" fontId="4" fillId="0" borderId="1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6" fontId="0" fillId="2" borderId="1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vertical="center"/>
    </xf>
    <xf numFmtId="0" fontId="8" fillId="0" borderId="0" xfId="0" applyFont="1" applyAlignment="1">
      <alignment horizontal="center"/>
    </xf>
    <xf numFmtId="0" fontId="3" fillId="0" borderId="14" xfId="0" applyFont="1" applyBorder="1" applyAlignment="1">
      <alignment horizontal="left" vertical="top" wrapText="1"/>
    </xf>
    <xf numFmtId="0" fontId="3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indent="1"/>
    </xf>
    <xf numFmtId="43" fontId="4" fillId="0" borderId="11" xfId="1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 indent="1"/>
    </xf>
    <xf numFmtId="0" fontId="1" fillId="5" borderId="10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4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6" fillId="0" borderId="3" xfId="3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3" fontId="4" fillId="0" borderId="5" xfId="0" applyNumberFormat="1" applyFont="1" applyBorder="1" applyAlignment="1">
      <alignment horizontal="center" vertical="center"/>
    </xf>
    <xf numFmtId="43" fontId="4" fillId="0" borderId="6" xfId="0" applyNumberFormat="1" applyFont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8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10" fontId="4" fillId="0" borderId="5" xfId="2" applyNumberFormat="1" applyFont="1" applyBorder="1" applyAlignment="1">
      <alignment horizontal="center" vertical="center"/>
    </xf>
    <xf numFmtId="10" fontId="4" fillId="0" borderId="6" xfId="2" applyNumberFormat="1" applyFont="1" applyBorder="1" applyAlignment="1">
      <alignment horizontal="center" vertical="center"/>
    </xf>
    <xf numFmtId="43" fontId="4" fillId="0" borderId="5" xfId="1" applyFont="1" applyBorder="1" applyAlignment="1">
      <alignment horizontal="center" vertical="center"/>
    </xf>
    <xf numFmtId="43" fontId="4" fillId="0" borderId="6" xfId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0" fontId="4" fillId="0" borderId="5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67" fontId="4" fillId="0" borderId="12" xfId="1" applyNumberFormat="1" applyFont="1" applyBorder="1" applyAlignment="1">
      <alignment horizontal="center" vertical="center"/>
    </xf>
    <xf numFmtId="167" fontId="4" fillId="0" borderId="6" xfId="1" applyNumberFormat="1" applyFont="1" applyBorder="1" applyAlignment="1">
      <alignment horizontal="center" vertical="center"/>
    </xf>
  </cellXfs>
  <cellStyles count="4">
    <cellStyle name="Hiperlink" xfId="3" builtinId="8"/>
    <cellStyle name="Normal" xfId="0" builtinId="0"/>
    <cellStyle name="Porcentagem" xfId="2" builtinId="5"/>
    <cellStyle name="Vírgula" xfId="1" builtinId="3"/>
  </cellStyles>
  <dxfs count="3">
    <dxf>
      <font>
        <color theme="0"/>
      </font>
    </dxf>
    <dxf>
      <font>
        <b/>
        <i val="0"/>
        <color theme="1"/>
      </font>
      <numFmt numFmtId="0" formatCode="General"/>
      <fill>
        <patternFill>
          <bgColor theme="0"/>
        </patternFill>
      </fill>
    </dxf>
    <dxf>
      <font>
        <b/>
        <i val="0"/>
        <color rgb="FF0070C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0.svg"/><Relationship Id="rId1" Type="http://schemas.openxmlformats.org/officeDocument/2006/relationships/image" Target="../media/image2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238125</xdr:colOff>
      <xdr:row>11</xdr:row>
      <xdr:rowOff>66675</xdr:rowOff>
    </xdr:from>
    <xdr:to>
      <xdr:col>16</xdr:col>
      <xdr:colOff>552450</xdr:colOff>
      <xdr:row>12</xdr:row>
      <xdr:rowOff>199159</xdr:rowOff>
    </xdr:to>
    <xdr:pic macro="[0]!criar">
      <xdr:nvPicPr>
        <xdr:cNvPr id="3" name="Graphic 2" descr="Add with solid fill">
          <a:extLst>
            <a:ext uri="{FF2B5EF4-FFF2-40B4-BE49-F238E27FC236}">
              <a16:creationId xmlns:a16="http://schemas.microsoft.com/office/drawing/2014/main" id="{EF812E9C-3B72-8D4A-93B6-A61E5CB1A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573500" y="2228850"/>
          <a:ext cx="314325" cy="31432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70" Type="http://schemas.openxmlformats.org/officeDocument/2006/relationships/image" Target="../media/image170.png"/><Relationship Id="rId191" Type="http://schemas.openxmlformats.org/officeDocument/2006/relationships/image" Target="../media/image191.png"/><Relationship Id="rId205" Type="http://schemas.openxmlformats.org/officeDocument/2006/relationships/image" Target="../media/image205.png"/><Relationship Id="rId226" Type="http://schemas.openxmlformats.org/officeDocument/2006/relationships/image" Target="../media/image226.png"/><Relationship Id="rId247" Type="http://schemas.openxmlformats.org/officeDocument/2006/relationships/image" Target="../media/image247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181" Type="http://schemas.openxmlformats.org/officeDocument/2006/relationships/image" Target="../media/image181.png"/><Relationship Id="rId216" Type="http://schemas.openxmlformats.org/officeDocument/2006/relationships/image" Target="../media/image216.png"/><Relationship Id="rId237" Type="http://schemas.openxmlformats.org/officeDocument/2006/relationships/image" Target="../media/image237.png"/><Relationship Id="rId22" Type="http://schemas.openxmlformats.org/officeDocument/2006/relationships/image" Target="../media/image22.png"/><Relationship Id="rId43" Type="http://schemas.openxmlformats.org/officeDocument/2006/relationships/image" Target="../media/image43.pn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71" Type="http://schemas.openxmlformats.org/officeDocument/2006/relationships/image" Target="../media/image171.png"/><Relationship Id="rId192" Type="http://schemas.openxmlformats.org/officeDocument/2006/relationships/image" Target="../media/image192.png"/><Relationship Id="rId206" Type="http://schemas.openxmlformats.org/officeDocument/2006/relationships/image" Target="../media/image206.png"/><Relationship Id="rId227" Type="http://schemas.openxmlformats.org/officeDocument/2006/relationships/image" Target="../media/image227.png"/><Relationship Id="rId248" Type="http://schemas.openxmlformats.org/officeDocument/2006/relationships/image" Target="../media/image248.png"/><Relationship Id="rId12" Type="http://schemas.openxmlformats.org/officeDocument/2006/relationships/image" Target="../media/image12.pn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5" Type="http://schemas.openxmlformats.org/officeDocument/2006/relationships/image" Target="../media/image75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61" Type="http://schemas.openxmlformats.org/officeDocument/2006/relationships/image" Target="../media/image161.png"/><Relationship Id="rId182" Type="http://schemas.openxmlformats.org/officeDocument/2006/relationships/image" Target="../media/image182.png"/><Relationship Id="rId217" Type="http://schemas.openxmlformats.org/officeDocument/2006/relationships/image" Target="../media/image217.png"/><Relationship Id="rId6" Type="http://schemas.openxmlformats.org/officeDocument/2006/relationships/image" Target="../media/image6.png"/><Relationship Id="rId238" Type="http://schemas.openxmlformats.org/officeDocument/2006/relationships/image" Target="../media/image238.png"/><Relationship Id="rId23" Type="http://schemas.openxmlformats.org/officeDocument/2006/relationships/image" Target="../media/image23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5" Type="http://schemas.openxmlformats.org/officeDocument/2006/relationships/image" Target="../media/image65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51" Type="http://schemas.openxmlformats.org/officeDocument/2006/relationships/image" Target="../media/image151.png"/><Relationship Id="rId172" Type="http://schemas.openxmlformats.org/officeDocument/2006/relationships/image" Target="../media/image172.png"/><Relationship Id="rId193" Type="http://schemas.openxmlformats.org/officeDocument/2006/relationships/image" Target="../media/image193.png"/><Relationship Id="rId207" Type="http://schemas.openxmlformats.org/officeDocument/2006/relationships/image" Target="../media/image207.png"/><Relationship Id="rId228" Type="http://schemas.openxmlformats.org/officeDocument/2006/relationships/image" Target="../media/image228.png"/><Relationship Id="rId13" Type="http://schemas.openxmlformats.org/officeDocument/2006/relationships/image" Target="../media/image13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20" Type="http://schemas.openxmlformats.org/officeDocument/2006/relationships/image" Target="../media/image120.png"/><Relationship Id="rId141" Type="http://schemas.openxmlformats.org/officeDocument/2006/relationships/image" Target="../media/image141.png"/><Relationship Id="rId7" Type="http://schemas.openxmlformats.org/officeDocument/2006/relationships/image" Target="../media/image7.png"/><Relationship Id="rId162" Type="http://schemas.openxmlformats.org/officeDocument/2006/relationships/image" Target="../media/image162.png"/><Relationship Id="rId183" Type="http://schemas.openxmlformats.org/officeDocument/2006/relationships/image" Target="../media/image183.png"/><Relationship Id="rId218" Type="http://schemas.openxmlformats.org/officeDocument/2006/relationships/image" Target="../media/image218.png"/><Relationship Id="rId239" Type="http://schemas.openxmlformats.org/officeDocument/2006/relationships/image" Target="../media/image239.png"/><Relationship Id="rId24" Type="http://schemas.openxmlformats.org/officeDocument/2006/relationships/image" Target="../media/image24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31" Type="http://schemas.openxmlformats.org/officeDocument/2006/relationships/image" Target="../media/image131.png"/><Relationship Id="rId152" Type="http://schemas.openxmlformats.org/officeDocument/2006/relationships/image" Target="../media/image152.png"/><Relationship Id="rId173" Type="http://schemas.openxmlformats.org/officeDocument/2006/relationships/image" Target="../media/image173.png"/><Relationship Id="rId194" Type="http://schemas.openxmlformats.org/officeDocument/2006/relationships/image" Target="../media/image194.png"/><Relationship Id="rId208" Type="http://schemas.openxmlformats.org/officeDocument/2006/relationships/image" Target="../media/image208.png"/><Relationship Id="rId229" Type="http://schemas.openxmlformats.org/officeDocument/2006/relationships/image" Target="../media/image229.png"/><Relationship Id="rId240" Type="http://schemas.openxmlformats.org/officeDocument/2006/relationships/image" Target="../media/image240.png"/><Relationship Id="rId14" Type="http://schemas.openxmlformats.org/officeDocument/2006/relationships/image" Target="../media/image14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8" Type="http://schemas.openxmlformats.org/officeDocument/2006/relationships/image" Target="../media/image8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184" Type="http://schemas.openxmlformats.org/officeDocument/2006/relationships/image" Target="../media/image184.png"/><Relationship Id="rId219" Type="http://schemas.openxmlformats.org/officeDocument/2006/relationships/image" Target="../media/image219.png"/><Relationship Id="rId230" Type="http://schemas.openxmlformats.org/officeDocument/2006/relationships/image" Target="../media/image230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74" Type="http://schemas.openxmlformats.org/officeDocument/2006/relationships/image" Target="../media/image174.png"/><Relationship Id="rId195" Type="http://schemas.openxmlformats.org/officeDocument/2006/relationships/image" Target="../media/image195.png"/><Relationship Id="rId209" Type="http://schemas.openxmlformats.org/officeDocument/2006/relationships/image" Target="../media/image209.png"/><Relationship Id="rId220" Type="http://schemas.openxmlformats.org/officeDocument/2006/relationships/image" Target="../media/image220.png"/><Relationship Id="rId241" Type="http://schemas.openxmlformats.org/officeDocument/2006/relationships/image" Target="../media/image24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164" Type="http://schemas.openxmlformats.org/officeDocument/2006/relationships/image" Target="../media/image164.png"/><Relationship Id="rId169" Type="http://schemas.openxmlformats.org/officeDocument/2006/relationships/image" Target="../media/image169.png"/><Relationship Id="rId185" Type="http://schemas.openxmlformats.org/officeDocument/2006/relationships/image" Target="../media/image18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80" Type="http://schemas.openxmlformats.org/officeDocument/2006/relationships/image" Target="../media/image180.png"/><Relationship Id="rId210" Type="http://schemas.openxmlformats.org/officeDocument/2006/relationships/image" Target="../media/image210.png"/><Relationship Id="rId215" Type="http://schemas.openxmlformats.org/officeDocument/2006/relationships/image" Target="../media/image215.png"/><Relationship Id="rId236" Type="http://schemas.openxmlformats.org/officeDocument/2006/relationships/image" Target="../media/image236.png"/><Relationship Id="rId26" Type="http://schemas.openxmlformats.org/officeDocument/2006/relationships/image" Target="../media/image26.png"/><Relationship Id="rId231" Type="http://schemas.openxmlformats.org/officeDocument/2006/relationships/image" Target="../media/image231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75" Type="http://schemas.openxmlformats.org/officeDocument/2006/relationships/image" Target="../media/image175.png"/><Relationship Id="rId196" Type="http://schemas.openxmlformats.org/officeDocument/2006/relationships/image" Target="../media/image196.png"/><Relationship Id="rId200" Type="http://schemas.openxmlformats.org/officeDocument/2006/relationships/image" Target="../media/image200.png"/><Relationship Id="rId16" Type="http://schemas.openxmlformats.org/officeDocument/2006/relationships/image" Target="../media/image16.png"/><Relationship Id="rId221" Type="http://schemas.openxmlformats.org/officeDocument/2006/relationships/image" Target="../media/image221.png"/><Relationship Id="rId242" Type="http://schemas.openxmlformats.org/officeDocument/2006/relationships/image" Target="../media/image242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186" Type="http://schemas.openxmlformats.org/officeDocument/2006/relationships/image" Target="../media/image186.png"/><Relationship Id="rId211" Type="http://schemas.openxmlformats.org/officeDocument/2006/relationships/image" Target="../media/image211.png"/><Relationship Id="rId232" Type="http://schemas.openxmlformats.org/officeDocument/2006/relationships/image" Target="../media/image232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6" Type="http://schemas.openxmlformats.org/officeDocument/2006/relationships/image" Target="../media/image176.png"/><Relationship Id="rId197" Type="http://schemas.openxmlformats.org/officeDocument/2006/relationships/image" Target="../media/image197.png"/><Relationship Id="rId201" Type="http://schemas.openxmlformats.org/officeDocument/2006/relationships/image" Target="../media/image201.png"/><Relationship Id="rId222" Type="http://schemas.openxmlformats.org/officeDocument/2006/relationships/image" Target="../media/image222.png"/><Relationship Id="rId243" Type="http://schemas.openxmlformats.org/officeDocument/2006/relationships/image" Target="../media/image243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png"/><Relationship Id="rId70" Type="http://schemas.openxmlformats.org/officeDocument/2006/relationships/image" Target="../media/image70.png"/><Relationship Id="rId91" Type="http://schemas.openxmlformats.org/officeDocument/2006/relationships/image" Target="../media/image91.png"/><Relationship Id="rId145" Type="http://schemas.openxmlformats.org/officeDocument/2006/relationships/image" Target="../media/image145.png"/><Relationship Id="rId166" Type="http://schemas.openxmlformats.org/officeDocument/2006/relationships/image" Target="../media/image166.png"/><Relationship Id="rId187" Type="http://schemas.openxmlformats.org/officeDocument/2006/relationships/image" Target="../media/image187.png"/><Relationship Id="rId1" Type="http://schemas.openxmlformats.org/officeDocument/2006/relationships/image" Target="../media/image1.jpeg"/><Relationship Id="rId212" Type="http://schemas.openxmlformats.org/officeDocument/2006/relationships/image" Target="../media/image212.png"/><Relationship Id="rId233" Type="http://schemas.openxmlformats.org/officeDocument/2006/relationships/image" Target="../media/image23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60" Type="http://schemas.openxmlformats.org/officeDocument/2006/relationships/image" Target="../media/image60.png"/><Relationship Id="rId81" Type="http://schemas.openxmlformats.org/officeDocument/2006/relationships/image" Target="../media/image81.png"/><Relationship Id="rId135" Type="http://schemas.openxmlformats.org/officeDocument/2006/relationships/image" Target="../media/image135.png"/><Relationship Id="rId156" Type="http://schemas.openxmlformats.org/officeDocument/2006/relationships/image" Target="../media/image156.png"/><Relationship Id="rId177" Type="http://schemas.openxmlformats.org/officeDocument/2006/relationships/image" Target="../media/image177.png"/><Relationship Id="rId198" Type="http://schemas.openxmlformats.org/officeDocument/2006/relationships/image" Target="../media/image198.png"/><Relationship Id="rId202" Type="http://schemas.openxmlformats.org/officeDocument/2006/relationships/image" Target="../media/image202.png"/><Relationship Id="rId223" Type="http://schemas.openxmlformats.org/officeDocument/2006/relationships/image" Target="../media/image223.png"/><Relationship Id="rId244" Type="http://schemas.openxmlformats.org/officeDocument/2006/relationships/image" Target="../media/image244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50" Type="http://schemas.openxmlformats.org/officeDocument/2006/relationships/image" Target="../media/image50.png"/><Relationship Id="rId104" Type="http://schemas.openxmlformats.org/officeDocument/2006/relationships/image" Target="../media/image104.png"/><Relationship Id="rId125" Type="http://schemas.openxmlformats.org/officeDocument/2006/relationships/image" Target="../media/image125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188" Type="http://schemas.openxmlformats.org/officeDocument/2006/relationships/image" Target="../media/image188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13" Type="http://schemas.openxmlformats.org/officeDocument/2006/relationships/image" Target="../media/image213.png"/><Relationship Id="rId234" Type="http://schemas.openxmlformats.org/officeDocument/2006/relationships/image" Target="../media/image234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40" Type="http://schemas.openxmlformats.org/officeDocument/2006/relationships/image" Target="../media/image40.png"/><Relationship Id="rId115" Type="http://schemas.openxmlformats.org/officeDocument/2006/relationships/image" Target="../media/image115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178" Type="http://schemas.openxmlformats.org/officeDocument/2006/relationships/image" Target="../media/image178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9" Type="http://schemas.openxmlformats.org/officeDocument/2006/relationships/image" Target="../media/image199.png"/><Relationship Id="rId203" Type="http://schemas.openxmlformats.org/officeDocument/2006/relationships/image" Target="../media/image203.png"/><Relationship Id="rId19" Type="http://schemas.openxmlformats.org/officeDocument/2006/relationships/image" Target="../media/image19.png"/><Relationship Id="rId224" Type="http://schemas.openxmlformats.org/officeDocument/2006/relationships/image" Target="../media/image224.png"/><Relationship Id="rId245" Type="http://schemas.openxmlformats.org/officeDocument/2006/relationships/image" Target="../media/image245.png"/><Relationship Id="rId30" Type="http://schemas.openxmlformats.org/officeDocument/2006/relationships/image" Target="../media/image3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189" Type="http://schemas.openxmlformats.org/officeDocument/2006/relationships/image" Target="../media/image189.png"/><Relationship Id="rId3" Type="http://schemas.openxmlformats.org/officeDocument/2006/relationships/image" Target="../media/image3.png"/><Relationship Id="rId214" Type="http://schemas.openxmlformats.org/officeDocument/2006/relationships/image" Target="../media/image214.png"/><Relationship Id="rId235" Type="http://schemas.openxmlformats.org/officeDocument/2006/relationships/image" Target="../media/image235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179" Type="http://schemas.openxmlformats.org/officeDocument/2006/relationships/image" Target="../media/image179.png"/><Relationship Id="rId190" Type="http://schemas.openxmlformats.org/officeDocument/2006/relationships/image" Target="../media/image190.png"/><Relationship Id="rId204" Type="http://schemas.openxmlformats.org/officeDocument/2006/relationships/image" Target="../media/image204.png"/><Relationship Id="rId225" Type="http://schemas.openxmlformats.org/officeDocument/2006/relationships/image" Target="../media/image225.png"/><Relationship Id="rId246" Type="http://schemas.openxmlformats.org/officeDocument/2006/relationships/image" Target="../media/image246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9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  <rv s="0">
    <v>126</v>
    <v>5</v>
  </rv>
  <rv s="0">
    <v>127</v>
    <v>5</v>
  </rv>
  <rv s="0">
    <v>128</v>
    <v>5</v>
  </rv>
  <rv s="0">
    <v>129</v>
    <v>5</v>
  </rv>
  <rv s="0">
    <v>130</v>
    <v>5</v>
  </rv>
  <rv s="0">
    <v>131</v>
    <v>5</v>
  </rv>
  <rv s="0">
    <v>132</v>
    <v>5</v>
  </rv>
  <rv s="0">
    <v>133</v>
    <v>5</v>
  </rv>
  <rv s="0">
    <v>134</v>
    <v>5</v>
  </rv>
  <rv s="0">
    <v>135</v>
    <v>5</v>
  </rv>
  <rv s="0">
    <v>136</v>
    <v>5</v>
  </rv>
  <rv s="0">
    <v>137</v>
    <v>5</v>
  </rv>
  <rv s="0">
    <v>138</v>
    <v>5</v>
  </rv>
  <rv s="0">
    <v>139</v>
    <v>5</v>
  </rv>
  <rv s="0">
    <v>140</v>
    <v>5</v>
  </rv>
  <rv s="0">
    <v>141</v>
    <v>5</v>
  </rv>
  <rv s="0">
    <v>142</v>
    <v>5</v>
  </rv>
  <rv s="0">
    <v>143</v>
    <v>5</v>
  </rv>
  <rv s="0">
    <v>144</v>
    <v>5</v>
  </rv>
  <rv s="0">
    <v>145</v>
    <v>5</v>
  </rv>
  <rv s="0">
    <v>146</v>
    <v>5</v>
  </rv>
  <rv s="0">
    <v>147</v>
    <v>5</v>
  </rv>
  <rv s="0">
    <v>148</v>
    <v>5</v>
  </rv>
  <rv s="0">
    <v>149</v>
    <v>5</v>
  </rv>
  <rv s="0">
    <v>150</v>
    <v>5</v>
  </rv>
  <rv s="0">
    <v>151</v>
    <v>5</v>
  </rv>
  <rv s="0">
    <v>152</v>
    <v>5</v>
  </rv>
  <rv s="0">
    <v>153</v>
    <v>5</v>
  </rv>
  <rv s="0">
    <v>154</v>
    <v>5</v>
  </rv>
  <rv s="0">
    <v>155</v>
    <v>5</v>
  </rv>
  <rv s="0">
    <v>156</v>
    <v>5</v>
  </rv>
  <rv s="0">
    <v>157</v>
    <v>5</v>
  </rv>
  <rv s="0">
    <v>158</v>
    <v>5</v>
  </rv>
  <rv s="0">
    <v>159</v>
    <v>5</v>
  </rv>
  <rv s="0">
    <v>160</v>
    <v>5</v>
  </rv>
  <rv s="0">
    <v>161</v>
    <v>5</v>
  </rv>
  <rv s="0">
    <v>162</v>
    <v>5</v>
  </rv>
  <rv s="0">
    <v>163</v>
    <v>5</v>
  </rv>
  <rv s="0">
    <v>164</v>
    <v>5</v>
  </rv>
  <rv s="0">
    <v>165</v>
    <v>5</v>
  </rv>
  <rv s="0">
    <v>166</v>
    <v>5</v>
  </rv>
  <rv s="0">
    <v>167</v>
    <v>5</v>
  </rv>
  <rv s="0">
    <v>168</v>
    <v>5</v>
  </rv>
  <rv s="0">
    <v>169</v>
    <v>5</v>
  </rv>
  <rv s="0">
    <v>170</v>
    <v>5</v>
  </rv>
  <rv s="0">
    <v>171</v>
    <v>5</v>
  </rv>
  <rv s="0">
    <v>172</v>
    <v>5</v>
  </rv>
  <rv s="0">
    <v>173</v>
    <v>5</v>
  </rv>
  <rv s="0">
    <v>174</v>
    <v>5</v>
  </rv>
  <rv s="0">
    <v>175</v>
    <v>5</v>
  </rv>
  <rv s="0">
    <v>176</v>
    <v>5</v>
  </rv>
  <rv s="0">
    <v>177</v>
    <v>5</v>
  </rv>
  <rv s="0">
    <v>178</v>
    <v>5</v>
  </rv>
  <rv s="0">
    <v>179</v>
    <v>5</v>
  </rv>
  <rv s="0">
    <v>180</v>
    <v>5</v>
  </rv>
  <rv s="0">
    <v>181</v>
    <v>5</v>
  </rv>
  <rv s="0">
    <v>182</v>
    <v>5</v>
  </rv>
  <rv s="0">
    <v>183</v>
    <v>5</v>
  </rv>
  <rv s="0">
    <v>184</v>
    <v>5</v>
  </rv>
  <rv s="0">
    <v>185</v>
    <v>5</v>
  </rv>
  <rv s="0">
    <v>186</v>
    <v>5</v>
  </rv>
  <rv s="0">
    <v>187</v>
    <v>5</v>
  </rv>
  <rv s="0">
    <v>188</v>
    <v>5</v>
  </rv>
  <rv s="0">
    <v>189</v>
    <v>5</v>
  </rv>
  <rv s="0">
    <v>190</v>
    <v>5</v>
  </rv>
  <rv s="0">
    <v>191</v>
    <v>5</v>
  </rv>
  <rv s="0">
    <v>192</v>
    <v>5</v>
  </rv>
  <rv s="0">
    <v>193</v>
    <v>5</v>
  </rv>
  <rv s="0">
    <v>194</v>
    <v>5</v>
  </rv>
  <rv s="0">
    <v>195</v>
    <v>5</v>
  </rv>
  <rv s="0">
    <v>196</v>
    <v>5</v>
  </rv>
  <rv s="0">
    <v>197</v>
    <v>5</v>
  </rv>
  <rv s="0">
    <v>198</v>
    <v>5</v>
  </rv>
  <rv s="0">
    <v>199</v>
    <v>5</v>
  </rv>
  <rv s="0">
    <v>200</v>
    <v>5</v>
  </rv>
  <rv s="0">
    <v>201</v>
    <v>5</v>
  </rv>
  <rv s="0">
    <v>202</v>
    <v>5</v>
  </rv>
  <rv s="0">
    <v>203</v>
    <v>5</v>
  </rv>
  <rv s="0">
    <v>204</v>
    <v>5</v>
  </rv>
  <rv s="0">
    <v>205</v>
    <v>5</v>
  </rv>
  <rv s="0">
    <v>206</v>
    <v>5</v>
  </rv>
  <rv s="0">
    <v>207</v>
    <v>5</v>
  </rv>
  <rv s="0">
    <v>208</v>
    <v>5</v>
  </rv>
  <rv s="0">
    <v>209</v>
    <v>5</v>
  </rv>
  <rv s="0">
    <v>210</v>
    <v>5</v>
  </rv>
  <rv s="0">
    <v>211</v>
    <v>5</v>
  </rv>
  <rv s="0">
    <v>212</v>
    <v>5</v>
  </rv>
  <rv s="0">
    <v>213</v>
    <v>5</v>
  </rv>
  <rv s="0">
    <v>214</v>
    <v>5</v>
  </rv>
  <rv s="0">
    <v>215</v>
    <v>5</v>
  </rv>
  <rv s="0">
    <v>216</v>
    <v>5</v>
  </rv>
  <rv s="0">
    <v>217</v>
    <v>5</v>
  </rv>
  <rv s="0">
    <v>218</v>
    <v>5</v>
  </rv>
  <rv s="0">
    <v>219</v>
    <v>5</v>
  </rv>
  <rv s="0">
    <v>220</v>
    <v>5</v>
  </rv>
  <rv s="0">
    <v>221</v>
    <v>5</v>
  </rv>
  <rv s="0">
    <v>222</v>
    <v>5</v>
  </rv>
  <rv s="0">
    <v>223</v>
    <v>5</v>
  </rv>
  <rv s="0">
    <v>224</v>
    <v>5</v>
  </rv>
  <rv s="0">
    <v>225</v>
    <v>5</v>
  </rv>
  <rv s="0">
    <v>226</v>
    <v>5</v>
  </rv>
  <rv s="0">
    <v>227</v>
    <v>5</v>
  </rv>
  <rv s="0">
    <v>228</v>
    <v>5</v>
  </rv>
  <rv s="0">
    <v>229</v>
    <v>5</v>
  </rv>
  <rv s="0">
    <v>230</v>
    <v>5</v>
  </rv>
  <rv s="0">
    <v>231</v>
    <v>5</v>
  </rv>
  <rv s="0">
    <v>232</v>
    <v>5</v>
  </rv>
  <rv s="0">
    <v>233</v>
    <v>5</v>
  </rv>
  <rv s="0">
    <v>234</v>
    <v>5</v>
  </rv>
  <rv s="0">
    <v>235</v>
    <v>5</v>
  </rv>
  <rv s="0">
    <v>236</v>
    <v>5</v>
  </rv>
  <rv s="0">
    <v>237</v>
    <v>5</v>
  </rv>
  <rv s="0">
    <v>238</v>
    <v>5</v>
  </rv>
  <rv s="0">
    <v>239</v>
    <v>5</v>
  </rv>
  <rv s="0">
    <v>240</v>
    <v>5</v>
  </rv>
  <rv s="0">
    <v>241</v>
    <v>5</v>
  </rv>
  <rv s="0">
    <v>242</v>
    <v>5</v>
  </rv>
  <rv s="0">
    <v>243</v>
    <v>5</v>
  </rv>
  <rv s="0">
    <v>244</v>
    <v>5</v>
  </rv>
  <rv s="0">
    <v>245</v>
    <v>5</v>
  </rv>
  <rv s="0">
    <v>246</v>
    <v>5</v>
  </rv>
  <rv s="0">
    <v>247</v>
    <v>5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4</v>
  </rv>
  <rv s="0">
    <v>10</v>
    <v>4</v>
  </rv>
  <rv s="0">
    <v>11</v>
    <v>4</v>
  </rv>
  <rv s="0">
    <v>12</v>
    <v>4</v>
  </rv>
  <rv s="0">
    <v>13</v>
    <v>4</v>
  </rv>
  <rv s="0">
    <v>14</v>
    <v>4</v>
  </rv>
  <rv s="0">
    <v>15</v>
    <v>4</v>
  </rv>
  <rv s="0">
    <v>16</v>
    <v>4</v>
  </rv>
  <rv s="0">
    <v>17</v>
    <v>4</v>
  </rv>
  <rv s="0">
    <v>18</v>
    <v>4</v>
  </rv>
  <rv s="0">
    <v>19</v>
    <v>4</v>
  </rv>
  <rv s="0">
    <v>20</v>
    <v>4</v>
  </rv>
  <rv s="0">
    <v>21</v>
    <v>4</v>
  </rv>
  <rv s="0">
    <v>22</v>
    <v>4</v>
  </rv>
  <rv s="0">
    <v>23</v>
    <v>4</v>
  </rv>
  <rv s="0">
    <v>24</v>
    <v>4</v>
  </rv>
  <rv s="0">
    <v>25</v>
    <v>4</v>
  </rv>
  <rv s="0">
    <v>26</v>
    <v>4</v>
  </rv>
  <rv s="0">
    <v>27</v>
    <v>4</v>
  </rv>
  <rv s="0">
    <v>28</v>
    <v>4</v>
  </rv>
  <rv s="0">
    <v>29</v>
    <v>4</v>
  </rv>
  <rv s="0">
    <v>30</v>
    <v>4</v>
  </rv>
  <rv s="0">
    <v>31</v>
    <v>4</v>
  </rv>
  <rv s="0">
    <v>32</v>
    <v>4</v>
  </rv>
  <rv s="0">
    <v>33</v>
    <v>4</v>
  </rv>
  <rv s="0">
    <v>34</v>
    <v>4</v>
  </rv>
  <rv s="0">
    <v>35</v>
    <v>4</v>
  </rv>
  <rv s="0">
    <v>36</v>
    <v>4</v>
  </rv>
  <rv s="0">
    <v>37</v>
    <v>4</v>
  </rv>
  <rv s="0">
    <v>38</v>
    <v>4</v>
  </rv>
  <rv s="0">
    <v>39</v>
    <v>4</v>
  </rv>
  <rv s="0">
    <v>40</v>
    <v>4</v>
  </rv>
  <rv s="0">
    <v>41</v>
    <v>4</v>
  </rv>
  <rv s="0">
    <v>42</v>
    <v>4</v>
  </rv>
  <rv s="0">
    <v>43</v>
    <v>4</v>
  </rv>
  <rv s="0">
    <v>44</v>
    <v>4</v>
  </rv>
  <rv s="0">
    <v>45</v>
    <v>4</v>
  </rv>
  <rv s="0">
    <v>46</v>
    <v>4</v>
  </rv>
  <rv s="0">
    <v>47</v>
    <v>4</v>
  </rv>
  <rv s="0">
    <v>48</v>
    <v>4</v>
  </rv>
  <rv s="0">
    <v>49</v>
    <v>4</v>
  </rv>
  <rv s="0">
    <v>50</v>
    <v>4</v>
  </rv>
  <rv s="0">
    <v>51</v>
    <v>4</v>
  </rv>
  <rv s="0">
    <v>52</v>
    <v>4</v>
  </rv>
  <rv s="0">
    <v>53</v>
    <v>4</v>
  </rv>
  <rv s="0">
    <v>54</v>
    <v>4</v>
  </rv>
  <rv s="0">
    <v>55</v>
    <v>4</v>
  </rv>
  <rv s="0">
    <v>56</v>
    <v>4</v>
  </rv>
  <rv s="0">
    <v>57</v>
    <v>4</v>
  </rv>
  <rv s="0">
    <v>58</v>
    <v>4</v>
  </rv>
  <rv s="0">
    <v>59</v>
    <v>4</v>
  </rv>
  <rv s="0">
    <v>60</v>
    <v>4</v>
  </rv>
  <rv s="0">
    <v>61</v>
    <v>4</v>
  </rv>
  <rv s="0">
    <v>62</v>
    <v>4</v>
  </rv>
  <rv s="0">
    <v>63</v>
    <v>4</v>
  </rv>
  <rv s="0">
    <v>64</v>
    <v>4</v>
  </rv>
  <rv s="0">
    <v>65</v>
    <v>4</v>
  </rv>
  <rv s="0">
    <v>66</v>
    <v>4</v>
  </rv>
  <rv s="0">
    <v>67</v>
    <v>4</v>
  </rv>
  <rv s="0">
    <v>68</v>
    <v>4</v>
  </rv>
  <rv s="0">
    <v>69</v>
    <v>4</v>
  </rv>
  <rv s="0">
    <v>70</v>
    <v>4</v>
  </rv>
  <rv s="0">
    <v>71</v>
    <v>4</v>
  </rv>
  <rv s="0">
    <v>72</v>
    <v>4</v>
  </rv>
  <rv s="0">
    <v>73</v>
    <v>4</v>
  </rv>
  <rv s="0">
    <v>74</v>
    <v>4</v>
  </rv>
  <rv s="0">
    <v>75</v>
    <v>4</v>
  </rv>
  <rv s="0">
    <v>76</v>
    <v>4</v>
  </rv>
  <rv s="0">
    <v>77</v>
    <v>4</v>
  </rv>
  <rv s="0">
    <v>78</v>
    <v>4</v>
  </rv>
  <rv s="0">
    <v>79</v>
    <v>4</v>
  </rv>
  <rv s="0">
    <v>80</v>
    <v>4</v>
  </rv>
  <rv s="0">
    <v>81</v>
    <v>4</v>
  </rv>
  <rv s="0">
    <v>82</v>
    <v>4</v>
  </rv>
  <rv s="0">
    <v>83</v>
    <v>4</v>
  </rv>
  <rv s="0">
    <v>84</v>
    <v>4</v>
  </rv>
  <rv s="0">
    <v>85</v>
    <v>4</v>
  </rv>
  <rv s="0">
    <v>86</v>
    <v>4</v>
  </rv>
  <rv s="0">
    <v>87</v>
    <v>4</v>
  </rv>
  <rv s="0">
    <v>88</v>
    <v>4</v>
  </rv>
  <rv s="0">
    <v>89</v>
    <v>4</v>
  </rv>
  <rv s="0">
    <v>90</v>
    <v>4</v>
  </rv>
  <rv s="0">
    <v>91</v>
    <v>4</v>
  </rv>
  <rv s="0">
    <v>92</v>
    <v>4</v>
  </rv>
  <rv s="0">
    <v>93</v>
    <v>4</v>
  </rv>
  <rv s="0">
    <v>94</v>
    <v>4</v>
  </rv>
  <rv s="0">
    <v>95</v>
    <v>4</v>
  </rv>
  <rv s="0">
    <v>96</v>
    <v>4</v>
  </rv>
  <rv s="0">
    <v>97</v>
    <v>4</v>
  </rv>
  <rv s="0">
    <v>98</v>
    <v>4</v>
  </rv>
  <rv s="0">
    <v>99</v>
    <v>4</v>
  </rv>
  <rv s="0">
    <v>100</v>
    <v>4</v>
  </rv>
  <rv s="0">
    <v>101</v>
    <v>4</v>
  </rv>
  <rv s="0">
    <v>102</v>
    <v>4</v>
  </rv>
  <rv s="0">
    <v>103</v>
    <v>4</v>
  </rv>
  <rv s="0">
    <v>104</v>
    <v>4</v>
  </rv>
  <rv s="0">
    <v>105</v>
    <v>4</v>
  </rv>
  <rv s="0">
    <v>106</v>
    <v>4</v>
  </rv>
  <rv s="0">
    <v>107</v>
    <v>4</v>
  </rv>
  <rv s="0">
    <v>108</v>
    <v>4</v>
  </rv>
  <rv s="0">
    <v>109</v>
    <v>4</v>
  </rv>
  <rv s="0">
    <v>110</v>
    <v>4</v>
  </rv>
  <rv s="0">
    <v>111</v>
    <v>4</v>
  </rv>
  <rv s="0">
    <v>112</v>
    <v>4</v>
  </rv>
  <rv s="0">
    <v>113</v>
    <v>4</v>
  </rv>
  <rv s="0">
    <v>114</v>
    <v>4</v>
  </rv>
  <rv s="0">
    <v>115</v>
    <v>4</v>
  </rv>
  <rv s="0">
    <v>116</v>
    <v>4</v>
  </rv>
  <rv s="0">
    <v>117</v>
    <v>4</v>
  </rv>
  <rv s="0">
    <v>118</v>
    <v>4</v>
  </rv>
  <rv s="0">
    <v>119</v>
    <v>4</v>
  </rv>
  <rv s="0">
    <v>120</v>
    <v>4</v>
  </rv>
  <rv s="0">
    <v>121</v>
    <v>4</v>
  </rv>
  <rv s="0">
    <v>122</v>
    <v>4</v>
  </rv>
  <rv s="0">
    <v>123</v>
    <v>4</v>
  </rv>
  <rv s="0">
    <v>124</v>
    <v>4</v>
  </rv>
  <rv s="0">
    <v>125</v>
    <v>4</v>
  </rv>
  <rv s="0">
    <v>126</v>
    <v>4</v>
  </rv>
  <rv s="0">
    <v>127</v>
    <v>4</v>
  </rv>
  <rv s="0">
    <v>128</v>
    <v>4</v>
  </rv>
  <rv s="0">
    <v>129</v>
    <v>4</v>
  </rv>
  <rv s="0">
    <v>130</v>
    <v>4</v>
  </rv>
  <rv s="0">
    <v>131</v>
    <v>4</v>
  </rv>
  <rv s="0">
    <v>132</v>
    <v>4</v>
  </rv>
  <rv s="0">
    <v>133</v>
    <v>4</v>
  </rv>
  <rv s="0">
    <v>134</v>
    <v>4</v>
  </rv>
  <rv s="0">
    <v>135</v>
    <v>4</v>
  </rv>
  <rv s="0">
    <v>136</v>
    <v>4</v>
  </rv>
  <rv s="0">
    <v>137</v>
    <v>4</v>
  </rv>
  <rv s="0">
    <v>138</v>
    <v>4</v>
  </rv>
  <rv s="0">
    <v>139</v>
    <v>4</v>
  </rv>
  <rv s="0">
    <v>140</v>
    <v>4</v>
  </rv>
  <rv s="0">
    <v>141</v>
    <v>4</v>
  </rv>
  <rv s="0">
    <v>142</v>
    <v>4</v>
  </rv>
  <rv s="0">
    <v>143</v>
    <v>4</v>
  </rv>
  <rv s="0">
    <v>144</v>
    <v>4</v>
  </rv>
  <rv s="0">
    <v>145</v>
    <v>4</v>
  </rv>
  <rv s="0">
    <v>146</v>
    <v>4</v>
  </rv>
  <rv s="0">
    <v>147</v>
    <v>4</v>
  </rv>
  <rv s="0">
    <v>148</v>
    <v>4</v>
  </rv>
  <rv s="0">
    <v>149</v>
    <v>4</v>
  </rv>
  <rv s="0">
    <v>150</v>
    <v>4</v>
  </rv>
  <rv s="0">
    <v>151</v>
    <v>4</v>
  </rv>
  <rv s="0">
    <v>152</v>
    <v>4</v>
  </rv>
  <rv s="0">
    <v>153</v>
    <v>4</v>
  </rv>
  <rv s="0">
    <v>154</v>
    <v>4</v>
  </rv>
  <rv s="0">
    <v>155</v>
    <v>4</v>
  </rv>
  <rv s="0">
    <v>156</v>
    <v>4</v>
  </rv>
  <rv s="0">
    <v>157</v>
    <v>4</v>
  </rv>
  <rv s="0">
    <v>158</v>
    <v>4</v>
  </rv>
  <rv s="0">
    <v>159</v>
    <v>4</v>
  </rv>
  <rv s="0">
    <v>160</v>
    <v>4</v>
  </rv>
  <rv s="0">
    <v>161</v>
    <v>4</v>
  </rv>
  <rv s="0">
    <v>162</v>
    <v>4</v>
  </rv>
  <rv s="0">
    <v>163</v>
    <v>4</v>
  </rv>
  <rv s="0">
    <v>164</v>
    <v>4</v>
  </rv>
  <rv s="0">
    <v>165</v>
    <v>4</v>
  </rv>
  <rv s="0">
    <v>166</v>
    <v>4</v>
  </rv>
  <rv s="0">
    <v>167</v>
    <v>4</v>
  </rv>
  <rv s="0">
    <v>168</v>
    <v>4</v>
  </rv>
  <rv s="0">
    <v>169</v>
    <v>4</v>
  </rv>
  <rv s="0">
    <v>170</v>
    <v>4</v>
  </rv>
  <rv s="0">
    <v>171</v>
    <v>4</v>
  </rv>
  <rv s="0">
    <v>172</v>
    <v>4</v>
  </rv>
  <rv s="0">
    <v>173</v>
    <v>4</v>
  </rv>
  <rv s="0">
    <v>174</v>
    <v>4</v>
  </rv>
  <rv s="0">
    <v>175</v>
    <v>4</v>
  </rv>
  <rv s="0">
    <v>176</v>
    <v>4</v>
  </rv>
  <rv s="0">
    <v>177</v>
    <v>4</v>
  </rv>
  <rv s="0">
    <v>178</v>
    <v>4</v>
  </rv>
  <rv s="0">
    <v>179</v>
    <v>4</v>
  </rv>
  <rv s="0">
    <v>180</v>
    <v>4</v>
  </rv>
  <rv s="0">
    <v>181</v>
    <v>4</v>
  </rv>
  <rv s="0">
    <v>182</v>
    <v>4</v>
  </rv>
  <rv s="0">
    <v>183</v>
    <v>4</v>
  </rv>
  <rv s="0">
    <v>184</v>
    <v>4</v>
  </rv>
  <rv s="0">
    <v>185</v>
    <v>4</v>
  </rv>
  <rv s="0">
    <v>186</v>
    <v>4</v>
  </rv>
  <rv s="0">
    <v>187</v>
    <v>4</v>
  </rv>
  <rv s="0">
    <v>188</v>
    <v>4</v>
  </rv>
  <rv s="0">
    <v>189</v>
    <v>4</v>
  </rv>
  <rv s="0">
    <v>190</v>
    <v>4</v>
  </rv>
  <rv s="0">
    <v>191</v>
    <v>4</v>
  </rv>
  <rv s="0">
    <v>192</v>
    <v>4</v>
  </rv>
  <rv s="0">
    <v>193</v>
    <v>4</v>
  </rv>
  <rv s="0">
    <v>194</v>
    <v>4</v>
  </rv>
  <rv s="0">
    <v>195</v>
    <v>4</v>
  </rv>
  <rv s="0">
    <v>196</v>
    <v>4</v>
  </rv>
  <rv s="0">
    <v>197</v>
    <v>4</v>
  </rv>
  <rv s="0">
    <v>198</v>
    <v>4</v>
  </rv>
  <rv s="0">
    <v>199</v>
    <v>4</v>
  </rv>
  <rv s="0">
    <v>200</v>
    <v>4</v>
  </rv>
  <rv s="0">
    <v>201</v>
    <v>4</v>
  </rv>
  <rv s="0">
    <v>202</v>
    <v>4</v>
  </rv>
  <rv s="0">
    <v>203</v>
    <v>4</v>
  </rv>
  <rv s="0">
    <v>204</v>
    <v>4</v>
  </rv>
  <rv s="0">
    <v>205</v>
    <v>4</v>
  </rv>
  <rv s="0">
    <v>206</v>
    <v>4</v>
  </rv>
  <rv s="0">
    <v>207</v>
    <v>4</v>
  </rv>
  <rv s="0">
    <v>208</v>
    <v>4</v>
  </rv>
  <rv s="0">
    <v>209</v>
    <v>4</v>
  </rv>
  <rv s="0">
    <v>210</v>
    <v>4</v>
  </rv>
  <rv s="0">
    <v>211</v>
    <v>4</v>
  </rv>
  <rv s="0">
    <v>212</v>
    <v>4</v>
  </rv>
  <rv s="0">
    <v>213</v>
    <v>4</v>
  </rv>
  <rv s="0">
    <v>214</v>
    <v>4</v>
  </rv>
  <rv s="0">
    <v>215</v>
    <v>4</v>
  </rv>
  <rv s="0">
    <v>216</v>
    <v>4</v>
  </rv>
  <rv s="0">
    <v>217</v>
    <v>4</v>
  </rv>
  <rv s="0">
    <v>218</v>
    <v>4</v>
  </rv>
  <rv s="0">
    <v>219</v>
    <v>4</v>
  </rv>
  <rv s="0">
    <v>220</v>
    <v>4</v>
  </rv>
  <rv s="0">
    <v>221</v>
    <v>4</v>
  </rv>
  <rv s="0">
    <v>222</v>
    <v>4</v>
  </rv>
  <rv s="0">
    <v>223</v>
    <v>4</v>
  </rv>
  <rv s="0">
    <v>224</v>
    <v>4</v>
  </rv>
  <rv s="0">
    <v>225</v>
    <v>4</v>
  </rv>
  <rv s="0">
    <v>226</v>
    <v>4</v>
  </rv>
  <rv s="0">
    <v>227</v>
    <v>4</v>
  </rv>
  <rv s="0">
    <v>228</v>
    <v>4</v>
  </rv>
  <rv s="0">
    <v>229</v>
    <v>4</v>
  </rv>
  <rv s="0">
    <v>230</v>
    <v>4</v>
  </rv>
  <rv s="0">
    <v>231</v>
    <v>4</v>
  </rv>
  <rv s="0">
    <v>232</v>
    <v>4</v>
  </rv>
  <rv s="0">
    <v>233</v>
    <v>4</v>
  </rv>
  <rv s="0">
    <v>234</v>
    <v>4</v>
  </rv>
  <rv s="0">
    <v>235</v>
    <v>4</v>
  </rv>
  <rv s="0">
    <v>236</v>
    <v>4</v>
  </rv>
  <rv s="0">
    <v>237</v>
    <v>4</v>
  </rv>
  <rv s="0">
    <v>238</v>
    <v>4</v>
  </rv>
  <rv s="0">
    <v>239</v>
    <v>4</v>
  </rv>
  <rv s="0">
    <v>240</v>
    <v>4</v>
  </rv>
  <rv s="0">
    <v>241</v>
    <v>4</v>
  </rv>
  <rv s="0">
    <v>242</v>
    <v>4</v>
  </rv>
  <rv s="0">
    <v>243</v>
    <v>4</v>
  </rv>
  <rv s="0">
    <v>244</v>
    <v>4</v>
  </rv>
  <rv s="0">
    <v>245</v>
    <v>4</v>
  </rv>
  <rv s="0">
    <v>246</v>
    <v>4</v>
  </rv>
  <rv s="0">
    <v>247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  <rel r:id="rId153"/>
  <rel r:id="rId154"/>
  <rel r:id="rId155"/>
  <rel r:id="rId156"/>
  <rel r:id="rId157"/>
  <rel r:id="rId158"/>
  <rel r:id="rId159"/>
  <rel r:id="rId160"/>
  <rel r:id="rId161"/>
  <rel r:id="rId162"/>
  <rel r:id="rId163"/>
  <rel r:id="rId164"/>
  <rel r:id="rId165"/>
  <rel r:id="rId166"/>
  <rel r:id="rId167"/>
  <rel r:id="rId168"/>
  <rel r:id="rId169"/>
  <rel r:id="rId170"/>
  <rel r:id="rId171"/>
  <rel r:id="rId172"/>
  <rel r:id="rId173"/>
  <rel r:id="rId174"/>
  <rel r:id="rId175"/>
  <rel r:id="rId176"/>
  <rel r:id="rId177"/>
  <rel r:id="rId178"/>
  <rel r:id="rId179"/>
  <rel r:id="rId180"/>
  <rel r:id="rId181"/>
  <rel r:id="rId182"/>
  <rel r:id="rId183"/>
  <rel r:id="rId184"/>
  <rel r:id="rId185"/>
  <rel r:id="rId186"/>
  <rel r:id="rId187"/>
  <rel r:id="rId188"/>
  <rel r:id="rId189"/>
  <rel r:id="rId190"/>
  <rel r:id="rId191"/>
  <rel r:id="rId192"/>
  <rel r:id="rId193"/>
  <rel r:id="rId194"/>
  <rel r:id="rId195"/>
  <rel r:id="rId196"/>
  <rel r:id="rId197"/>
  <rel r:id="rId198"/>
  <rel r:id="rId199"/>
  <rel r:id="rId200"/>
  <rel r:id="rId201"/>
  <rel r:id="rId202"/>
  <rel r:id="rId203"/>
  <rel r:id="rId204"/>
  <rel r:id="rId205"/>
  <rel r:id="rId206"/>
  <rel r:id="rId207"/>
  <rel r:id="rId208"/>
  <rel r:id="rId209"/>
  <rel r:id="rId210"/>
  <rel r:id="rId211"/>
  <rel r:id="rId212"/>
  <rel r:id="rId213"/>
  <rel r:id="rId214"/>
  <rel r:id="rId215"/>
  <rel r:id="rId216"/>
  <rel r:id="rId217"/>
  <rel r:id="rId218"/>
  <rel r:id="rId219"/>
  <rel r:id="rId220"/>
  <rel r:id="rId221"/>
  <rel r:id="rId222"/>
  <rel r:id="rId223"/>
  <rel r:id="rId224"/>
  <rel r:id="rId225"/>
  <rel r:id="rId226"/>
  <rel r:id="rId227"/>
  <rel r:id="rId228"/>
  <rel r:id="rId229"/>
  <rel r:id="rId230"/>
  <rel r:id="rId231"/>
  <rel r:id="rId232"/>
  <rel r:id="rId233"/>
  <rel r:id="rId234"/>
  <rel r:id="rId235"/>
  <rel r:id="rId236"/>
  <rel r:id="rId237"/>
  <rel r:id="rId238"/>
  <rel r:id="rId239"/>
  <rel r:id="rId240"/>
  <rel r:id="rId241"/>
  <rel r:id="rId242"/>
  <rel r:id="rId243"/>
  <rel r:id="rId244"/>
  <rel r:id="rId245"/>
  <rel r:id="rId246"/>
  <rel r:id="rId247"/>
  <rel r:id="rId248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08CB-B7DF-4FF2-B021-D22CC8BE1CC1}">
  <sheetPr codeName="Sheet1" filterMode="1">
    <tabColor rgb="FFFFFF00"/>
  </sheetPr>
  <dimension ref="A1:T395"/>
  <sheetViews>
    <sheetView showGridLines="0" tabSelected="1" topLeftCell="C219" zoomScale="70" zoomScaleNormal="70" workbookViewId="0">
      <selection activeCell="Q387" sqref="Q387"/>
    </sheetView>
  </sheetViews>
  <sheetFormatPr defaultColWidth="0" defaultRowHeight="30" customHeight="1" zeroHeight="1" x14ac:dyDescent="0.25"/>
  <cols>
    <col min="1" max="1" width="1.42578125" style="2" customWidth="1"/>
    <col min="2" max="2" width="8.5703125" style="2" customWidth="1"/>
    <col min="3" max="3" width="69.42578125" style="2" customWidth="1"/>
    <col min="4" max="4" width="16.5703125" style="2" customWidth="1"/>
    <col min="5" max="5" width="12.42578125" style="1" bestFit="1" customWidth="1"/>
    <col min="6" max="6" width="12.85546875" style="2" customWidth="1"/>
    <col min="7" max="7" width="13.5703125" style="2" customWidth="1"/>
    <col min="8" max="8" width="12.140625" style="2" customWidth="1"/>
    <col min="9" max="15" width="14.28515625" style="2" customWidth="1"/>
    <col min="16" max="16" width="11.85546875" style="2" customWidth="1"/>
    <col min="17" max="17" width="14.140625" style="2" customWidth="1"/>
    <col min="18" max="18" width="1.42578125" style="2" customWidth="1"/>
    <col min="19" max="20" width="0" style="2" hidden="1" customWidth="1"/>
    <col min="21" max="16384" width="9.140625" style="2" hidden="1"/>
  </cols>
  <sheetData>
    <row r="1" spans="2:17" ht="7.5" customHeight="1" x14ac:dyDescent="0.25"/>
    <row r="2" spans="2:17" ht="18.75" customHeight="1" x14ac:dyDescent="0.25">
      <c r="B2" s="12" t="s">
        <v>396</v>
      </c>
      <c r="C2" s="46"/>
      <c r="D2" s="46"/>
      <c r="E2" s="46"/>
      <c r="F2" s="46"/>
      <c r="G2" s="51"/>
      <c r="H2" s="14" t="s">
        <v>0</v>
      </c>
      <c r="I2" s="47"/>
      <c r="J2" s="47"/>
      <c r="K2" s="48"/>
      <c r="L2" s="54" t="s">
        <v>1</v>
      </c>
      <c r="M2" s="55"/>
      <c r="N2" s="47"/>
      <c r="O2" s="47"/>
      <c r="P2" s="47"/>
      <c r="Q2" s="48"/>
    </row>
    <row r="3" spans="2:17" ht="18.75" customHeight="1" x14ac:dyDescent="0.25">
      <c r="B3" s="13" t="s">
        <v>397</v>
      </c>
      <c r="C3" s="18"/>
      <c r="D3" s="12" t="s">
        <v>2</v>
      </c>
      <c r="E3" s="46"/>
      <c r="F3" s="46"/>
      <c r="G3" s="46"/>
      <c r="H3" s="12" t="s">
        <v>3</v>
      </c>
      <c r="I3" s="56"/>
      <c r="J3" s="46"/>
      <c r="K3" s="46"/>
      <c r="L3" s="46"/>
      <c r="M3" s="46"/>
      <c r="N3" s="46"/>
      <c r="O3" s="46"/>
      <c r="P3" s="46"/>
      <c r="Q3" s="51"/>
    </row>
    <row r="4" spans="2:17" ht="18.75" customHeight="1" x14ac:dyDescent="0.25">
      <c r="B4" s="14" t="s">
        <v>398</v>
      </c>
      <c r="C4" s="46"/>
      <c r="D4" s="47"/>
      <c r="E4" s="47"/>
      <c r="F4" s="48"/>
      <c r="G4" s="14" t="s">
        <v>374</v>
      </c>
      <c r="H4" s="49"/>
      <c r="I4" s="49"/>
      <c r="J4" s="49"/>
      <c r="K4" s="50"/>
      <c r="L4" s="30" t="s">
        <v>375</v>
      </c>
      <c r="M4" s="49"/>
      <c r="N4" s="49"/>
      <c r="O4" s="49"/>
      <c r="P4" s="49"/>
      <c r="Q4" s="50"/>
    </row>
    <row r="5" spans="2:17" ht="18.75" customHeight="1" x14ac:dyDescent="0.25">
      <c r="B5" s="12" t="s">
        <v>399</v>
      </c>
      <c r="C5" s="32"/>
      <c r="D5" s="12" t="s">
        <v>376</v>
      </c>
      <c r="E5" s="46"/>
      <c r="F5" s="51"/>
      <c r="G5" s="12" t="s">
        <v>4</v>
      </c>
      <c r="H5" s="46"/>
      <c r="I5" s="46"/>
      <c r="J5" s="46"/>
      <c r="K5" s="51"/>
      <c r="L5" s="15" t="s">
        <v>377</v>
      </c>
      <c r="M5" s="46"/>
      <c r="N5" s="46"/>
      <c r="O5" s="51"/>
      <c r="P5" s="15" t="s">
        <v>378</v>
      </c>
      <c r="Q5" s="21" t="s">
        <v>5</v>
      </c>
    </row>
    <row r="6" spans="2:17" ht="3.75" customHeight="1" x14ac:dyDescent="0.25">
      <c r="B6" s="9"/>
      <c r="I6" s="71"/>
      <c r="J6" s="71"/>
      <c r="K6" s="71"/>
      <c r="L6" s="71"/>
      <c r="M6" s="71"/>
      <c r="N6" s="71"/>
      <c r="O6" s="71"/>
    </row>
    <row r="7" spans="2:17" ht="3.75" customHeight="1" x14ac:dyDescent="0.25">
      <c r="B7" s="9"/>
      <c r="I7" s="72"/>
      <c r="J7" s="72"/>
      <c r="K7" s="72"/>
      <c r="L7" s="72"/>
      <c r="M7" s="72"/>
      <c r="N7" s="72"/>
      <c r="O7" s="72"/>
    </row>
    <row r="8" spans="2:17" ht="15" customHeight="1" x14ac:dyDescent="0.25">
      <c r="B8" s="63" t="e" vm="1">
        <v>#VALUE!</v>
      </c>
      <c r="C8" s="19" t="s">
        <v>325</v>
      </c>
      <c r="D8" s="10" t="s">
        <v>6</v>
      </c>
      <c r="E8" s="65" t="s">
        <v>328</v>
      </c>
      <c r="F8" s="66"/>
      <c r="G8" s="65" t="s">
        <v>326</v>
      </c>
      <c r="H8" s="66"/>
      <c r="I8" s="11" t="s">
        <v>379</v>
      </c>
      <c r="J8" s="11" t="s">
        <v>380</v>
      </c>
      <c r="K8" s="11" t="s">
        <v>381</v>
      </c>
      <c r="L8" s="11" t="s">
        <v>382</v>
      </c>
      <c r="M8" s="11" t="s">
        <v>383</v>
      </c>
      <c r="N8" s="11" t="s">
        <v>384</v>
      </c>
      <c r="O8" s="11" t="s">
        <v>385</v>
      </c>
      <c r="P8" s="52" t="s">
        <v>329</v>
      </c>
      <c r="Q8" s="53"/>
    </row>
    <row r="9" spans="2:17" ht="30" customHeight="1" x14ac:dyDescent="0.25">
      <c r="B9" s="64"/>
      <c r="C9" s="20"/>
      <c r="D9" s="20">
        <f>IFERROR(IF($P$9=0,0,IF($P$9&lt;=29000,1,IF($P$9&lt;=57000,2,IF($P$9&lt;=85000,3,IF($P$9&lt;=113000,4,""))))),"")</f>
        <v>2</v>
      </c>
      <c r="E9" s="69">
        <f>SUM(P30:P386)</f>
        <v>0</v>
      </c>
      <c r="F9" s="70"/>
      <c r="G9" s="67">
        <f>IFERROR(IF(P9=0,0,SUMIF($H$30:$H$386,"&lt;"&amp;0.251,$Q$30:$Q$386)/$P$9),"")</f>
        <v>0.25387896156983109</v>
      </c>
      <c r="H9" s="68"/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58">
        <f>SUM($R:$R)</f>
        <v>55835.819999999985</v>
      </c>
      <c r="Q9" s="59"/>
    </row>
    <row r="10" spans="2:17" ht="7.5" customHeight="1" x14ac:dyDescent="0.25"/>
    <row r="11" spans="2:17" ht="18.75" customHeight="1" x14ac:dyDescent="0.25">
      <c r="B11" s="60" t="str">
        <f>IFERROR(IF($P$9=0,"Preencha seu pedido",IF($G$9&gt;30%,"Você não pode ter mais de 30% do seu pedido com peças que pesam 0.250kg ou menos (perfis leves).",IF($P$9&lt;22000,"Valor mínimo é de 22000 quilos para serem distribuídos em um container",IF(AND($P$9&gt;28000,$P$9&lt;44000),"É necessário um mínimo de 44000 quilos para serem distribuídos em dois containers",IF(AND($P$9&gt;56000,$P$9&lt;66000),"É necerrário um mínimo de 66000 quilos para serem distribuídos em três containers",IF(AND($P$9&gt;84000,$P$9&lt;88000),"É necessário um mínimo de 88000 quilos para serem distribuídos em quatro containers",IF($P$9&gt;112000,"Contate a Alumifont para pedidos acima de 5 containers","Seu pedido esta OK"))))))),"")</f>
        <v>Seu pedido esta OK</v>
      </c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2"/>
    </row>
    <row r="12" spans="2:17" s="1" customFormat="1" ht="15" customHeight="1" x14ac:dyDescent="0.2">
      <c r="C12" s="29" t="s">
        <v>387</v>
      </c>
      <c r="D12" s="29" t="s">
        <v>331</v>
      </c>
      <c r="E12" s="29" t="s">
        <v>332</v>
      </c>
      <c r="F12" s="29" t="s">
        <v>333</v>
      </c>
      <c r="G12" s="29" t="s">
        <v>334</v>
      </c>
      <c r="H12" s="29" t="s">
        <v>335</v>
      </c>
      <c r="I12" s="29" t="s">
        <v>379</v>
      </c>
      <c r="J12" s="29" t="s">
        <v>380</v>
      </c>
      <c r="K12" s="29" t="s">
        <v>381</v>
      </c>
      <c r="L12" s="29" t="s">
        <v>382</v>
      </c>
      <c r="M12" s="29" t="s">
        <v>383</v>
      </c>
      <c r="N12" s="29" t="s">
        <v>384</v>
      </c>
      <c r="O12" s="29" t="s">
        <v>385</v>
      </c>
      <c r="P12" s="29" t="s">
        <v>338</v>
      </c>
    </row>
    <row r="13" spans="2:17" ht="22.5" customHeight="1" x14ac:dyDescent="0.25">
      <c r="B13" s="31" t="s">
        <v>388</v>
      </c>
      <c r="C13" s="25"/>
      <c r="D13" s="4" t="str">
        <f>IFERROR(IF($C$13="","",_xlfn.XLOOKUP($C$13,Catalogue!$A:$A,Catalogue!$B:$B,"Não encontrei",0,1)),"")</f>
        <v/>
      </c>
      <c r="E13" s="4" t="str">
        <f>IFERROR(IF($C$13="","",_xlfn.XLOOKUP($C$13,Catalogue!$A:$A,Catalogue!$C:$C,"Não encontrei",0,1)),"")</f>
        <v/>
      </c>
      <c r="F13" s="4"/>
      <c r="G13" s="4" t="str">
        <f>IFERROR(IF($C$13="","",_xlfn.XLOOKUP($C$13,Catalogue!$A:$A,Catalogue!$E:$E,"Não encontrei",0,1)),"")</f>
        <v/>
      </c>
      <c r="H13" s="7"/>
      <c r="I13" s="4"/>
      <c r="J13" s="4"/>
      <c r="K13" s="4"/>
      <c r="L13" s="4"/>
      <c r="M13" s="4"/>
      <c r="N13" s="4"/>
      <c r="O13" s="4"/>
      <c r="P13" s="4" t="str">
        <f>IFERROR(IF($C$13="","",_xlfn.XLOOKUP($C$13,Catalogue!$A:$A,Catalogue!$G:$G,"Não encontrei",0,1)),"")</f>
        <v/>
      </c>
    </row>
    <row r="14" spans="2:17" ht="7.5" customHeight="1" x14ac:dyDescent="0.25"/>
    <row r="15" spans="2:17" s="1" customFormat="1" ht="30" customHeight="1" x14ac:dyDescent="0.25">
      <c r="B15" s="57" t="s">
        <v>389</v>
      </c>
      <c r="C15" s="57"/>
      <c r="D15" s="57"/>
      <c r="E15" s="57" t="s">
        <v>390</v>
      </c>
      <c r="F15" s="57"/>
      <c r="G15" s="57"/>
      <c r="H15" s="57"/>
      <c r="I15" s="73" t="s">
        <v>391</v>
      </c>
      <c r="J15" s="74"/>
      <c r="K15" s="74"/>
      <c r="L15" s="74"/>
      <c r="M15" s="74"/>
      <c r="N15" s="74"/>
      <c r="O15" s="74"/>
      <c r="P15" s="75" t="s">
        <v>373</v>
      </c>
      <c r="Q15" s="75"/>
    </row>
    <row r="16" spans="2:17" s="3" customFormat="1" ht="30" customHeight="1" x14ac:dyDescent="0.25">
      <c r="B16" s="35" t="s">
        <v>7</v>
      </c>
      <c r="C16" s="35" t="s">
        <v>330</v>
      </c>
      <c r="D16" s="35" t="s">
        <v>331</v>
      </c>
      <c r="E16" s="35" t="s">
        <v>332</v>
      </c>
      <c r="F16" s="35" t="s">
        <v>333</v>
      </c>
      <c r="G16" s="35" t="s">
        <v>334</v>
      </c>
      <c r="H16" s="35" t="s">
        <v>335</v>
      </c>
      <c r="I16" s="40" t="s">
        <v>379</v>
      </c>
      <c r="J16" s="41" t="s">
        <v>392</v>
      </c>
      <c r="K16" s="41" t="s">
        <v>402</v>
      </c>
      <c r="L16" s="44" t="s">
        <v>395</v>
      </c>
      <c r="M16" s="41" t="s">
        <v>393</v>
      </c>
      <c r="N16" s="41" t="s">
        <v>394</v>
      </c>
      <c r="O16" s="44" t="s">
        <v>401</v>
      </c>
      <c r="P16" s="39" t="s">
        <v>338</v>
      </c>
      <c r="Q16" s="35" t="s">
        <v>386</v>
      </c>
    </row>
    <row r="17" spans="2:18" ht="30" hidden="1" customHeight="1" x14ac:dyDescent="0.25">
      <c r="B17" s="17">
        <v>1</v>
      </c>
      <c r="C17" s="5" t="s">
        <v>8</v>
      </c>
      <c r="D17" s="5" t="s">
        <v>355</v>
      </c>
      <c r="E17" s="26" t="e" vm="2">
        <v>#VALUE!</v>
      </c>
      <c r="F17" s="4">
        <v>6000</v>
      </c>
      <c r="G17" s="4" t="s">
        <v>9</v>
      </c>
      <c r="H17" s="7">
        <v>0.11</v>
      </c>
      <c r="I17" s="42"/>
      <c r="J17" s="42"/>
      <c r="K17" s="42"/>
      <c r="L17" s="42"/>
      <c r="M17" s="42"/>
      <c r="N17" s="42"/>
      <c r="O17" s="42"/>
      <c r="P17" s="4"/>
      <c r="Q17" s="27">
        <f t="shared" ref="Q17:Q80" si="0">IFERROR(IF(OR(F17=0,H17=0),"",SUM(I17:O17)*F17*H17/1000),0)</f>
        <v>0</v>
      </c>
      <c r="R17" s="28">
        <f>Q17</f>
        <v>0</v>
      </c>
    </row>
    <row r="18" spans="2:18" ht="30" hidden="1" customHeight="1" x14ac:dyDescent="0.25">
      <c r="B18" s="17">
        <v>2</v>
      </c>
      <c r="C18" s="5" t="s">
        <v>10</v>
      </c>
      <c r="D18" s="5" t="s">
        <v>356</v>
      </c>
      <c r="E18" s="4" t="e" vm="3">
        <v>#VALUE!</v>
      </c>
      <c r="F18" s="4">
        <v>6000</v>
      </c>
      <c r="G18" s="4" t="s">
        <v>9</v>
      </c>
      <c r="H18" s="7">
        <v>0.221</v>
      </c>
      <c r="I18" s="42"/>
      <c r="J18" s="42"/>
      <c r="K18" s="42"/>
      <c r="L18" s="42"/>
      <c r="M18" s="42"/>
      <c r="N18" s="42"/>
      <c r="O18" s="42"/>
      <c r="P18" s="4"/>
      <c r="Q18" s="27">
        <f t="shared" si="0"/>
        <v>0</v>
      </c>
      <c r="R18" s="28">
        <f t="shared" ref="R18:R81" si="1">Q18</f>
        <v>0</v>
      </c>
    </row>
    <row r="19" spans="2:18" ht="30" hidden="1" customHeight="1" x14ac:dyDescent="0.25">
      <c r="B19" s="17">
        <v>3</v>
      </c>
      <c r="C19" s="5" t="s">
        <v>11</v>
      </c>
      <c r="D19" s="5" t="s">
        <v>12</v>
      </c>
      <c r="E19" s="4" t="e" vm="4">
        <v>#VALUE!</v>
      </c>
      <c r="F19" s="4">
        <v>6000</v>
      </c>
      <c r="G19" s="4" t="s">
        <v>9</v>
      </c>
      <c r="H19" s="7">
        <v>0.06</v>
      </c>
      <c r="I19" s="42"/>
      <c r="J19" s="42"/>
      <c r="K19" s="42"/>
      <c r="L19" s="42"/>
      <c r="M19" s="42"/>
      <c r="N19" s="42"/>
      <c r="O19" s="42"/>
      <c r="P19" s="4"/>
      <c r="Q19" s="27">
        <f t="shared" si="0"/>
        <v>0</v>
      </c>
      <c r="R19" s="28">
        <f t="shared" si="1"/>
        <v>0</v>
      </c>
    </row>
    <row r="20" spans="2:18" ht="30" customHeight="1" x14ac:dyDescent="0.25">
      <c r="B20" s="17">
        <v>4</v>
      </c>
      <c r="C20" s="5" t="s">
        <v>13</v>
      </c>
      <c r="D20" s="5" t="s">
        <v>357</v>
      </c>
      <c r="E20" s="4" t="e" vm="4">
        <v>#VALUE!</v>
      </c>
      <c r="F20" s="4">
        <v>6000</v>
      </c>
      <c r="G20" s="4" t="s">
        <v>9</v>
      </c>
      <c r="H20" s="7">
        <v>9.0999999999999998E-2</v>
      </c>
      <c r="I20" s="42"/>
      <c r="J20" s="42">
        <v>50</v>
      </c>
      <c r="K20" s="42">
        <v>100</v>
      </c>
      <c r="L20" s="42"/>
      <c r="M20" s="42"/>
      <c r="N20" s="42"/>
      <c r="O20" s="42"/>
      <c r="P20" s="4"/>
      <c r="Q20" s="27">
        <f t="shared" si="0"/>
        <v>81.900000000000006</v>
      </c>
      <c r="R20" s="28">
        <f t="shared" si="1"/>
        <v>81.900000000000006</v>
      </c>
    </row>
    <row r="21" spans="2:18" ht="30" customHeight="1" x14ac:dyDescent="0.25">
      <c r="B21" s="17">
        <v>5</v>
      </c>
      <c r="C21" s="5" t="s">
        <v>14</v>
      </c>
      <c r="D21" s="5" t="s">
        <v>15</v>
      </c>
      <c r="E21" s="4" t="e" vm="4">
        <v>#VALUE!</v>
      </c>
      <c r="F21" s="4">
        <v>6000</v>
      </c>
      <c r="G21" s="4" t="s">
        <v>9</v>
      </c>
      <c r="H21" s="7">
        <v>0.10299999999999999</v>
      </c>
      <c r="I21" s="42"/>
      <c r="J21" s="42">
        <v>80</v>
      </c>
      <c r="K21" s="42">
        <v>80</v>
      </c>
      <c r="L21" s="42"/>
      <c r="M21" s="42">
        <v>80</v>
      </c>
      <c r="N21" s="42"/>
      <c r="O21" s="42"/>
      <c r="P21" s="4"/>
      <c r="Q21" s="27">
        <f t="shared" si="0"/>
        <v>148.32</v>
      </c>
      <c r="R21" s="28">
        <f t="shared" si="1"/>
        <v>148.32</v>
      </c>
    </row>
    <row r="22" spans="2:18" ht="30" hidden="1" customHeight="1" x14ac:dyDescent="0.25">
      <c r="B22" s="17">
        <v>6</v>
      </c>
      <c r="C22" s="5" t="s">
        <v>16</v>
      </c>
      <c r="D22" s="5" t="s">
        <v>17</v>
      </c>
      <c r="E22" s="4" t="e" vm="4">
        <v>#VALUE!</v>
      </c>
      <c r="F22" s="4">
        <v>6000</v>
      </c>
      <c r="G22" s="4" t="s">
        <v>9</v>
      </c>
      <c r="H22" s="7">
        <v>0.125</v>
      </c>
      <c r="I22" s="42"/>
      <c r="J22" s="42"/>
      <c r="K22" s="42"/>
      <c r="L22" s="42"/>
      <c r="M22" s="42"/>
      <c r="N22" s="42"/>
      <c r="O22" s="42"/>
      <c r="P22" s="4"/>
      <c r="Q22" s="27">
        <f t="shared" si="0"/>
        <v>0</v>
      </c>
      <c r="R22" s="28">
        <f t="shared" si="1"/>
        <v>0</v>
      </c>
    </row>
    <row r="23" spans="2:18" ht="30" hidden="1" customHeight="1" x14ac:dyDescent="0.25">
      <c r="B23" s="17">
        <v>7</v>
      </c>
      <c r="C23" s="5" t="s">
        <v>18</v>
      </c>
      <c r="D23" s="5" t="s">
        <v>19</v>
      </c>
      <c r="E23" s="4" t="e" vm="4">
        <v>#VALUE!</v>
      </c>
      <c r="F23" s="4">
        <v>6000</v>
      </c>
      <c r="G23" s="4" t="s">
        <v>9</v>
      </c>
      <c r="H23" s="7">
        <v>0.16400000000000001</v>
      </c>
      <c r="I23" s="42"/>
      <c r="J23" s="42"/>
      <c r="K23" s="42"/>
      <c r="L23" s="42"/>
      <c r="M23" s="42"/>
      <c r="N23" s="42"/>
      <c r="O23" s="42"/>
      <c r="P23" s="4"/>
      <c r="Q23" s="27">
        <f t="shared" si="0"/>
        <v>0</v>
      </c>
      <c r="R23" s="28">
        <f t="shared" si="1"/>
        <v>0</v>
      </c>
    </row>
    <row r="24" spans="2:18" ht="30" hidden="1" customHeight="1" x14ac:dyDescent="0.25">
      <c r="B24" s="17">
        <v>8</v>
      </c>
      <c r="C24" s="5" t="s">
        <v>20</v>
      </c>
      <c r="D24" s="38" t="s">
        <v>21</v>
      </c>
      <c r="E24" s="4" t="e" vm="4">
        <v>#VALUE!</v>
      </c>
      <c r="F24" s="4">
        <v>6000</v>
      </c>
      <c r="G24" s="4" t="s">
        <v>9</v>
      </c>
      <c r="H24" s="7"/>
      <c r="I24" s="42"/>
      <c r="J24" s="42"/>
      <c r="K24" s="42"/>
      <c r="L24" s="42"/>
      <c r="M24" s="42"/>
      <c r="N24" s="42"/>
      <c r="O24" s="42"/>
      <c r="P24" s="4"/>
      <c r="Q24" s="27" t="str">
        <f t="shared" si="0"/>
        <v/>
      </c>
      <c r="R24" s="28" t="str">
        <f t="shared" si="1"/>
        <v/>
      </c>
    </row>
    <row r="25" spans="2:18" ht="30" customHeight="1" x14ac:dyDescent="0.25">
      <c r="B25" s="17">
        <v>9</v>
      </c>
      <c r="C25" s="5" t="s">
        <v>22</v>
      </c>
      <c r="D25" s="5" t="s">
        <v>23</v>
      </c>
      <c r="E25" s="4" t="e" vm="4">
        <v>#VALUE!</v>
      </c>
      <c r="F25" s="4">
        <v>6000</v>
      </c>
      <c r="G25" s="4" t="s">
        <v>9</v>
      </c>
      <c r="H25" s="7">
        <v>0.16900000000000001</v>
      </c>
      <c r="I25" s="42"/>
      <c r="J25" s="42"/>
      <c r="K25" s="42">
        <v>200</v>
      </c>
      <c r="L25" s="42"/>
      <c r="M25" s="42"/>
      <c r="N25" s="42"/>
      <c r="O25" s="42"/>
      <c r="P25" s="4"/>
      <c r="Q25" s="27">
        <f t="shared" si="0"/>
        <v>202.8</v>
      </c>
      <c r="R25" s="28">
        <f t="shared" si="1"/>
        <v>202.8</v>
      </c>
    </row>
    <row r="26" spans="2:18" ht="30" hidden="1" customHeight="1" x14ac:dyDescent="0.25">
      <c r="B26" s="17">
        <v>10</v>
      </c>
      <c r="C26" s="5" t="s">
        <v>24</v>
      </c>
      <c r="D26" s="38" t="s">
        <v>347</v>
      </c>
      <c r="E26" s="4" t="e" vm="4">
        <v>#VALUE!</v>
      </c>
      <c r="F26" s="4">
        <v>6000</v>
      </c>
      <c r="G26" s="4" t="s">
        <v>9</v>
      </c>
      <c r="H26" s="7"/>
      <c r="I26" s="42"/>
      <c r="J26" s="42"/>
      <c r="K26" s="42"/>
      <c r="L26" s="42"/>
      <c r="M26" s="42"/>
      <c r="N26" s="42"/>
      <c r="O26" s="42"/>
      <c r="P26" s="4"/>
      <c r="Q26" s="27" t="str">
        <f t="shared" si="0"/>
        <v/>
      </c>
      <c r="R26" s="28" t="str">
        <f t="shared" si="1"/>
        <v/>
      </c>
    </row>
    <row r="27" spans="2:18" ht="30" hidden="1" customHeight="1" x14ac:dyDescent="0.25">
      <c r="B27" s="17">
        <v>11</v>
      </c>
      <c r="C27" s="5" t="s">
        <v>25</v>
      </c>
      <c r="D27" s="5" t="s">
        <v>26</v>
      </c>
      <c r="E27" s="4" t="e" vm="4">
        <v>#VALUE!</v>
      </c>
      <c r="F27" s="4">
        <v>6000</v>
      </c>
      <c r="G27" s="4" t="s">
        <v>9</v>
      </c>
      <c r="H27" s="7">
        <v>0.26400000000000001</v>
      </c>
      <c r="I27" s="42"/>
      <c r="J27" s="42"/>
      <c r="K27" s="42"/>
      <c r="L27" s="42"/>
      <c r="M27" s="42"/>
      <c r="N27" s="42"/>
      <c r="O27" s="42"/>
      <c r="P27" s="4"/>
      <c r="Q27" s="27">
        <f t="shared" si="0"/>
        <v>0</v>
      </c>
      <c r="R27" s="28">
        <f t="shared" si="1"/>
        <v>0</v>
      </c>
    </row>
    <row r="28" spans="2:18" ht="30" hidden="1" customHeight="1" x14ac:dyDescent="0.25">
      <c r="B28" s="17">
        <v>12</v>
      </c>
      <c r="C28" s="5" t="s">
        <v>27</v>
      </c>
      <c r="D28" s="5" t="s">
        <v>28</v>
      </c>
      <c r="E28" s="4" t="e" vm="4">
        <v>#VALUE!</v>
      </c>
      <c r="F28" s="4">
        <v>6000</v>
      </c>
      <c r="G28" s="4" t="s">
        <v>9</v>
      </c>
      <c r="H28" s="7">
        <v>0.318</v>
      </c>
      <c r="I28" s="42"/>
      <c r="J28" s="42"/>
      <c r="K28" s="42"/>
      <c r="L28" s="42"/>
      <c r="M28" s="42"/>
      <c r="N28" s="42"/>
      <c r="O28" s="42"/>
      <c r="P28" s="4"/>
      <c r="Q28" s="27">
        <f t="shared" si="0"/>
        <v>0</v>
      </c>
      <c r="R28" s="28">
        <f t="shared" si="1"/>
        <v>0</v>
      </c>
    </row>
    <row r="29" spans="2:18" ht="30" customHeight="1" x14ac:dyDescent="0.25">
      <c r="B29" s="17">
        <v>13</v>
      </c>
      <c r="C29" s="5" t="s">
        <v>29</v>
      </c>
      <c r="D29" s="5" t="s">
        <v>30</v>
      </c>
      <c r="E29" s="4" t="e" vm="4">
        <v>#VALUE!</v>
      </c>
      <c r="F29" s="4">
        <v>6000</v>
      </c>
      <c r="G29" s="4" t="s">
        <v>9</v>
      </c>
      <c r="H29" s="7">
        <v>0.40600000000000003</v>
      </c>
      <c r="I29" s="42"/>
      <c r="J29" s="42">
        <v>50</v>
      </c>
      <c r="K29" s="42"/>
      <c r="L29" s="42"/>
      <c r="M29" s="42"/>
      <c r="N29" s="42"/>
      <c r="O29" s="42"/>
      <c r="P29" s="4"/>
      <c r="Q29" s="27">
        <f t="shared" si="0"/>
        <v>121.80000000000001</v>
      </c>
      <c r="R29" s="28">
        <f t="shared" si="1"/>
        <v>121.80000000000001</v>
      </c>
    </row>
    <row r="30" spans="2:18" ht="30" hidden="1" customHeight="1" x14ac:dyDescent="0.25">
      <c r="B30" s="17">
        <v>14</v>
      </c>
      <c r="C30" s="5" t="s">
        <v>31</v>
      </c>
      <c r="D30" s="5" t="s">
        <v>32</v>
      </c>
      <c r="E30" s="4" t="e" vm="4">
        <v>#VALUE!</v>
      </c>
      <c r="F30" s="4">
        <v>6000</v>
      </c>
      <c r="G30" s="4" t="s">
        <v>9</v>
      </c>
      <c r="H30" s="7">
        <v>0.81599999999999995</v>
      </c>
      <c r="I30" s="42"/>
      <c r="J30" s="42"/>
      <c r="K30" s="42"/>
      <c r="L30" s="42"/>
      <c r="M30" s="42"/>
      <c r="N30" s="42"/>
      <c r="O30" s="42"/>
      <c r="P30" s="4"/>
      <c r="Q30" s="27">
        <f t="shared" si="0"/>
        <v>0</v>
      </c>
      <c r="R30" s="28">
        <f t="shared" si="1"/>
        <v>0</v>
      </c>
    </row>
    <row r="31" spans="2:18" ht="30" hidden="1" customHeight="1" x14ac:dyDescent="0.25">
      <c r="B31" s="17">
        <v>15</v>
      </c>
      <c r="C31" s="5" t="s">
        <v>400</v>
      </c>
      <c r="D31" s="5"/>
      <c r="E31" s="4"/>
      <c r="F31" s="4"/>
      <c r="G31" s="4"/>
      <c r="H31" s="7"/>
      <c r="I31" s="42"/>
      <c r="J31" s="42"/>
      <c r="K31" s="42"/>
      <c r="L31" s="42"/>
      <c r="M31" s="42"/>
      <c r="N31" s="42"/>
      <c r="O31" s="42"/>
      <c r="P31" s="4"/>
      <c r="Q31" s="27" t="str">
        <f t="shared" si="0"/>
        <v/>
      </c>
      <c r="R31" s="28" t="str">
        <f t="shared" si="1"/>
        <v/>
      </c>
    </row>
    <row r="32" spans="2:18" ht="30" hidden="1" customHeight="1" x14ac:dyDescent="0.25">
      <c r="B32" s="17">
        <v>16</v>
      </c>
      <c r="C32" s="5" t="s">
        <v>33</v>
      </c>
      <c r="D32" s="5" t="s">
        <v>34</v>
      </c>
      <c r="E32" s="4" t="e" vm="5">
        <v>#VALUE!</v>
      </c>
      <c r="F32" s="4">
        <v>6000</v>
      </c>
      <c r="G32" s="4" t="s">
        <v>9</v>
      </c>
      <c r="H32" s="7">
        <v>0.17799999999999999</v>
      </c>
      <c r="I32" s="42"/>
      <c r="J32" s="42"/>
      <c r="K32" s="42"/>
      <c r="L32" s="42"/>
      <c r="M32" s="42"/>
      <c r="N32" s="42"/>
      <c r="O32" s="42"/>
      <c r="P32" s="4"/>
      <c r="Q32" s="27">
        <f t="shared" si="0"/>
        <v>0</v>
      </c>
      <c r="R32" s="28">
        <f t="shared" si="1"/>
        <v>0</v>
      </c>
    </row>
    <row r="33" spans="2:18" ht="30" customHeight="1" x14ac:dyDescent="0.25">
      <c r="B33" s="17">
        <v>17</v>
      </c>
      <c r="C33" s="5" t="s">
        <v>35</v>
      </c>
      <c r="D33" s="5" t="s">
        <v>358</v>
      </c>
      <c r="E33" s="4" t="e" vm="5">
        <v>#VALUE!</v>
      </c>
      <c r="F33" s="4">
        <v>6000</v>
      </c>
      <c r="G33" s="4" t="s">
        <v>9</v>
      </c>
      <c r="H33" s="7">
        <v>0.215</v>
      </c>
      <c r="I33" s="42"/>
      <c r="J33" s="42">
        <v>100</v>
      </c>
      <c r="K33" s="42">
        <v>500</v>
      </c>
      <c r="L33" s="42"/>
      <c r="M33" s="42"/>
      <c r="N33" s="42"/>
      <c r="O33" s="42"/>
      <c r="P33" s="4"/>
      <c r="Q33" s="27">
        <f t="shared" si="0"/>
        <v>774</v>
      </c>
      <c r="R33" s="28">
        <f t="shared" si="1"/>
        <v>774</v>
      </c>
    </row>
    <row r="34" spans="2:18" ht="30" customHeight="1" x14ac:dyDescent="0.25">
      <c r="B34" s="17">
        <v>18</v>
      </c>
      <c r="C34" s="5" t="s">
        <v>36</v>
      </c>
      <c r="D34" s="5" t="s">
        <v>359</v>
      </c>
      <c r="E34" s="4" t="e" vm="5">
        <v>#VALUE!</v>
      </c>
      <c r="F34" s="4">
        <v>6000</v>
      </c>
      <c r="G34" s="4" t="s">
        <v>9</v>
      </c>
      <c r="H34" s="7">
        <v>0.32600000000000001</v>
      </c>
      <c r="I34" s="42"/>
      <c r="J34" s="42">
        <v>100</v>
      </c>
      <c r="K34" s="42"/>
      <c r="L34" s="42"/>
      <c r="M34" s="42"/>
      <c r="N34" s="42"/>
      <c r="O34" s="42"/>
      <c r="P34" s="4"/>
      <c r="Q34" s="27">
        <f t="shared" si="0"/>
        <v>195.6</v>
      </c>
      <c r="R34" s="28">
        <f t="shared" si="1"/>
        <v>195.6</v>
      </c>
    </row>
    <row r="35" spans="2:18" ht="30" customHeight="1" x14ac:dyDescent="0.25">
      <c r="B35" s="17">
        <v>19</v>
      </c>
      <c r="C35" s="5" t="s">
        <v>403</v>
      </c>
      <c r="D35" s="5" t="s">
        <v>37</v>
      </c>
      <c r="E35" s="4" t="e" vm="5">
        <v>#VALUE!</v>
      </c>
      <c r="F35" s="4">
        <v>6000</v>
      </c>
      <c r="G35" s="4" t="s">
        <v>9</v>
      </c>
      <c r="H35" s="7">
        <v>0.49</v>
      </c>
      <c r="I35" s="42"/>
      <c r="J35" s="42"/>
      <c r="K35" s="42">
        <v>200</v>
      </c>
      <c r="L35" s="42"/>
      <c r="M35" s="42"/>
      <c r="N35" s="42"/>
      <c r="O35" s="42"/>
      <c r="P35" s="4"/>
      <c r="Q35" s="27">
        <f t="shared" si="0"/>
        <v>588</v>
      </c>
      <c r="R35" s="28">
        <f t="shared" si="1"/>
        <v>588</v>
      </c>
    </row>
    <row r="36" spans="2:18" ht="30" hidden="1" customHeight="1" x14ac:dyDescent="0.25">
      <c r="B36" s="17">
        <v>20</v>
      </c>
      <c r="C36" s="5" t="s">
        <v>38</v>
      </c>
      <c r="D36" s="5" t="s">
        <v>39</v>
      </c>
      <c r="E36" s="4" t="e" vm="5">
        <v>#VALUE!</v>
      </c>
      <c r="F36" s="4">
        <v>6000</v>
      </c>
      <c r="G36" s="4" t="s">
        <v>9</v>
      </c>
      <c r="H36" s="7">
        <v>0.51700000000000002</v>
      </c>
      <c r="I36" s="42"/>
      <c r="J36" s="42"/>
      <c r="K36" s="42"/>
      <c r="L36" s="42"/>
      <c r="M36" s="42"/>
      <c r="N36" s="42"/>
      <c r="O36" s="42"/>
      <c r="P36" s="4"/>
      <c r="Q36" s="27">
        <f t="shared" si="0"/>
        <v>0</v>
      </c>
      <c r="R36" s="28">
        <f t="shared" si="1"/>
        <v>0</v>
      </c>
    </row>
    <row r="37" spans="2:18" ht="30" hidden="1" customHeight="1" x14ac:dyDescent="0.25">
      <c r="B37" s="17">
        <v>21</v>
      </c>
      <c r="C37" s="5" t="s">
        <v>40</v>
      </c>
      <c r="D37" s="5" t="s">
        <v>41</v>
      </c>
      <c r="E37" s="4" t="e" vm="5">
        <v>#VALUE!</v>
      </c>
      <c r="F37" s="4">
        <v>6000</v>
      </c>
      <c r="G37" s="4" t="s">
        <v>9</v>
      </c>
      <c r="H37" s="7">
        <v>0.59699999999999998</v>
      </c>
      <c r="I37" s="42"/>
      <c r="J37" s="42"/>
      <c r="K37" s="42"/>
      <c r="L37" s="42"/>
      <c r="M37" s="42"/>
      <c r="N37" s="42"/>
      <c r="O37" s="42"/>
      <c r="P37" s="4"/>
      <c r="Q37" s="27">
        <f t="shared" si="0"/>
        <v>0</v>
      </c>
      <c r="R37" s="28">
        <f t="shared" si="1"/>
        <v>0</v>
      </c>
    </row>
    <row r="38" spans="2:18" ht="30" hidden="1" customHeight="1" x14ac:dyDescent="0.25">
      <c r="B38" s="17">
        <v>22</v>
      </c>
      <c r="C38" s="5" t="s">
        <v>42</v>
      </c>
      <c r="D38" s="5" t="s">
        <v>43</v>
      </c>
      <c r="E38" s="4" t="e" vm="5">
        <v>#VALUE!</v>
      </c>
      <c r="F38" s="4">
        <v>6000</v>
      </c>
      <c r="G38" s="4" t="s">
        <v>9</v>
      </c>
      <c r="H38" s="7">
        <v>0.90200000000000002</v>
      </c>
      <c r="I38" s="42"/>
      <c r="J38" s="42"/>
      <c r="K38" s="42"/>
      <c r="L38" s="42"/>
      <c r="M38" s="42"/>
      <c r="N38" s="42"/>
      <c r="O38" s="42"/>
      <c r="P38" s="4"/>
      <c r="Q38" s="27">
        <f t="shared" si="0"/>
        <v>0</v>
      </c>
      <c r="R38" s="28">
        <f t="shared" si="1"/>
        <v>0</v>
      </c>
    </row>
    <row r="39" spans="2:18" ht="30" hidden="1" customHeight="1" x14ac:dyDescent="0.25">
      <c r="B39" s="17">
        <v>23</v>
      </c>
      <c r="C39" s="5" t="s">
        <v>44</v>
      </c>
      <c r="D39" s="5" t="s">
        <v>45</v>
      </c>
      <c r="E39" s="4" t="e" vm="5">
        <v>#VALUE!</v>
      </c>
      <c r="F39" s="4">
        <v>6000</v>
      </c>
      <c r="G39" s="4" t="s">
        <v>9</v>
      </c>
      <c r="H39" s="7">
        <v>1.4239999999999999</v>
      </c>
      <c r="I39" s="42"/>
      <c r="J39" s="42"/>
      <c r="K39" s="42"/>
      <c r="L39" s="42"/>
      <c r="M39" s="42"/>
      <c r="N39" s="42"/>
      <c r="O39" s="42"/>
      <c r="P39" s="4"/>
      <c r="Q39" s="27">
        <f t="shared" si="0"/>
        <v>0</v>
      </c>
      <c r="R39" s="28">
        <f t="shared" si="1"/>
        <v>0</v>
      </c>
    </row>
    <row r="40" spans="2:18" ht="30" hidden="1" customHeight="1" x14ac:dyDescent="0.25">
      <c r="B40" s="17">
        <v>24</v>
      </c>
      <c r="C40" s="5" t="s">
        <v>46</v>
      </c>
      <c r="D40" s="5" t="s">
        <v>368</v>
      </c>
      <c r="E40" s="4" t="e" vm="6">
        <v>#VALUE!</v>
      </c>
      <c r="F40" s="4">
        <v>6000</v>
      </c>
      <c r="G40" s="4" t="s">
        <v>9</v>
      </c>
      <c r="H40" s="7">
        <v>0.159</v>
      </c>
      <c r="I40" s="42"/>
      <c r="J40" s="42"/>
      <c r="K40" s="42"/>
      <c r="L40" s="42"/>
      <c r="M40" s="42"/>
      <c r="N40" s="42"/>
      <c r="O40" s="42"/>
      <c r="P40" s="4"/>
      <c r="Q40" s="27">
        <f t="shared" si="0"/>
        <v>0</v>
      </c>
      <c r="R40" s="28">
        <f t="shared" si="1"/>
        <v>0</v>
      </c>
    </row>
    <row r="41" spans="2:18" ht="30" customHeight="1" x14ac:dyDescent="0.25">
      <c r="B41" s="17">
        <v>25</v>
      </c>
      <c r="C41" s="5" t="s">
        <v>47</v>
      </c>
      <c r="D41" s="5" t="s">
        <v>48</v>
      </c>
      <c r="E41" s="4" t="e" vm="7">
        <v>#VALUE!</v>
      </c>
      <c r="F41" s="4">
        <v>6000</v>
      </c>
      <c r="G41" s="4" t="s">
        <v>9</v>
      </c>
      <c r="H41" s="7">
        <v>0.27</v>
      </c>
      <c r="I41" s="42"/>
      <c r="J41" s="42">
        <v>100</v>
      </c>
      <c r="K41" s="42"/>
      <c r="L41" s="42"/>
      <c r="M41" s="42">
        <v>100</v>
      </c>
      <c r="N41" s="42"/>
      <c r="O41" s="42"/>
      <c r="P41" s="4"/>
      <c r="Q41" s="27">
        <f t="shared" si="0"/>
        <v>324</v>
      </c>
      <c r="R41" s="28">
        <f t="shared" si="1"/>
        <v>324</v>
      </c>
    </row>
    <row r="42" spans="2:18" ht="30" hidden="1" customHeight="1" x14ac:dyDescent="0.25">
      <c r="B42" s="17">
        <v>26</v>
      </c>
      <c r="C42" s="5" t="s">
        <v>49</v>
      </c>
      <c r="D42" s="5" t="s">
        <v>50</v>
      </c>
      <c r="E42" s="4" t="e" vm="7">
        <v>#VALUE!</v>
      </c>
      <c r="F42" s="4">
        <v>6000</v>
      </c>
      <c r="G42" s="4" t="s">
        <v>9</v>
      </c>
      <c r="H42" s="7">
        <v>0.30299999999999999</v>
      </c>
      <c r="I42" s="42"/>
      <c r="J42" s="42"/>
      <c r="K42" s="42"/>
      <c r="L42" s="42"/>
      <c r="M42" s="42"/>
      <c r="N42" s="42"/>
      <c r="O42" s="42"/>
      <c r="P42" s="4"/>
      <c r="Q42" s="27">
        <f t="shared" si="0"/>
        <v>0</v>
      </c>
      <c r="R42" s="28">
        <f t="shared" si="1"/>
        <v>0</v>
      </c>
    </row>
    <row r="43" spans="2:18" ht="30" customHeight="1" x14ac:dyDescent="0.25">
      <c r="B43" s="17">
        <v>27</v>
      </c>
      <c r="C43" s="5" t="s">
        <v>51</v>
      </c>
      <c r="D43" s="5" t="s">
        <v>52</v>
      </c>
      <c r="E43" s="4" t="e" vm="6">
        <v>#VALUE!</v>
      </c>
      <c r="F43" s="4">
        <v>6000</v>
      </c>
      <c r="G43" s="4" t="s">
        <v>9</v>
      </c>
      <c r="H43" s="7">
        <v>0.28599999999999998</v>
      </c>
      <c r="I43" s="42"/>
      <c r="J43" s="42">
        <v>300</v>
      </c>
      <c r="K43" s="42">
        <v>1800</v>
      </c>
      <c r="L43" s="42"/>
      <c r="M43" s="42">
        <v>100</v>
      </c>
      <c r="N43" s="42"/>
      <c r="O43" s="42"/>
      <c r="P43" s="4"/>
      <c r="Q43" s="27">
        <f t="shared" si="0"/>
        <v>3775.1999999999994</v>
      </c>
      <c r="R43" s="28">
        <f t="shared" si="1"/>
        <v>3775.1999999999994</v>
      </c>
    </row>
    <row r="44" spans="2:18" ht="30" hidden="1" customHeight="1" x14ac:dyDescent="0.25">
      <c r="B44" s="17">
        <v>28</v>
      </c>
      <c r="C44" s="5" t="s">
        <v>53</v>
      </c>
      <c r="D44" s="5" t="s">
        <v>54</v>
      </c>
      <c r="E44" s="4" t="e" vm="6">
        <v>#VALUE!</v>
      </c>
      <c r="F44" s="4">
        <v>6000</v>
      </c>
      <c r="G44" s="4" t="s">
        <v>9</v>
      </c>
      <c r="H44" s="7">
        <v>0.32600000000000001</v>
      </c>
      <c r="I44" s="42"/>
      <c r="J44" s="42"/>
      <c r="K44" s="42"/>
      <c r="L44" s="42"/>
      <c r="M44" s="42"/>
      <c r="N44" s="42"/>
      <c r="O44" s="42"/>
      <c r="P44" s="4"/>
      <c r="Q44" s="27">
        <f t="shared" si="0"/>
        <v>0</v>
      </c>
      <c r="R44" s="28">
        <f t="shared" si="1"/>
        <v>0</v>
      </c>
    </row>
    <row r="45" spans="2:18" ht="30" customHeight="1" x14ac:dyDescent="0.25">
      <c r="B45" s="17">
        <v>29</v>
      </c>
      <c r="C45" s="5" t="s">
        <v>55</v>
      </c>
      <c r="D45" s="5" t="s">
        <v>369</v>
      </c>
      <c r="E45" s="4" t="e" vm="8">
        <v>#VALUE!</v>
      </c>
      <c r="F45" s="4">
        <v>6000</v>
      </c>
      <c r="G45" s="4" t="s">
        <v>9</v>
      </c>
      <c r="H45" s="7">
        <v>0.42799999999999999</v>
      </c>
      <c r="I45" s="42"/>
      <c r="J45" s="42">
        <v>80</v>
      </c>
      <c r="K45" s="42">
        <v>200</v>
      </c>
      <c r="L45" s="42"/>
      <c r="M45" s="42">
        <v>80</v>
      </c>
      <c r="N45" s="42"/>
      <c r="O45" s="42"/>
      <c r="P45" s="4"/>
      <c r="Q45" s="27">
        <f t="shared" si="0"/>
        <v>924.48</v>
      </c>
      <c r="R45" s="28">
        <f t="shared" si="1"/>
        <v>924.48</v>
      </c>
    </row>
    <row r="46" spans="2:18" ht="30" customHeight="1" x14ac:dyDescent="0.25">
      <c r="B46" s="17">
        <v>30</v>
      </c>
      <c r="C46" s="5" t="s">
        <v>56</v>
      </c>
      <c r="D46" s="5" t="s">
        <v>360</v>
      </c>
      <c r="E46" s="4" t="e" vm="6">
        <v>#VALUE!</v>
      </c>
      <c r="F46" s="4">
        <v>6000</v>
      </c>
      <c r="G46" s="4" t="s">
        <v>9</v>
      </c>
      <c r="H46" s="7">
        <v>0.61299999999999999</v>
      </c>
      <c r="I46" s="42"/>
      <c r="J46" s="42"/>
      <c r="K46" s="42">
        <v>300</v>
      </c>
      <c r="L46" s="42"/>
      <c r="M46" s="42">
        <v>80</v>
      </c>
      <c r="N46" s="42"/>
      <c r="O46" s="42"/>
      <c r="P46" s="4"/>
      <c r="Q46" s="27">
        <f t="shared" si="0"/>
        <v>1397.64</v>
      </c>
      <c r="R46" s="28">
        <f t="shared" si="1"/>
        <v>1397.64</v>
      </c>
    </row>
    <row r="47" spans="2:18" ht="30" customHeight="1" x14ac:dyDescent="0.25">
      <c r="B47" s="17">
        <v>31</v>
      </c>
      <c r="C47" s="5" t="s">
        <v>57</v>
      </c>
      <c r="D47" s="5" t="s">
        <v>361</v>
      </c>
      <c r="E47" s="4" t="e" vm="6">
        <v>#VALUE!</v>
      </c>
      <c r="F47" s="4">
        <v>6000</v>
      </c>
      <c r="G47" s="4" t="s">
        <v>9</v>
      </c>
      <c r="H47" s="7">
        <v>0.82099999999999995</v>
      </c>
      <c r="I47" s="42"/>
      <c r="J47" s="42">
        <v>80</v>
      </c>
      <c r="K47" s="42">
        <v>200</v>
      </c>
      <c r="L47" s="42"/>
      <c r="M47" s="42">
        <v>80</v>
      </c>
      <c r="N47" s="42"/>
      <c r="O47" s="42"/>
      <c r="P47" s="4"/>
      <c r="Q47" s="27">
        <f t="shared" si="0"/>
        <v>1773.36</v>
      </c>
      <c r="R47" s="28">
        <f t="shared" si="1"/>
        <v>1773.36</v>
      </c>
    </row>
    <row r="48" spans="2:18" ht="30" customHeight="1" x14ac:dyDescent="0.25">
      <c r="B48" s="17">
        <v>32</v>
      </c>
      <c r="C48" s="5" t="s">
        <v>58</v>
      </c>
      <c r="D48" s="5" t="s">
        <v>59</v>
      </c>
      <c r="E48" s="26" t="e" vm="9">
        <v>#VALUE!</v>
      </c>
      <c r="F48" s="4">
        <v>6000</v>
      </c>
      <c r="G48" s="4" t="s">
        <v>9</v>
      </c>
      <c r="H48" s="7">
        <v>0.109</v>
      </c>
      <c r="I48" s="42"/>
      <c r="J48" s="42"/>
      <c r="K48" s="42">
        <v>100</v>
      </c>
      <c r="L48" s="42"/>
      <c r="M48" s="42"/>
      <c r="N48" s="42"/>
      <c r="O48" s="42"/>
      <c r="P48" s="4"/>
      <c r="Q48" s="27">
        <f t="shared" si="0"/>
        <v>65.400000000000006</v>
      </c>
      <c r="R48" s="28">
        <f t="shared" si="1"/>
        <v>65.400000000000006</v>
      </c>
    </row>
    <row r="49" spans="2:18" ht="30" hidden="1" customHeight="1" x14ac:dyDescent="0.25">
      <c r="B49" s="17">
        <v>33</v>
      </c>
      <c r="C49" s="5" t="s">
        <v>60</v>
      </c>
      <c r="D49" s="5" t="s">
        <v>61</v>
      </c>
      <c r="E49" s="26" t="e" vm="9">
        <v>#VALUE!</v>
      </c>
      <c r="F49" s="4">
        <v>6000</v>
      </c>
      <c r="G49" s="4" t="s">
        <v>9</v>
      </c>
      <c r="H49" s="7">
        <v>0.123</v>
      </c>
      <c r="I49" s="42"/>
      <c r="J49" s="42"/>
      <c r="K49" s="42"/>
      <c r="L49" s="42"/>
      <c r="M49" s="42"/>
      <c r="N49" s="42"/>
      <c r="O49" s="42"/>
      <c r="P49" s="4"/>
      <c r="Q49" s="27">
        <f t="shared" si="0"/>
        <v>0</v>
      </c>
      <c r="R49" s="28">
        <f t="shared" si="1"/>
        <v>0</v>
      </c>
    </row>
    <row r="50" spans="2:18" ht="30" hidden="1" customHeight="1" x14ac:dyDescent="0.25">
      <c r="B50" s="17">
        <v>34</v>
      </c>
      <c r="C50" s="5" t="s">
        <v>62</v>
      </c>
      <c r="D50" s="5" t="s">
        <v>63</v>
      </c>
      <c r="E50" s="4" t="e" vm="10">
        <v>#VALUE!</v>
      </c>
      <c r="F50" s="4">
        <v>6000</v>
      </c>
      <c r="G50" s="4" t="s">
        <v>9</v>
      </c>
      <c r="H50" s="7">
        <v>0.129</v>
      </c>
      <c r="I50" s="42"/>
      <c r="J50" s="42"/>
      <c r="K50" s="42"/>
      <c r="L50" s="42"/>
      <c r="M50" s="42"/>
      <c r="N50" s="42"/>
      <c r="O50" s="42"/>
      <c r="P50" s="4"/>
      <c r="Q50" s="27">
        <f t="shared" si="0"/>
        <v>0</v>
      </c>
      <c r="R50" s="28">
        <f t="shared" si="1"/>
        <v>0</v>
      </c>
    </row>
    <row r="51" spans="2:18" ht="30" hidden="1" customHeight="1" x14ac:dyDescent="0.25">
      <c r="B51" s="17">
        <v>35</v>
      </c>
      <c r="C51" s="5" t="s">
        <v>64</v>
      </c>
      <c r="D51" s="5" t="s">
        <v>64</v>
      </c>
      <c r="E51" s="4" t="e" vm="11">
        <v>#VALUE!</v>
      </c>
      <c r="F51" s="4">
        <v>6000</v>
      </c>
      <c r="G51" s="4" t="s">
        <v>9</v>
      </c>
      <c r="H51" s="7">
        <v>0.254</v>
      </c>
      <c r="I51" s="42"/>
      <c r="J51" s="42"/>
      <c r="K51" s="42"/>
      <c r="L51" s="42"/>
      <c r="M51" s="42"/>
      <c r="N51" s="42"/>
      <c r="O51" s="42"/>
      <c r="P51" s="4"/>
      <c r="Q51" s="27">
        <f t="shared" si="0"/>
        <v>0</v>
      </c>
      <c r="R51" s="28">
        <f t="shared" si="1"/>
        <v>0</v>
      </c>
    </row>
    <row r="52" spans="2:18" ht="30" hidden="1" customHeight="1" x14ac:dyDescent="0.25">
      <c r="B52" s="17">
        <v>36</v>
      </c>
      <c r="C52" s="5" t="s">
        <v>65</v>
      </c>
      <c r="D52" s="5" t="s">
        <v>65</v>
      </c>
      <c r="E52" s="4" t="e" vm="11">
        <v>#VALUE!</v>
      </c>
      <c r="F52" s="4">
        <v>6000</v>
      </c>
      <c r="G52" s="4" t="s">
        <v>9</v>
      </c>
      <c r="H52" s="7">
        <v>0.34499999999999997</v>
      </c>
      <c r="I52" s="42"/>
      <c r="J52" s="42"/>
      <c r="K52" s="42"/>
      <c r="L52" s="42"/>
      <c r="M52" s="42"/>
      <c r="N52" s="42"/>
      <c r="O52" s="42"/>
      <c r="P52" s="4"/>
      <c r="Q52" s="27">
        <f t="shared" si="0"/>
        <v>0</v>
      </c>
      <c r="R52" s="28">
        <f t="shared" si="1"/>
        <v>0</v>
      </c>
    </row>
    <row r="53" spans="2:18" ht="30" hidden="1" customHeight="1" x14ac:dyDescent="0.25">
      <c r="B53" s="17">
        <v>37</v>
      </c>
      <c r="C53" s="5" t="s">
        <v>66</v>
      </c>
      <c r="D53" s="5" t="s">
        <v>67</v>
      </c>
      <c r="E53" s="4" t="e" vm="12">
        <v>#VALUE!</v>
      </c>
      <c r="F53" s="4">
        <v>6000</v>
      </c>
      <c r="G53" s="4" t="s">
        <v>9</v>
      </c>
      <c r="H53" s="7">
        <v>0.06</v>
      </c>
      <c r="I53" s="42"/>
      <c r="J53" s="42"/>
      <c r="K53" s="42"/>
      <c r="L53" s="42"/>
      <c r="M53" s="42"/>
      <c r="N53" s="42"/>
      <c r="O53" s="42"/>
      <c r="P53" s="4"/>
      <c r="Q53" s="27">
        <f t="shared" si="0"/>
        <v>0</v>
      </c>
      <c r="R53" s="28">
        <f t="shared" si="1"/>
        <v>0</v>
      </c>
    </row>
    <row r="54" spans="2:18" ht="30" hidden="1" customHeight="1" x14ac:dyDescent="0.25">
      <c r="B54" s="17">
        <v>38</v>
      </c>
      <c r="C54" s="5" t="s">
        <v>68</v>
      </c>
      <c r="D54" s="5" t="s">
        <v>69</v>
      </c>
      <c r="E54" s="4" t="e" vm="12">
        <v>#VALUE!</v>
      </c>
      <c r="F54" s="4">
        <v>6000</v>
      </c>
      <c r="G54" s="4" t="s">
        <v>9</v>
      </c>
      <c r="H54" s="7">
        <v>7.5999999999999998E-2</v>
      </c>
      <c r="I54" s="42"/>
      <c r="J54" s="42"/>
      <c r="K54" s="42"/>
      <c r="L54" s="42"/>
      <c r="M54" s="42"/>
      <c r="N54" s="42"/>
      <c r="O54" s="42"/>
      <c r="P54" s="4"/>
      <c r="Q54" s="27">
        <f t="shared" si="0"/>
        <v>0</v>
      </c>
      <c r="R54" s="28">
        <f t="shared" si="1"/>
        <v>0</v>
      </c>
    </row>
    <row r="55" spans="2:18" ht="30" customHeight="1" x14ac:dyDescent="0.25">
      <c r="B55" s="17">
        <v>39</v>
      </c>
      <c r="C55" s="5" t="s">
        <v>70</v>
      </c>
      <c r="D55" s="5" t="s">
        <v>71</v>
      </c>
      <c r="E55" s="4" t="e" vm="12">
        <v>#VALUE!</v>
      </c>
      <c r="F55" s="4">
        <v>6000</v>
      </c>
      <c r="G55" s="4" t="s">
        <v>9</v>
      </c>
      <c r="H55" s="7">
        <v>8.1000000000000003E-2</v>
      </c>
      <c r="I55" s="42"/>
      <c r="J55" s="42">
        <v>500</v>
      </c>
      <c r="K55" s="42">
        <v>1000</v>
      </c>
      <c r="L55" s="42"/>
      <c r="M55" s="42">
        <v>300</v>
      </c>
      <c r="N55" s="42"/>
      <c r="O55" s="42"/>
      <c r="P55" s="4"/>
      <c r="Q55" s="27">
        <f t="shared" si="0"/>
        <v>874.8</v>
      </c>
      <c r="R55" s="28">
        <f t="shared" si="1"/>
        <v>874.8</v>
      </c>
    </row>
    <row r="56" spans="2:18" ht="30" customHeight="1" x14ac:dyDescent="0.25">
      <c r="B56" s="17">
        <v>40</v>
      </c>
      <c r="C56" s="5" t="s">
        <v>72</v>
      </c>
      <c r="D56" s="5" t="s">
        <v>73</v>
      </c>
      <c r="E56" s="4" t="e" vm="12">
        <v>#VALUE!</v>
      </c>
      <c r="F56" s="4">
        <v>6000</v>
      </c>
      <c r="G56" s="4" t="s">
        <v>9</v>
      </c>
      <c r="H56" s="7">
        <v>0.122</v>
      </c>
      <c r="I56" s="42"/>
      <c r="J56" s="42"/>
      <c r="K56" s="42">
        <v>800</v>
      </c>
      <c r="L56" s="42"/>
      <c r="M56" s="42"/>
      <c r="N56" s="42"/>
      <c r="O56" s="42"/>
      <c r="P56" s="4"/>
      <c r="Q56" s="27">
        <f t="shared" si="0"/>
        <v>585.6</v>
      </c>
      <c r="R56" s="28">
        <f t="shared" si="1"/>
        <v>585.6</v>
      </c>
    </row>
    <row r="57" spans="2:18" ht="30" hidden="1" customHeight="1" x14ac:dyDescent="0.25">
      <c r="B57" s="17">
        <v>41</v>
      </c>
      <c r="C57" s="5" t="s">
        <v>74</v>
      </c>
      <c r="D57" s="5" t="s">
        <v>362</v>
      </c>
      <c r="E57" s="4" t="e" vm="12">
        <v>#VALUE!</v>
      </c>
      <c r="F57" s="4">
        <v>6000</v>
      </c>
      <c r="G57" s="4" t="s">
        <v>9</v>
      </c>
      <c r="H57" s="7">
        <v>0.21299999999999999</v>
      </c>
      <c r="I57" s="42"/>
      <c r="J57" s="42"/>
      <c r="K57" s="42"/>
      <c r="L57" s="42"/>
      <c r="M57" s="42"/>
      <c r="N57" s="42"/>
      <c r="O57" s="42"/>
      <c r="P57" s="4"/>
      <c r="Q57" s="27">
        <f t="shared" si="0"/>
        <v>0</v>
      </c>
      <c r="R57" s="28">
        <f t="shared" si="1"/>
        <v>0</v>
      </c>
    </row>
    <row r="58" spans="2:18" ht="30" hidden="1" customHeight="1" x14ac:dyDescent="0.25">
      <c r="B58" s="17">
        <v>42</v>
      </c>
      <c r="C58" s="5" t="s">
        <v>75</v>
      </c>
      <c r="D58" s="5" t="s">
        <v>363</v>
      </c>
      <c r="E58" s="4" t="e" vm="12">
        <v>#VALUE!</v>
      </c>
      <c r="F58" s="4">
        <v>6000</v>
      </c>
      <c r="G58" s="4" t="s">
        <v>9</v>
      </c>
      <c r="H58" s="7">
        <v>0.41299999999999998</v>
      </c>
      <c r="I58" s="42"/>
      <c r="J58" s="42"/>
      <c r="K58" s="42"/>
      <c r="L58" s="42"/>
      <c r="M58" s="42"/>
      <c r="N58" s="42"/>
      <c r="O58" s="42"/>
      <c r="P58" s="4"/>
      <c r="Q58" s="27">
        <f t="shared" si="0"/>
        <v>0</v>
      </c>
      <c r="R58" s="28">
        <f t="shared" si="1"/>
        <v>0</v>
      </c>
    </row>
    <row r="59" spans="2:18" ht="30" hidden="1" customHeight="1" x14ac:dyDescent="0.25">
      <c r="B59" s="17">
        <v>43</v>
      </c>
      <c r="C59" s="5" t="s">
        <v>76</v>
      </c>
      <c r="D59" s="5" t="s">
        <v>364</v>
      </c>
      <c r="E59" s="4" t="e" vm="12">
        <v>#VALUE!</v>
      </c>
      <c r="F59" s="4">
        <v>6000</v>
      </c>
      <c r="G59" s="4" t="s">
        <v>9</v>
      </c>
      <c r="H59" s="7">
        <v>0.32400000000000001</v>
      </c>
      <c r="I59" s="42"/>
      <c r="J59" s="42"/>
      <c r="K59" s="42"/>
      <c r="L59" s="42"/>
      <c r="M59" s="42"/>
      <c r="N59" s="42"/>
      <c r="O59" s="42"/>
      <c r="P59" s="4"/>
      <c r="Q59" s="27">
        <f t="shared" si="0"/>
        <v>0</v>
      </c>
      <c r="R59" s="28">
        <f t="shared" si="1"/>
        <v>0</v>
      </c>
    </row>
    <row r="60" spans="2:18" ht="30" hidden="1" customHeight="1" x14ac:dyDescent="0.25">
      <c r="B60" s="17">
        <v>44</v>
      </c>
      <c r="C60" s="5" t="s">
        <v>77</v>
      </c>
      <c r="D60" s="5" t="s">
        <v>365</v>
      </c>
      <c r="E60" s="4" t="e" vm="12">
        <v>#VALUE!</v>
      </c>
      <c r="F60" s="4">
        <v>6000</v>
      </c>
      <c r="G60" s="4" t="s">
        <v>9</v>
      </c>
      <c r="H60" s="7">
        <v>0.63400000000000001</v>
      </c>
      <c r="I60" s="42"/>
      <c r="J60" s="42"/>
      <c r="K60" s="42"/>
      <c r="L60" s="42"/>
      <c r="M60" s="42"/>
      <c r="N60" s="42"/>
      <c r="O60" s="42"/>
      <c r="P60" s="4"/>
      <c r="Q60" s="27">
        <f t="shared" si="0"/>
        <v>0</v>
      </c>
      <c r="R60" s="28">
        <f t="shared" si="1"/>
        <v>0</v>
      </c>
    </row>
    <row r="61" spans="2:18" ht="30" hidden="1" customHeight="1" x14ac:dyDescent="0.25">
      <c r="B61" s="17">
        <v>45</v>
      </c>
      <c r="C61" s="5" t="s">
        <v>78</v>
      </c>
      <c r="D61" s="5" t="s">
        <v>366</v>
      </c>
      <c r="E61" s="4" t="e" vm="12">
        <v>#VALUE!</v>
      </c>
      <c r="F61" s="4">
        <v>6000</v>
      </c>
      <c r="G61" s="4" t="s">
        <v>9</v>
      </c>
      <c r="H61" s="7">
        <v>0.434</v>
      </c>
      <c r="I61" s="42"/>
      <c r="J61" s="42"/>
      <c r="K61" s="42"/>
      <c r="L61" s="42"/>
      <c r="M61" s="42"/>
      <c r="N61" s="42"/>
      <c r="O61" s="42"/>
      <c r="P61" s="4"/>
      <c r="Q61" s="27">
        <f t="shared" si="0"/>
        <v>0</v>
      </c>
      <c r="R61" s="28">
        <f t="shared" si="1"/>
        <v>0</v>
      </c>
    </row>
    <row r="62" spans="2:18" ht="30" hidden="1" customHeight="1" x14ac:dyDescent="0.25">
      <c r="B62" s="17">
        <v>46</v>
      </c>
      <c r="C62" s="5" t="s">
        <v>79</v>
      </c>
      <c r="D62" s="5" t="s">
        <v>367</v>
      </c>
      <c r="E62" s="4" t="e" vm="12">
        <v>#VALUE!</v>
      </c>
      <c r="F62" s="4">
        <v>6000</v>
      </c>
      <c r="G62" s="4" t="s">
        <v>9</v>
      </c>
      <c r="H62" s="7">
        <v>0.85399999999999998</v>
      </c>
      <c r="I62" s="42"/>
      <c r="J62" s="42"/>
      <c r="K62" s="42"/>
      <c r="L62" s="42"/>
      <c r="M62" s="42"/>
      <c r="N62" s="42"/>
      <c r="O62" s="42"/>
      <c r="P62" s="4"/>
      <c r="Q62" s="27">
        <f t="shared" si="0"/>
        <v>0</v>
      </c>
      <c r="R62" s="28">
        <f t="shared" si="1"/>
        <v>0</v>
      </c>
    </row>
    <row r="63" spans="2:18" ht="30" hidden="1" customHeight="1" x14ac:dyDescent="0.25">
      <c r="B63" s="17">
        <v>47</v>
      </c>
      <c r="C63" s="5" t="s">
        <v>80</v>
      </c>
      <c r="D63" s="5" t="s">
        <v>81</v>
      </c>
      <c r="E63" s="4" t="e" vm="13">
        <v>#VALUE!</v>
      </c>
      <c r="F63" s="4">
        <v>6000</v>
      </c>
      <c r="G63" s="4" t="s">
        <v>9</v>
      </c>
      <c r="H63" s="7">
        <v>4.7E-2</v>
      </c>
      <c r="I63" s="42"/>
      <c r="J63" s="42"/>
      <c r="K63" s="42"/>
      <c r="L63" s="42"/>
      <c r="M63" s="42"/>
      <c r="N63" s="42"/>
      <c r="O63" s="42"/>
      <c r="P63" s="4"/>
      <c r="Q63" s="27">
        <f t="shared" si="0"/>
        <v>0</v>
      </c>
      <c r="R63" s="28">
        <f t="shared" si="1"/>
        <v>0</v>
      </c>
    </row>
    <row r="64" spans="2:18" ht="30" hidden="1" customHeight="1" x14ac:dyDescent="0.25">
      <c r="B64" s="17">
        <v>48</v>
      </c>
      <c r="C64" s="5" t="s">
        <v>82</v>
      </c>
      <c r="D64" s="5" t="s">
        <v>83</v>
      </c>
      <c r="E64" s="4" t="e" vm="13">
        <v>#VALUE!</v>
      </c>
      <c r="F64" s="4">
        <v>6000</v>
      </c>
      <c r="G64" s="4" t="s">
        <v>9</v>
      </c>
      <c r="H64" s="7">
        <v>8.5999999999999993E-2</v>
      </c>
      <c r="I64" s="42"/>
      <c r="J64" s="42"/>
      <c r="K64" s="42"/>
      <c r="L64" s="42"/>
      <c r="M64" s="42"/>
      <c r="N64" s="42"/>
      <c r="O64" s="42"/>
      <c r="P64" s="4"/>
      <c r="Q64" s="27">
        <f t="shared" si="0"/>
        <v>0</v>
      </c>
      <c r="R64" s="28">
        <f t="shared" si="1"/>
        <v>0</v>
      </c>
    </row>
    <row r="65" spans="2:18" ht="30" hidden="1" customHeight="1" x14ac:dyDescent="0.25">
      <c r="B65" s="17">
        <v>49</v>
      </c>
      <c r="C65" s="5" t="s">
        <v>84</v>
      </c>
      <c r="D65" s="5" t="s">
        <v>85</v>
      </c>
      <c r="E65" s="4" t="e" vm="14">
        <v>#VALUE!</v>
      </c>
      <c r="F65" s="4">
        <v>6000</v>
      </c>
      <c r="G65" s="4" t="s">
        <v>9</v>
      </c>
      <c r="H65" s="7">
        <v>0.11</v>
      </c>
      <c r="I65" s="42"/>
      <c r="J65" s="42"/>
      <c r="K65" s="42"/>
      <c r="L65" s="42"/>
      <c r="M65" s="42"/>
      <c r="N65" s="42"/>
      <c r="O65" s="42"/>
      <c r="P65" s="4"/>
      <c r="Q65" s="27">
        <f t="shared" si="0"/>
        <v>0</v>
      </c>
      <c r="R65" s="28">
        <f t="shared" si="1"/>
        <v>0</v>
      </c>
    </row>
    <row r="66" spans="2:18" ht="30" hidden="1" customHeight="1" x14ac:dyDescent="0.25">
      <c r="B66" s="17">
        <v>50</v>
      </c>
      <c r="C66" s="5" t="s">
        <v>400</v>
      </c>
      <c r="D66" s="5"/>
      <c r="E66" s="4"/>
      <c r="F66" s="4"/>
      <c r="G66" s="4"/>
      <c r="H66" s="7"/>
      <c r="I66" s="42"/>
      <c r="J66" s="42"/>
      <c r="K66" s="42"/>
      <c r="L66" s="42"/>
      <c r="M66" s="42"/>
      <c r="N66" s="42"/>
      <c r="O66" s="42"/>
      <c r="P66" s="4"/>
      <c r="Q66" s="27" t="str">
        <f t="shared" si="0"/>
        <v/>
      </c>
      <c r="R66" s="28" t="str">
        <f t="shared" si="1"/>
        <v/>
      </c>
    </row>
    <row r="67" spans="2:18" ht="30" hidden="1" customHeight="1" x14ac:dyDescent="0.25">
      <c r="B67" s="17">
        <v>51</v>
      </c>
      <c r="C67" s="5" t="s">
        <v>400</v>
      </c>
      <c r="D67" s="38"/>
      <c r="E67" s="4"/>
      <c r="F67" s="4"/>
      <c r="G67" s="4"/>
      <c r="H67" s="7"/>
      <c r="I67" s="42"/>
      <c r="J67" s="42"/>
      <c r="K67" s="42"/>
      <c r="L67" s="42"/>
      <c r="M67" s="42"/>
      <c r="N67" s="42"/>
      <c r="O67" s="42"/>
      <c r="P67" s="4"/>
      <c r="Q67" s="27" t="str">
        <f t="shared" si="0"/>
        <v/>
      </c>
      <c r="R67" s="28" t="str">
        <f t="shared" si="1"/>
        <v/>
      </c>
    </row>
    <row r="68" spans="2:18" ht="30" hidden="1" customHeight="1" x14ac:dyDescent="0.25">
      <c r="B68" s="17">
        <v>52</v>
      </c>
      <c r="C68" s="5" t="s">
        <v>400</v>
      </c>
      <c r="D68" s="5"/>
      <c r="E68" s="4"/>
      <c r="F68" s="4"/>
      <c r="G68" s="4"/>
      <c r="H68" s="7"/>
      <c r="I68" s="42"/>
      <c r="J68" s="42"/>
      <c r="K68" s="42"/>
      <c r="L68" s="42"/>
      <c r="M68" s="42"/>
      <c r="N68" s="42"/>
      <c r="O68" s="42"/>
      <c r="P68" s="4"/>
      <c r="Q68" s="27" t="str">
        <f t="shared" si="0"/>
        <v/>
      </c>
      <c r="R68" s="28" t="str">
        <f t="shared" si="1"/>
        <v/>
      </c>
    </row>
    <row r="69" spans="2:18" ht="30" hidden="1" customHeight="1" x14ac:dyDescent="0.25">
      <c r="B69" s="17">
        <v>53</v>
      </c>
      <c r="C69" s="5" t="s">
        <v>400</v>
      </c>
      <c r="D69" s="38"/>
      <c r="E69" s="4"/>
      <c r="F69" s="4"/>
      <c r="G69" s="4"/>
      <c r="H69" s="7"/>
      <c r="I69" s="42"/>
      <c r="J69" s="42"/>
      <c r="K69" s="42"/>
      <c r="L69" s="42"/>
      <c r="M69" s="42"/>
      <c r="N69" s="42"/>
      <c r="O69" s="42"/>
      <c r="P69" s="4"/>
      <c r="Q69" s="27" t="str">
        <f t="shared" si="0"/>
        <v/>
      </c>
      <c r="R69" s="28" t="str">
        <f t="shared" si="1"/>
        <v/>
      </c>
    </row>
    <row r="70" spans="2:18" ht="30" hidden="1" customHeight="1" x14ac:dyDescent="0.25">
      <c r="B70" s="17">
        <v>54</v>
      </c>
      <c r="C70" s="5" t="s">
        <v>400</v>
      </c>
      <c r="D70" s="5"/>
      <c r="E70" s="4"/>
      <c r="F70" s="4"/>
      <c r="G70" s="4"/>
      <c r="H70" s="7"/>
      <c r="I70" s="42"/>
      <c r="J70" s="42"/>
      <c r="K70" s="42"/>
      <c r="L70" s="42"/>
      <c r="M70" s="42"/>
      <c r="N70" s="42"/>
      <c r="O70" s="42"/>
      <c r="P70" s="4"/>
      <c r="Q70" s="27" t="str">
        <f t="shared" si="0"/>
        <v/>
      </c>
      <c r="R70" s="28" t="str">
        <f t="shared" si="1"/>
        <v/>
      </c>
    </row>
    <row r="71" spans="2:18" ht="30" hidden="1" customHeight="1" x14ac:dyDescent="0.25">
      <c r="B71" s="17">
        <v>55</v>
      </c>
      <c r="C71" s="5" t="s">
        <v>400</v>
      </c>
      <c r="D71" s="5"/>
      <c r="E71" s="4"/>
      <c r="F71" s="4"/>
      <c r="G71" s="4"/>
      <c r="H71" s="7"/>
      <c r="I71" s="42"/>
      <c r="J71" s="42"/>
      <c r="K71" s="42"/>
      <c r="L71" s="42"/>
      <c r="M71" s="42"/>
      <c r="N71" s="42"/>
      <c r="O71" s="42"/>
      <c r="P71" s="4"/>
      <c r="Q71" s="27" t="str">
        <f t="shared" si="0"/>
        <v/>
      </c>
      <c r="R71" s="28" t="str">
        <f t="shared" si="1"/>
        <v/>
      </c>
    </row>
    <row r="72" spans="2:18" ht="30" hidden="1" customHeight="1" x14ac:dyDescent="0.25">
      <c r="B72" s="17">
        <v>56</v>
      </c>
      <c r="C72" s="5" t="s">
        <v>400</v>
      </c>
      <c r="D72" s="5"/>
      <c r="E72" s="4"/>
      <c r="F72" s="4"/>
      <c r="G72" s="4"/>
      <c r="H72" s="7"/>
      <c r="I72" s="42"/>
      <c r="J72" s="42"/>
      <c r="K72" s="42"/>
      <c r="L72" s="42"/>
      <c r="M72" s="42"/>
      <c r="N72" s="42"/>
      <c r="O72" s="42"/>
      <c r="P72" s="4"/>
      <c r="Q72" s="27" t="str">
        <f t="shared" si="0"/>
        <v/>
      </c>
      <c r="R72" s="28" t="str">
        <f t="shared" si="1"/>
        <v/>
      </c>
    </row>
    <row r="73" spans="2:18" ht="30" hidden="1" customHeight="1" x14ac:dyDescent="0.25">
      <c r="B73" s="17">
        <v>57</v>
      </c>
      <c r="C73" s="5" t="s">
        <v>400</v>
      </c>
      <c r="D73" s="5"/>
      <c r="E73" s="4"/>
      <c r="F73" s="4"/>
      <c r="G73" s="4"/>
      <c r="H73" s="7"/>
      <c r="I73" s="42"/>
      <c r="J73" s="42"/>
      <c r="K73" s="42"/>
      <c r="L73" s="42"/>
      <c r="M73" s="42"/>
      <c r="N73" s="42"/>
      <c r="O73" s="42"/>
      <c r="P73" s="4"/>
      <c r="Q73" s="27" t="str">
        <f t="shared" si="0"/>
        <v/>
      </c>
      <c r="R73" s="28" t="str">
        <f t="shared" si="1"/>
        <v/>
      </c>
    </row>
    <row r="74" spans="2:18" ht="30" hidden="1" customHeight="1" x14ac:dyDescent="0.25">
      <c r="B74" s="17">
        <v>58</v>
      </c>
      <c r="C74" s="5" t="s">
        <v>86</v>
      </c>
      <c r="D74" s="5" t="s">
        <v>86</v>
      </c>
      <c r="E74" s="4" t="e" vm="15">
        <v>#VALUE!</v>
      </c>
      <c r="F74" s="4">
        <v>6000</v>
      </c>
      <c r="G74" s="4" t="s">
        <v>9</v>
      </c>
      <c r="H74" s="7">
        <v>0.128</v>
      </c>
      <c r="I74" s="42"/>
      <c r="J74" s="42"/>
      <c r="K74" s="42"/>
      <c r="L74" s="42"/>
      <c r="M74" s="42"/>
      <c r="N74" s="42"/>
      <c r="O74" s="42"/>
      <c r="P74" s="4"/>
      <c r="Q74" s="27">
        <f t="shared" si="0"/>
        <v>0</v>
      </c>
      <c r="R74" s="28">
        <f t="shared" si="1"/>
        <v>0</v>
      </c>
    </row>
    <row r="75" spans="2:18" ht="30" hidden="1" customHeight="1" x14ac:dyDescent="0.25">
      <c r="B75" s="17">
        <v>59</v>
      </c>
      <c r="C75" s="5" t="s">
        <v>87</v>
      </c>
      <c r="D75" s="5" t="s">
        <v>87</v>
      </c>
      <c r="E75" s="4" t="e" vm="16">
        <v>#VALUE!</v>
      </c>
      <c r="F75" s="4">
        <v>6000</v>
      </c>
      <c r="G75" s="4" t="s">
        <v>9</v>
      </c>
      <c r="H75" s="7">
        <v>1.115</v>
      </c>
      <c r="I75" s="42"/>
      <c r="J75" s="42"/>
      <c r="K75" s="42"/>
      <c r="L75" s="42"/>
      <c r="M75" s="42"/>
      <c r="N75" s="42"/>
      <c r="O75" s="42"/>
      <c r="P75" s="4"/>
      <c r="Q75" s="27">
        <f t="shared" si="0"/>
        <v>0</v>
      </c>
      <c r="R75" s="28">
        <f t="shared" si="1"/>
        <v>0</v>
      </c>
    </row>
    <row r="76" spans="2:18" ht="30" hidden="1" customHeight="1" x14ac:dyDescent="0.25">
      <c r="B76" s="17">
        <v>60</v>
      </c>
      <c r="C76" s="5" t="s">
        <v>88</v>
      </c>
      <c r="D76" s="5" t="s">
        <v>88</v>
      </c>
      <c r="E76" s="4" t="e" vm="17">
        <v>#VALUE!</v>
      </c>
      <c r="F76" s="4">
        <v>6000</v>
      </c>
      <c r="G76" s="4" t="s">
        <v>9</v>
      </c>
      <c r="H76" s="7">
        <v>0.311</v>
      </c>
      <c r="I76" s="42"/>
      <c r="J76" s="42"/>
      <c r="K76" s="42"/>
      <c r="L76" s="42"/>
      <c r="M76" s="42"/>
      <c r="N76" s="42"/>
      <c r="O76" s="42"/>
      <c r="P76" s="4"/>
      <c r="Q76" s="27">
        <f t="shared" si="0"/>
        <v>0</v>
      </c>
      <c r="R76" s="28">
        <f t="shared" si="1"/>
        <v>0</v>
      </c>
    </row>
    <row r="77" spans="2:18" ht="30" hidden="1" customHeight="1" x14ac:dyDescent="0.25">
      <c r="B77" s="17">
        <v>61</v>
      </c>
      <c r="C77" s="5" t="s">
        <v>89</v>
      </c>
      <c r="D77" s="5" t="s">
        <v>89</v>
      </c>
      <c r="E77" s="4" t="e" vm="18">
        <v>#VALUE!</v>
      </c>
      <c r="F77" s="4">
        <v>6000</v>
      </c>
      <c r="G77" s="4" t="s">
        <v>9</v>
      </c>
      <c r="H77" s="7">
        <v>0.53600000000000003</v>
      </c>
      <c r="I77" s="42"/>
      <c r="J77" s="42"/>
      <c r="K77" s="42"/>
      <c r="L77" s="42"/>
      <c r="M77" s="42"/>
      <c r="N77" s="42"/>
      <c r="O77" s="42"/>
      <c r="P77" s="4"/>
      <c r="Q77" s="27">
        <f t="shared" si="0"/>
        <v>0</v>
      </c>
      <c r="R77" s="28">
        <f t="shared" si="1"/>
        <v>0</v>
      </c>
    </row>
    <row r="78" spans="2:18" ht="30" hidden="1" customHeight="1" x14ac:dyDescent="0.25">
      <c r="B78" s="17">
        <v>62</v>
      </c>
      <c r="C78" s="5" t="s">
        <v>90</v>
      </c>
      <c r="D78" s="5" t="s">
        <v>90</v>
      </c>
      <c r="E78" s="4" t="e" vm="19">
        <v>#VALUE!</v>
      </c>
      <c r="F78" s="4">
        <v>6000</v>
      </c>
      <c r="G78" s="4" t="s">
        <v>9</v>
      </c>
      <c r="H78" s="7">
        <v>0.35799999999999998</v>
      </c>
      <c r="I78" s="42"/>
      <c r="J78" s="42"/>
      <c r="K78" s="42"/>
      <c r="L78" s="42"/>
      <c r="M78" s="42"/>
      <c r="N78" s="42"/>
      <c r="O78" s="42"/>
      <c r="P78" s="4"/>
      <c r="Q78" s="27">
        <f t="shared" si="0"/>
        <v>0</v>
      </c>
      <c r="R78" s="28">
        <f t="shared" si="1"/>
        <v>0</v>
      </c>
    </row>
    <row r="79" spans="2:18" ht="30" hidden="1" customHeight="1" x14ac:dyDescent="0.25">
      <c r="B79" s="17">
        <v>63</v>
      </c>
      <c r="C79" s="5" t="s">
        <v>91</v>
      </c>
      <c r="D79" s="5" t="s">
        <v>91</v>
      </c>
      <c r="E79" s="4" t="e" vm="20">
        <v>#VALUE!</v>
      </c>
      <c r="F79" s="4">
        <v>6000</v>
      </c>
      <c r="G79" s="4" t="s">
        <v>9</v>
      </c>
      <c r="H79" s="7">
        <v>0.22600000000000001</v>
      </c>
      <c r="I79" s="42"/>
      <c r="J79" s="42"/>
      <c r="K79" s="42"/>
      <c r="L79" s="42"/>
      <c r="M79" s="42"/>
      <c r="N79" s="42"/>
      <c r="O79" s="42"/>
      <c r="P79" s="4"/>
      <c r="Q79" s="27">
        <f t="shared" si="0"/>
        <v>0</v>
      </c>
      <c r="R79" s="28">
        <f t="shared" si="1"/>
        <v>0</v>
      </c>
    </row>
    <row r="80" spans="2:18" ht="30" hidden="1" customHeight="1" x14ac:dyDescent="0.25">
      <c r="B80" s="17">
        <v>64</v>
      </c>
      <c r="C80" s="5" t="s">
        <v>92</v>
      </c>
      <c r="D80" s="5" t="s">
        <v>92</v>
      </c>
      <c r="E80" s="4" t="e" vm="21">
        <v>#VALUE!</v>
      </c>
      <c r="F80" s="4">
        <v>6000</v>
      </c>
      <c r="G80" s="4" t="s">
        <v>9</v>
      </c>
      <c r="H80" s="7">
        <v>0.2</v>
      </c>
      <c r="I80" s="42"/>
      <c r="J80" s="42"/>
      <c r="K80" s="42"/>
      <c r="L80" s="42"/>
      <c r="M80" s="42"/>
      <c r="N80" s="42"/>
      <c r="O80" s="42"/>
      <c r="P80" s="4"/>
      <c r="Q80" s="27">
        <f t="shared" si="0"/>
        <v>0</v>
      </c>
      <c r="R80" s="28">
        <f t="shared" si="1"/>
        <v>0</v>
      </c>
    </row>
    <row r="81" spans="2:18" ht="30" hidden="1" customHeight="1" x14ac:dyDescent="0.25">
      <c r="B81" s="17">
        <v>65</v>
      </c>
      <c r="C81" s="5" t="s">
        <v>93</v>
      </c>
      <c r="D81" s="5" t="s">
        <v>93</v>
      </c>
      <c r="E81" s="4" t="e" vm="22">
        <v>#VALUE!</v>
      </c>
      <c r="F81" s="4">
        <v>6000</v>
      </c>
      <c r="G81" s="4" t="s">
        <v>9</v>
      </c>
      <c r="H81" s="7">
        <v>0.32500000000000001</v>
      </c>
      <c r="I81" s="42"/>
      <c r="J81" s="42"/>
      <c r="K81" s="42"/>
      <c r="L81" s="42"/>
      <c r="M81" s="42"/>
      <c r="N81" s="42"/>
      <c r="O81" s="42"/>
      <c r="P81" s="4"/>
      <c r="Q81" s="27">
        <f t="shared" ref="Q81:Q144" si="2">IFERROR(IF(OR(F81=0,H81=0),"",SUM(I81:O81)*F81*H81/1000),0)</f>
        <v>0</v>
      </c>
      <c r="R81" s="28">
        <f t="shared" si="1"/>
        <v>0</v>
      </c>
    </row>
    <row r="82" spans="2:18" ht="30" hidden="1" customHeight="1" x14ac:dyDescent="0.25">
      <c r="B82" s="17">
        <v>66</v>
      </c>
      <c r="C82" s="5" t="s">
        <v>94</v>
      </c>
      <c r="D82" s="5" t="s">
        <v>94</v>
      </c>
      <c r="E82" s="4" t="e" vm="23">
        <v>#VALUE!</v>
      </c>
      <c r="F82" s="4">
        <v>6000</v>
      </c>
      <c r="G82" s="4" t="s">
        <v>9</v>
      </c>
      <c r="H82" s="7">
        <v>0.26400000000000001</v>
      </c>
      <c r="I82" s="42"/>
      <c r="J82" s="42"/>
      <c r="K82" s="42"/>
      <c r="L82" s="42"/>
      <c r="M82" s="42"/>
      <c r="N82" s="42"/>
      <c r="O82" s="42"/>
      <c r="P82" s="4"/>
      <c r="Q82" s="27">
        <f t="shared" si="2"/>
        <v>0</v>
      </c>
      <c r="R82" s="28">
        <f t="shared" ref="R82:R145" si="3">Q82</f>
        <v>0</v>
      </c>
    </row>
    <row r="83" spans="2:18" ht="30" hidden="1" customHeight="1" x14ac:dyDescent="0.25">
      <c r="B83" s="17">
        <v>67</v>
      </c>
      <c r="C83" s="5" t="s">
        <v>95</v>
      </c>
      <c r="D83" s="38" t="s">
        <v>95</v>
      </c>
      <c r="E83" s="4" t="e" vm="24">
        <v>#VALUE!</v>
      </c>
      <c r="F83" s="4">
        <v>6000</v>
      </c>
      <c r="G83" s="4" t="s">
        <v>9</v>
      </c>
      <c r="H83" s="7"/>
      <c r="I83" s="42"/>
      <c r="J83" s="42"/>
      <c r="K83" s="42"/>
      <c r="L83" s="42"/>
      <c r="M83" s="42"/>
      <c r="N83" s="42"/>
      <c r="O83" s="42"/>
      <c r="P83" s="4"/>
      <c r="Q83" s="27" t="str">
        <f t="shared" si="2"/>
        <v/>
      </c>
      <c r="R83" s="28" t="str">
        <f t="shared" si="3"/>
        <v/>
      </c>
    </row>
    <row r="84" spans="2:18" ht="30" hidden="1" customHeight="1" x14ac:dyDescent="0.25">
      <c r="B84" s="17">
        <v>68</v>
      </c>
      <c r="C84" s="5" t="s">
        <v>96</v>
      </c>
      <c r="D84" s="5" t="s">
        <v>96</v>
      </c>
      <c r="E84" s="4" t="e" vm="25">
        <v>#VALUE!</v>
      </c>
      <c r="F84" s="4">
        <v>6000</v>
      </c>
      <c r="G84" s="4" t="s">
        <v>9</v>
      </c>
      <c r="H84" s="7">
        <v>0.39100000000000001</v>
      </c>
      <c r="I84" s="42"/>
      <c r="J84" s="42"/>
      <c r="K84" s="42"/>
      <c r="L84" s="42"/>
      <c r="M84" s="42"/>
      <c r="N84" s="42"/>
      <c r="O84" s="42"/>
      <c r="P84" s="4"/>
      <c r="Q84" s="27">
        <f t="shared" si="2"/>
        <v>0</v>
      </c>
      <c r="R84" s="28">
        <f t="shared" si="3"/>
        <v>0</v>
      </c>
    </row>
    <row r="85" spans="2:18" ht="30" hidden="1" customHeight="1" x14ac:dyDescent="0.25">
      <c r="B85" s="17">
        <v>69</v>
      </c>
      <c r="C85" s="5" t="s">
        <v>97</v>
      </c>
      <c r="D85" s="5" t="s">
        <v>97</v>
      </c>
      <c r="E85" s="4" t="e" vm="26">
        <v>#VALUE!</v>
      </c>
      <c r="F85" s="4">
        <v>6000</v>
      </c>
      <c r="G85" s="4" t="s">
        <v>9</v>
      </c>
      <c r="H85" s="7">
        <v>0.443</v>
      </c>
      <c r="I85" s="42"/>
      <c r="J85" s="42"/>
      <c r="K85" s="42"/>
      <c r="L85" s="42"/>
      <c r="M85" s="42"/>
      <c r="N85" s="42"/>
      <c r="O85" s="42"/>
      <c r="P85" s="4"/>
      <c r="Q85" s="27">
        <f t="shared" si="2"/>
        <v>0</v>
      </c>
      <c r="R85" s="28">
        <f t="shared" si="3"/>
        <v>0</v>
      </c>
    </row>
    <row r="86" spans="2:18" ht="30" hidden="1" customHeight="1" x14ac:dyDescent="0.25">
      <c r="B86" s="17">
        <v>70</v>
      </c>
      <c r="C86" s="5" t="s">
        <v>98</v>
      </c>
      <c r="D86" s="5" t="s">
        <v>98</v>
      </c>
      <c r="E86" s="4" t="e" vm="27">
        <v>#VALUE!</v>
      </c>
      <c r="F86" s="4">
        <v>6000</v>
      </c>
      <c r="G86" s="4" t="s">
        <v>9</v>
      </c>
      <c r="H86" s="7">
        <v>0.45200000000000001</v>
      </c>
      <c r="I86" s="42"/>
      <c r="J86" s="42"/>
      <c r="K86" s="42"/>
      <c r="L86" s="42"/>
      <c r="M86" s="42"/>
      <c r="N86" s="42"/>
      <c r="O86" s="42"/>
      <c r="P86" s="4"/>
      <c r="Q86" s="27">
        <f t="shared" si="2"/>
        <v>0</v>
      </c>
      <c r="R86" s="28">
        <f t="shared" si="3"/>
        <v>0</v>
      </c>
    </row>
    <row r="87" spans="2:18" ht="30" hidden="1" customHeight="1" x14ac:dyDescent="0.25">
      <c r="B87" s="17">
        <v>71</v>
      </c>
      <c r="C87" s="5" t="s">
        <v>99</v>
      </c>
      <c r="D87" s="5" t="s">
        <v>100</v>
      </c>
      <c r="E87" s="4" t="e" vm="28">
        <v>#VALUE!</v>
      </c>
      <c r="F87" s="4">
        <v>6000</v>
      </c>
      <c r="G87" s="4" t="s">
        <v>9</v>
      </c>
      <c r="H87" s="7">
        <v>0.20200000000000001</v>
      </c>
      <c r="I87" s="42"/>
      <c r="J87" s="42"/>
      <c r="K87" s="42"/>
      <c r="L87" s="42"/>
      <c r="M87" s="42"/>
      <c r="N87" s="42"/>
      <c r="O87" s="42"/>
      <c r="P87" s="4"/>
      <c r="Q87" s="27">
        <f t="shared" si="2"/>
        <v>0</v>
      </c>
      <c r="R87" s="28">
        <f t="shared" si="3"/>
        <v>0</v>
      </c>
    </row>
    <row r="88" spans="2:18" ht="30" hidden="1" customHeight="1" x14ac:dyDescent="0.25">
      <c r="B88" s="17">
        <v>72</v>
      </c>
      <c r="C88" s="5" t="s">
        <v>101</v>
      </c>
      <c r="D88" s="5" t="s">
        <v>101</v>
      </c>
      <c r="E88" s="4" t="e" vm="29">
        <v>#VALUE!</v>
      </c>
      <c r="F88" s="4">
        <v>6000</v>
      </c>
      <c r="G88" s="4" t="s">
        <v>9</v>
      </c>
      <c r="H88" s="7">
        <v>0.36399999999999999</v>
      </c>
      <c r="I88" s="42"/>
      <c r="J88" s="42"/>
      <c r="K88" s="42"/>
      <c r="L88" s="42"/>
      <c r="M88" s="42"/>
      <c r="N88" s="42"/>
      <c r="O88" s="42"/>
      <c r="P88" s="4"/>
      <c r="Q88" s="27">
        <f t="shared" si="2"/>
        <v>0</v>
      </c>
      <c r="R88" s="28">
        <f t="shared" si="3"/>
        <v>0</v>
      </c>
    </row>
    <row r="89" spans="2:18" ht="30" hidden="1" customHeight="1" x14ac:dyDescent="0.25">
      <c r="B89" s="17">
        <v>73</v>
      </c>
      <c r="C89" s="5" t="s">
        <v>102</v>
      </c>
      <c r="D89" s="38" t="s">
        <v>102</v>
      </c>
      <c r="E89" s="4" t="e" vm="30">
        <v>#VALUE!</v>
      </c>
      <c r="F89" s="4">
        <v>6000</v>
      </c>
      <c r="G89" s="4" t="s">
        <v>9</v>
      </c>
      <c r="H89" s="7"/>
      <c r="I89" s="42"/>
      <c r="J89" s="42"/>
      <c r="K89" s="42"/>
      <c r="L89" s="42"/>
      <c r="M89" s="42"/>
      <c r="N89" s="42"/>
      <c r="O89" s="42"/>
      <c r="P89" s="4"/>
      <c r="Q89" s="27" t="str">
        <f t="shared" si="2"/>
        <v/>
      </c>
      <c r="R89" s="28" t="str">
        <f t="shared" si="3"/>
        <v/>
      </c>
    </row>
    <row r="90" spans="2:18" ht="30" hidden="1" customHeight="1" x14ac:dyDescent="0.25">
      <c r="B90" s="17">
        <v>74</v>
      </c>
      <c r="C90" s="5" t="s">
        <v>103</v>
      </c>
      <c r="D90" s="38" t="s">
        <v>103</v>
      </c>
      <c r="E90" s="4" t="e" vm="31">
        <v>#VALUE!</v>
      </c>
      <c r="F90" s="4">
        <v>6000</v>
      </c>
      <c r="G90" s="4" t="s">
        <v>9</v>
      </c>
      <c r="H90" s="7"/>
      <c r="I90" s="42"/>
      <c r="J90" s="42"/>
      <c r="K90" s="42"/>
      <c r="L90" s="42"/>
      <c r="M90" s="42"/>
      <c r="N90" s="42"/>
      <c r="O90" s="42"/>
      <c r="P90" s="4"/>
      <c r="Q90" s="27" t="str">
        <f t="shared" si="2"/>
        <v/>
      </c>
      <c r="R90" s="28" t="str">
        <f t="shared" si="3"/>
        <v/>
      </c>
    </row>
    <row r="91" spans="2:18" ht="30" hidden="1" customHeight="1" x14ac:dyDescent="0.25">
      <c r="B91" s="17">
        <v>75</v>
      </c>
      <c r="C91" s="5" t="s">
        <v>372</v>
      </c>
      <c r="D91" s="5" t="s">
        <v>372</v>
      </c>
      <c r="E91" s="4" t="e" vm="32">
        <v>#VALUE!</v>
      </c>
      <c r="F91" s="4">
        <v>6000</v>
      </c>
      <c r="G91" s="4" t="s">
        <v>9</v>
      </c>
      <c r="H91" s="7">
        <v>0.308</v>
      </c>
      <c r="I91" s="42"/>
      <c r="J91" s="42"/>
      <c r="K91" s="42"/>
      <c r="L91" s="42"/>
      <c r="M91" s="42"/>
      <c r="N91" s="42"/>
      <c r="O91" s="42"/>
      <c r="P91" s="4"/>
      <c r="Q91" s="27">
        <f t="shared" si="2"/>
        <v>0</v>
      </c>
      <c r="R91" s="28">
        <f t="shared" si="3"/>
        <v>0</v>
      </c>
    </row>
    <row r="92" spans="2:18" ht="30" hidden="1" customHeight="1" x14ac:dyDescent="0.25">
      <c r="B92" s="17">
        <v>76</v>
      </c>
      <c r="C92" s="5" t="s">
        <v>104</v>
      </c>
      <c r="D92" s="5" t="s">
        <v>104</v>
      </c>
      <c r="E92" s="4" t="e" vm="33">
        <v>#VALUE!</v>
      </c>
      <c r="F92" s="4">
        <v>6000</v>
      </c>
      <c r="G92" s="4" t="s">
        <v>9</v>
      </c>
      <c r="H92" s="7">
        <v>0.72299999999999998</v>
      </c>
      <c r="I92" s="42"/>
      <c r="J92" s="42"/>
      <c r="K92" s="42"/>
      <c r="L92" s="42"/>
      <c r="M92" s="42"/>
      <c r="N92" s="42"/>
      <c r="O92" s="42"/>
      <c r="P92" s="4"/>
      <c r="Q92" s="27">
        <f t="shared" si="2"/>
        <v>0</v>
      </c>
      <c r="R92" s="28">
        <f t="shared" si="3"/>
        <v>0</v>
      </c>
    </row>
    <row r="93" spans="2:18" ht="30" hidden="1" customHeight="1" x14ac:dyDescent="0.25">
      <c r="B93" s="17">
        <v>77</v>
      </c>
      <c r="C93" s="5" t="s">
        <v>105</v>
      </c>
      <c r="D93" s="5" t="s">
        <v>105</v>
      </c>
      <c r="E93" s="4" t="e" vm="34">
        <v>#VALUE!</v>
      </c>
      <c r="F93" s="4">
        <v>6000</v>
      </c>
      <c r="G93" s="4" t="s">
        <v>9</v>
      </c>
      <c r="H93" s="7">
        <v>0.32800000000000001</v>
      </c>
      <c r="I93" s="42"/>
      <c r="J93" s="42"/>
      <c r="K93" s="42"/>
      <c r="L93" s="42"/>
      <c r="M93" s="42"/>
      <c r="N93" s="42"/>
      <c r="O93" s="42"/>
      <c r="P93" s="4"/>
      <c r="Q93" s="27">
        <f t="shared" si="2"/>
        <v>0</v>
      </c>
      <c r="R93" s="28">
        <f t="shared" si="3"/>
        <v>0</v>
      </c>
    </row>
    <row r="94" spans="2:18" ht="30" hidden="1" customHeight="1" x14ac:dyDescent="0.25">
      <c r="B94" s="17">
        <v>78</v>
      </c>
      <c r="C94" s="5" t="s">
        <v>106</v>
      </c>
      <c r="D94" s="5" t="s">
        <v>106</v>
      </c>
      <c r="E94" s="4" t="e" vm="35">
        <v>#VALUE!</v>
      </c>
      <c r="F94" s="4">
        <v>6000</v>
      </c>
      <c r="G94" s="4" t="s">
        <v>9</v>
      </c>
      <c r="H94" s="7">
        <v>0.317</v>
      </c>
      <c r="I94" s="42"/>
      <c r="J94" s="42"/>
      <c r="K94" s="42"/>
      <c r="L94" s="42"/>
      <c r="M94" s="42"/>
      <c r="N94" s="42"/>
      <c r="O94" s="42"/>
      <c r="P94" s="4"/>
      <c r="Q94" s="27">
        <f t="shared" si="2"/>
        <v>0</v>
      </c>
      <c r="R94" s="28">
        <f t="shared" si="3"/>
        <v>0</v>
      </c>
    </row>
    <row r="95" spans="2:18" ht="30" hidden="1" customHeight="1" x14ac:dyDescent="0.25">
      <c r="B95" s="17">
        <v>79</v>
      </c>
      <c r="C95" s="5" t="s">
        <v>107</v>
      </c>
      <c r="D95" s="5" t="s">
        <v>107</v>
      </c>
      <c r="E95" s="4" t="e" vm="36">
        <v>#VALUE!</v>
      </c>
      <c r="F95" s="4">
        <v>6000</v>
      </c>
      <c r="G95" s="4" t="s">
        <v>9</v>
      </c>
      <c r="H95" s="7">
        <v>0.32400000000000001</v>
      </c>
      <c r="I95" s="42"/>
      <c r="J95" s="42"/>
      <c r="K95" s="42"/>
      <c r="L95" s="42"/>
      <c r="M95" s="42"/>
      <c r="N95" s="42"/>
      <c r="O95" s="42"/>
      <c r="P95" s="4"/>
      <c r="Q95" s="27">
        <f t="shared" si="2"/>
        <v>0</v>
      </c>
      <c r="R95" s="28">
        <f t="shared" si="3"/>
        <v>0</v>
      </c>
    </row>
    <row r="96" spans="2:18" ht="30" hidden="1" customHeight="1" x14ac:dyDescent="0.25">
      <c r="B96" s="17">
        <v>80</v>
      </c>
      <c r="C96" s="5" t="s">
        <v>108</v>
      </c>
      <c r="D96" s="5" t="s">
        <v>108</v>
      </c>
      <c r="E96" s="4" t="e" vm="37">
        <v>#VALUE!</v>
      </c>
      <c r="F96" s="4">
        <v>6000</v>
      </c>
      <c r="G96" s="4" t="s">
        <v>9</v>
      </c>
      <c r="H96" s="7">
        <v>0.34499999999999997</v>
      </c>
      <c r="I96" s="42"/>
      <c r="J96" s="42"/>
      <c r="K96" s="42"/>
      <c r="L96" s="42"/>
      <c r="M96" s="42"/>
      <c r="N96" s="42"/>
      <c r="O96" s="42"/>
      <c r="P96" s="4"/>
      <c r="Q96" s="27">
        <f t="shared" si="2"/>
        <v>0</v>
      </c>
      <c r="R96" s="28">
        <f t="shared" si="3"/>
        <v>0</v>
      </c>
    </row>
    <row r="97" spans="2:18" ht="30" hidden="1" customHeight="1" x14ac:dyDescent="0.25">
      <c r="B97" s="17">
        <v>81</v>
      </c>
      <c r="C97" s="5" t="s">
        <v>109</v>
      </c>
      <c r="D97" s="5" t="s">
        <v>109</v>
      </c>
      <c r="E97" s="4" t="e" vm="38">
        <v>#VALUE!</v>
      </c>
      <c r="F97" s="4">
        <v>6000</v>
      </c>
      <c r="G97" s="4" t="s">
        <v>9</v>
      </c>
      <c r="H97" s="7">
        <v>0.79700000000000004</v>
      </c>
      <c r="I97" s="42"/>
      <c r="J97" s="42"/>
      <c r="K97" s="42"/>
      <c r="L97" s="42"/>
      <c r="M97" s="42"/>
      <c r="N97" s="42"/>
      <c r="O97" s="42"/>
      <c r="P97" s="4"/>
      <c r="Q97" s="27">
        <f t="shared" si="2"/>
        <v>0</v>
      </c>
      <c r="R97" s="28">
        <f t="shared" si="3"/>
        <v>0</v>
      </c>
    </row>
    <row r="98" spans="2:18" ht="30" hidden="1" customHeight="1" x14ac:dyDescent="0.25">
      <c r="B98" s="17">
        <v>82</v>
      </c>
      <c r="C98" s="5" t="s">
        <v>110</v>
      </c>
      <c r="D98" s="5" t="s">
        <v>110</v>
      </c>
      <c r="E98" s="4" t="e" vm="39">
        <v>#VALUE!</v>
      </c>
      <c r="F98" s="4">
        <v>6000</v>
      </c>
      <c r="G98" s="4" t="s">
        <v>9</v>
      </c>
      <c r="H98" s="7">
        <v>0.42199999999999999</v>
      </c>
      <c r="I98" s="42"/>
      <c r="J98" s="42"/>
      <c r="K98" s="42"/>
      <c r="L98" s="42"/>
      <c r="M98" s="42"/>
      <c r="N98" s="42"/>
      <c r="O98" s="42"/>
      <c r="P98" s="4"/>
      <c r="Q98" s="27">
        <f t="shared" si="2"/>
        <v>0</v>
      </c>
      <c r="R98" s="28">
        <f t="shared" si="3"/>
        <v>0</v>
      </c>
    </row>
    <row r="99" spans="2:18" ht="30" hidden="1" customHeight="1" x14ac:dyDescent="0.25">
      <c r="B99" s="17">
        <v>83</v>
      </c>
      <c r="C99" s="5" t="s">
        <v>111</v>
      </c>
      <c r="D99" s="5" t="s">
        <v>111</v>
      </c>
      <c r="E99" s="4" t="e" vm="40">
        <v>#VALUE!</v>
      </c>
      <c r="F99" s="4">
        <v>6000</v>
      </c>
      <c r="G99" s="4" t="s">
        <v>9</v>
      </c>
      <c r="H99" s="7">
        <v>0.21199999999999999</v>
      </c>
      <c r="I99" s="42"/>
      <c r="J99" s="42"/>
      <c r="K99" s="42"/>
      <c r="L99" s="42"/>
      <c r="M99" s="42"/>
      <c r="N99" s="42"/>
      <c r="O99" s="42"/>
      <c r="P99" s="4"/>
      <c r="Q99" s="27">
        <f t="shared" si="2"/>
        <v>0</v>
      </c>
      <c r="R99" s="28">
        <f t="shared" si="3"/>
        <v>0</v>
      </c>
    </row>
    <row r="100" spans="2:18" ht="30" hidden="1" customHeight="1" x14ac:dyDescent="0.25">
      <c r="B100" s="17">
        <v>84</v>
      </c>
      <c r="C100" s="5" t="s">
        <v>112</v>
      </c>
      <c r="D100" s="38" t="s">
        <v>112</v>
      </c>
      <c r="E100" s="4" t="e" vm="41">
        <v>#VALUE!</v>
      </c>
      <c r="F100" s="4">
        <v>6000</v>
      </c>
      <c r="G100" s="4" t="s">
        <v>9</v>
      </c>
      <c r="H100" s="7"/>
      <c r="I100" s="42"/>
      <c r="J100" s="42"/>
      <c r="K100" s="42"/>
      <c r="L100" s="42"/>
      <c r="M100" s="42"/>
      <c r="N100" s="42"/>
      <c r="O100" s="42"/>
      <c r="P100" s="4"/>
      <c r="Q100" s="27" t="str">
        <f t="shared" si="2"/>
        <v/>
      </c>
      <c r="R100" s="28" t="str">
        <f t="shared" si="3"/>
        <v/>
      </c>
    </row>
    <row r="101" spans="2:18" ht="30" hidden="1" customHeight="1" x14ac:dyDescent="0.25">
      <c r="B101" s="17">
        <v>85</v>
      </c>
      <c r="C101" s="5" t="s">
        <v>113</v>
      </c>
      <c r="D101" s="5" t="s">
        <v>113</v>
      </c>
      <c r="E101" s="4" t="e" vm="42">
        <v>#VALUE!</v>
      </c>
      <c r="F101" s="4">
        <v>6000</v>
      </c>
      <c r="G101" s="4" t="s">
        <v>9</v>
      </c>
      <c r="H101" s="7">
        <v>0.216</v>
      </c>
      <c r="I101" s="42"/>
      <c r="J101" s="42"/>
      <c r="K101" s="42"/>
      <c r="L101" s="42"/>
      <c r="M101" s="42"/>
      <c r="N101" s="42"/>
      <c r="O101" s="42"/>
      <c r="P101" s="4"/>
      <c r="Q101" s="27">
        <f t="shared" si="2"/>
        <v>0</v>
      </c>
      <c r="R101" s="28">
        <f t="shared" si="3"/>
        <v>0</v>
      </c>
    </row>
    <row r="102" spans="2:18" ht="30" hidden="1" customHeight="1" x14ac:dyDescent="0.25">
      <c r="B102" s="17">
        <v>86</v>
      </c>
      <c r="C102" s="5" t="s">
        <v>114</v>
      </c>
      <c r="D102" s="5" t="s">
        <v>114</v>
      </c>
      <c r="E102" s="4" t="e" vm="43">
        <v>#VALUE!</v>
      </c>
      <c r="F102" s="4">
        <v>6000</v>
      </c>
      <c r="G102" s="4" t="s">
        <v>9</v>
      </c>
      <c r="H102" s="7">
        <v>0.74299999999999999</v>
      </c>
      <c r="I102" s="42"/>
      <c r="J102" s="42"/>
      <c r="K102" s="42"/>
      <c r="L102" s="42"/>
      <c r="M102" s="42"/>
      <c r="N102" s="42"/>
      <c r="O102" s="42"/>
      <c r="P102" s="4"/>
      <c r="Q102" s="27">
        <f t="shared" si="2"/>
        <v>0</v>
      </c>
      <c r="R102" s="28">
        <f t="shared" si="3"/>
        <v>0</v>
      </c>
    </row>
    <row r="103" spans="2:18" ht="30" hidden="1" customHeight="1" x14ac:dyDescent="0.25">
      <c r="B103" s="17">
        <v>87</v>
      </c>
      <c r="C103" s="5" t="s">
        <v>115</v>
      </c>
      <c r="D103" s="5" t="s">
        <v>115</v>
      </c>
      <c r="E103" s="4" t="e" vm="44">
        <v>#VALUE!</v>
      </c>
      <c r="F103" s="4">
        <v>6000</v>
      </c>
      <c r="G103" s="4" t="s">
        <v>9</v>
      </c>
      <c r="H103" s="7">
        <v>0.26800000000000002</v>
      </c>
      <c r="I103" s="42"/>
      <c r="J103" s="42"/>
      <c r="K103" s="42"/>
      <c r="L103" s="42"/>
      <c r="M103" s="42"/>
      <c r="N103" s="42"/>
      <c r="O103" s="42"/>
      <c r="P103" s="4"/>
      <c r="Q103" s="27">
        <f t="shared" si="2"/>
        <v>0</v>
      </c>
      <c r="R103" s="28">
        <f t="shared" si="3"/>
        <v>0</v>
      </c>
    </row>
    <row r="104" spans="2:18" ht="30" hidden="1" customHeight="1" x14ac:dyDescent="0.25">
      <c r="B104" s="17">
        <v>88</v>
      </c>
      <c r="C104" s="5" t="s">
        <v>116</v>
      </c>
      <c r="D104" s="5" t="s">
        <v>116</v>
      </c>
      <c r="E104" s="4" t="e" vm="45">
        <v>#VALUE!</v>
      </c>
      <c r="F104" s="4">
        <v>6000</v>
      </c>
      <c r="G104" s="4" t="s">
        <v>9</v>
      </c>
      <c r="H104" s="7">
        <v>0.34599999999999997</v>
      </c>
      <c r="I104" s="42"/>
      <c r="J104" s="42"/>
      <c r="K104" s="42"/>
      <c r="L104" s="42"/>
      <c r="M104" s="42"/>
      <c r="N104" s="42"/>
      <c r="O104" s="42"/>
      <c r="P104" s="4"/>
      <c r="Q104" s="27">
        <f t="shared" si="2"/>
        <v>0</v>
      </c>
      <c r="R104" s="28">
        <f t="shared" si="3"/>
        <v>0</v>
      </c>
    </row>
    <row r="105" spans="2:18" ht="30" hidden="1" customHeight="1" x14ac:dyDescent="0.25">
      <c r="B105" s="17">
        <v>89</v>
      </c>
      <c r="C105" s="5" t="s">
        <v>117</v>
      </c>
      <c r="D105" s="5" t="s">
        <v>117</v>
      </c>
      <c r="E105" s="4" t="e" vm="46">
        <v>#VALUE!</v>
      </c>
      <c r="F105" s="4">
        <v>6000</v>
      </c>
      <c r="G105" s="4" t="s">
        <v>9</v>
      </c>
      <c r="H105" s="7">
        <v>0.22900000000000001</v>
      </c>
      <c r="I105" s="42"/>
      <c r="J105" s="42"/>
      <c r="K105" s="42"/>
      <c r="L105" s="42"/>
      <c r="M105" s="42"/>
      <c r="N105" s="42"/>
      <c r="O105" s="42"/>
      <c r="P105" s="4"/>
      <c r="Q105" s="27">
        <f t="shared" si="2"/>
        <v>0</v>
      </c>
      <c r="R105" s="28">
        <f t="shared" si="3"/>
        <v>0</v>
      </c>
    </row>
    <row r="106" spans="2:18" ht="30" hidden="1" customHeight="1" x14ac:dyDescent="0.25">
      <c r="B106" s="17">
        <v>90</v>
      </c>
      <c r="C106" s="5" t="s">
        <v>118</v>
      </c>
      <c r="D106" s="5" t="s">
        <v>118</v>
      </c>
      <c r="E106" s="4" t="e" vm="47">
        <v>#VALUE!</v>
      </c>
      <c r="F106" s="4">
        <v>6000</v>
      </c>
      <c r="G106" s="4" t="s">
        <v>9</v>
      </c>
      <c r="H106" s="7">
        <v>0.47199999999999998</v>
      </c>
      <c r="I106" s="42"/>
      <c r="J106" s="42"/>
      <c r="K106" s="42"/>
      <c r="L106" s="42"/>
      <c r="M106" s="42"/>
      <c r="N106" s="42"/>
      <c r="O106" s="42"/>
      <c r="P106" s="4"/>
      <c r="Q106" s="27">
        <f t="shared" si="2"/>
        <v>0</v>
      </c>
      <c r="R106" s="28">
        <f t="shared" si="3"/>
        <v>0</v>
      </c>
    </row>
    <row r="107" spans="2:18" ht="30" hidden="1" customHeight="1" x14ac:dyDescent="0.25">
      <c r="B107" s="17">
        <v>91</v>
      </c>
      <c r="C107" s="5" t="s">
        <v>119</v>
      </c>
      <c r="D107" s="5" t="s">
        <v>119</v>
      </c>
      <c r="E107" s="4" t="e" vm="48">
        <v>#VALUE!</v>
      </c>
      <c r="F107" s="4">
        <v>6000</v>
      </c>
      <c r="G107" s="4" t="s">
        <v>9</v>
      </c>
      <c r="H107" s="7">
        <v>0.18</v>
      </c>
      <c r="I107" s="42"/>
      <c r="J107" s="42"/>
      <c r="K107" s="42"/>
      <c r="L107" s="42"/>
      <c r="M107" s="42"/>
      <c r="N107" s="42"/>
      <c r="O107" s="42"/>
      <c r="P107" s="4"/>
      <c r="Q107" s="27">
        <f t="shared" si="2"/>
        <v>0</v>
      </c>
      <c r="R107" s="28">
        <f t="shared" si="3"/>
        <v>0</v>
      </c>
    </row>
    <row r="108" spans="2:18" ht="30" hidden="1" customHeight="1" x14ac:dyDescent="0.25">
      <c r="B108" s="17">
        <v>92</v>
      </c>
      <c r="C108" s="5" t="s">
        <v>120</v>
      </c>
      <c r="D108" s="5" t="s">
        <v>120</v>
      </c>
      <c r="E108" s="4" t="e" vm="49">
        <v>#VALUE!</v>
      </c>
      <c r="F108" s="4">
        <v>6000</v>
      </c>
      <c r="G108" s="4" t="s">
        <v>9</v>
      </c>
      <c r="H108" s="7">
        <v>8.4000000000000005E-2</v>
      </c>
      <c r="I108" s="42"/>
      <c r="J108" s="42"/>
      <c r="K108" s="42"/>
      <c r="L108" s="42"/>
      <c r="M108" s="42"/>
      <c r="N108" s="42"/>
      <c r="O108" s="42"/>
      <c r="P108" s="4"/>
      <c r="Q108" s="27">
        <f t="shared" si="2"/>
        <v>0</v>
      </c>
      <c r="R108" s="28">
        <f t="shared" si="3"/>
        <v>0</v>
      </c>
    </row>
    <row r="109" spans="2:18" ht="30" hidden="1" customHeight="1" x14ac:dyDescent="0.25">
      <c r="B109" s="17">
        <v>93</v>
      </c>
      <c r="C109" s="5" t="s">
        <v>121</v>
      </c>
      <c r="D109" s="5" t="s">
        <v>121</v>
      </c>
      <c r="E109" s="4" t="e" vm="50">
        <v>#VALUE!</v>
      </c>
      <c r="F109" s="4">
        <v>6000</v>
      </c>
      <c r="G109" s="4" t="s">
        <v>9</v>
      </c>
      <c r="H109" s="7">
        <v>0.28299999999999997</v>
      </c>
      <c r="I109" s="42"/>
      <c r="J109" s="42"/>
      <c r="K109" s="42"/>
      <c r="L109" s="42"/>
      <c r="M109" s="42"/>
      <c r="N109" s="42"/>
      <c r="O109" s="42"/>
      <c r="P109" s="4"/>
      <c r="Q109" s="27">
        <f t="shared" si="2"/>
        <v>0</v>
      </c>
      <c r="R109" s="28">
        <f t="shared" si="3"/>
        <v>0</v>
      </c>
    </row>
    <row r="110" spans="2:18" ht="30" hidden="1" customHeight="1" x14ac:dyDescent="0.25">
      <c r="B110" s="17">
        <v>94</v>
      </c>
      <c r="C110" s="5" t="s">
        <v>122</v>
      </c>
      <c r="D110" s="5" t="s">
        <v>122</v>
      </c>
      <c r="E110" s="4" t="e" vm="51">
        <v>#VALUE!</v>
      </c>
      <c r="F110" s="4">
        <v>6000</v>
      </c>
      <c r="G110" s="4" t="s">
        <v>9</v>
      </c>
      <c r="H110" s="7">
        <v>0.188</v>
      </c>
      <c r="I110" s="42"/>
      <c r="J110" s="42"/>
      <c r="K110" s="42"/>
      <c r="L110" s="42"/>
      <c r="M110" s="42"/>
      <c r="N110" s="42"/>
      <c r="O110" s="42"/>
      <c r="P110" s="4"/>
      <c r="Q110" s="27">
        <f t="shared" si="2"/>
        <v>0</v>
      </c>
      <c r="R110" s="28">
        <f t="shared" si="3"/>
        <v>0</v>
      </c>
    </row>
    <row r="111" spans="2:18" ht="30" hidden="1" customHeight="1" x14ac:dyDescent="0.25">
      <c r="B111" s="17">
        <v>95</v>
      </c>
      <c r="C111" s="5" t="s">
        <v>123</v>
      </c>
      <c r="D111" s="5" t="s">
        <v>123</v>
      </c>
      <c r="E111" s="4" t="e" vm="52">
        <v>#VALUE!</v>
      </c>
      <c r="F111" s="4">
        <v>6000</v>
      </c>
      <c r="G111" s="4" t="s">
        <v>9</v>
      </c>
      <c r="H111" s="7">
        <v>0.23200000000000001</v>
      </c>
      <c r="I111" s="42"/>
      <c r="J111" s="42"/>
      <c r="K111" s="42"/>
      <c r="L111" s="42"/>
      <c r="M111" s="42"/>
      <c r="N111" s="42"/>
      <c r="O111" s="42"/>
      <c r="P111" s="4"/>
      <c r="Q111" s="27">
        <f t="shared" si="2"/>
        <v>0</v>
      </c>
      <c r="R111" s="28">
        <f t="shared" si="3"/>
        <v>0</v>
      </c>
    </row>
    <row r="112" spans="2:18" ht="30" hidden="1" customHeight="1" x14ac:dyDescent="0.25">
      <c r="B112" s="17">
        <v>96</v>
      </c>
      <c r="C112" s="5" t="s">
        <v>124</v>
      </c>
      <c r="D112" s="5" t="s">
        <v>124</v>
      </c>
      <c r="E112" s="4" t="e" vm="53">
        <v>#VALUE!</v>
      </c>
      <c r="F112" s="4">
        <v>6000</v>
      </c>
      <c r="G112" s="4" t="s">
        <v>9</v>
      </c>
      <c r="H112" s="7">
        <v>0.246</v>
      </c>
      <c r="I112" s="42"/>
      <c r="J112" s="42"/>
      <c r="K112" s="42"/>
      <c r="L112" s="42"/>
      <c r="M112" s="42"/>
      <c r="N112" s="42"/>
      <c r="O112" s="42"/>
      <c r="P112" s="4"/>
      <c r="Q112" s="27">
        <f t="shared" si="2"/>
        <v>0</v>
      </c>
      <c r="R112" s="28">
        <f t="shared" si="3"/>
        <v>0</v>
      </c>
    </row>
    <row r="113" spans="2:18" ht="30" hidden="1" customHeight="1" x14ac:dyDescent="0.25">
      <c r="B113" s="17">
        <v>97</v>
      </c>
      <c r="C113" s="5" t="s">
        <v>125</v>
      </c>
      <c r="D113" s="5" t="s">
        <v>125</v>
      </c>
      <c r="E113" s="4" t="e" vm="54">
        <v>#VALUE!</v>
      </c>
      <c r="F113" s="4">
        <v>6000</v>
      </c>
      <c r="G113" s="4" t="s">
        <v>9</v>
      </c>
      <c r="H113" s="7">
        <v>0.22700000000000001</v>
      </c>
      <c r="I113" s="42"/>
      <c r="J113" s="42"/>
      <c r="K113" s="42"/>
      <c r="L113" s="42"/>
      <c r="M113" s="42"/>
      <c r="N113" s="42"/>
      <c r="O113" s="42"/>
      <c r="P113" s="4"/>
      <c r="Q113" s="27">
        <f t="shared" si="2"/>
        <v>0</v>
      </c>
      <c r="R113" s="28">
        <f t="shared" si="3"/>
        <v>0</v>
      </c>
    </row>
    <row r="114" spans="2:18" ht="30" hidden="1" customHeight="1" x14ac:dyDescent="0.25">
      <c r="B114" s="17">
        <v>98</v>
      </c>
      <c r="C114" s="5" t="s">
        <v>126</v>
      </c>
      <c r="D114" s="5" t="s">
        <v>126</v>
      </c>
      <c r="E114" s="4" t="e" vm="55">
        <v>#VALUE!</v>
      </c>
      <c r="F114" s="4">
        <v>6000</v>
      </c>
      <c r="G114" s="4" t="s">
        <v>9</v>
      </c>
      <c r="H114" s="7">
        <v>8.6999999999999994E-2</v>
      </c>
      <c r="I114" s="42"/>
      <c r="J114" s="42"/>
      <c r="K114" s="42"/>
      <c r="L114" s="42"/>
      <c r="M114" s="42"/>
      <c r="N114" s="42"/>
      <c r="O114" s="42"/>
      <c r="P114" s="4"/>
      <c r="Q114" s="27">
        <f t="shared" si="2"/>
        <v>0</v>
      </c>
      <c r="R114" s="28">
        <f t="shared" si="3"/>
        <v>0</v>
      </c>
    </row>
    <row r="115" spans="2:18" ht="30" hidden="1" customHeight="1" x14ac:dyDescent="0.25">
      <c r="B115" s="17">
        <v>99</v>
      </c>
      <c r="C115" s="5" t="s">
        <v>127</v>
      </c>
      <c r="D115" s="5" t="s">
        <v>127</v>
      </c>
      <c r="E115" s="4" t="e" vm="56">
        <v>#VALUE!</v>
      </c>
      <c r="F115" s="4">
        <v>6000</v>
      </c>
      <c r="G115" s="4" t="s">
        <v>9</v>
      </c>
      <c r="H115" s="7">
        <v>0.20300000000000001</v>
      </c>
      <c r="I115" s="42"/>
      <c r="J115" s="42"/>
      <c r="K115" s="42"/>
      <c r="L115" s="42"/>
      <c r="M115" s="42"/>
      <c r="N115" s="42"/>
      <c r="O115" s="42"/>
      <c r="P115" s="4"/>
      <c r="Q115" s="27">
        <f t="shared" si="2"/>
        <v>0</v>
      </c>
      <c r="R115" s="28">
        <f t="shared" si="3"/>
        <v>0</v>
      </c>
    </row>
    <row r="116" spans="2:18" ht="30" hidden="1" customHeight="1" x14ac:dyDescent="0.25">
      <c r="B116" s="17">
        <v>100</v>
      </c>
      <c r="C116" s="5" t="s">
        <v>128</v>
      </c>
      <c r="D116" s="5" t="s">
        <v>128</v>
      </c>
      <c r="E116" s="4" t="e" vm="57">
        <v>#VALUE!</v>
      </c>
      <c r="F116" s="4">
        <v>6000</v>
      </c>
      <c r="G116" s="4" t="s">
        <v>9</v>
      </c>
      <c r="H116" s="7">
        <v>0.16300000000000001</v>
      </c>
      <c r="I116" s="42"/>
      <c r="J116" s="42"/>
      <c r="K116" s="42"/>
      <c r="L116" s="42"/>
      <c r="M116" s="42"/>
      <c r="N116" s="42"/>
      <c r="O116" s="42"/>
      <c r="P116" s="4"/>
      <c r="Q116" s="27">
        <f t="shared" si="2"/>
        <v>0</v>
      </c>
      <c r="R116" s="28">
        <f t="shared" si="3"/>
        <v>0</v>
      </c>
    </row>
    <row r="117" spans="2:18" ht="30" hidden="1" customHeight="1" x14ac:dyDescent="0.25">
      <c r="B117" s="17">
        <v>101</v>
      </c>
      <c r="C117" s="5" t="s">
        <v>129</v>
      </c>
      <c r="D117" s="5" t="s">
        <v>129</v>
      </c>
      <c r="E117" s="4" t="e" vm="58">
        <v>#VALUE!</v>
      </c>
      <c r="F117" s="4">
        <v>6000</v>
      </c>
      <c r="G117" s="4" t="s">
        <v>9</v>
      </c>
      <c r="H117" s="7">
        <v>0.48199999999999998</v>
      </c>
      <c r="I117" s="42"/>
      <c r="J117" s="42"/>
      <c r="K117" s="42"/>
      <c r="L117" s="42"/>
      <c r="M117" s="42"/>
      <c r="N117" s="42"/>
      <c r="O117" s="42"/>
      <c r="P117" s="4"/>
      <c r="Q117" s="27">
        <f t="shared" si="2"/>
        <v>0</v>
      </c>
      <c r="R117" s="28">
        <f t="shared" si="3"/>
        <v>0</v>
      </c>
    </row>
    <row r="118" spans="2:18" ht="30" hidden="1" customHeight="1" x14ac:dyDescent="0.25">
      <c r="B118" s="17">
        <v>102</v>
      </c>
      <c r="C118" s="5" t="s">
        <v>130</v>
      </c>
      <c r="D118" s="5" t="s">
        <v>130</v>
      </c>
      <c r="E118" s="4" t="e" vm="59">
        <v>#VALUE!</v>
      </c>
      <c r="F118" s="4">
        <v>6000</v>
      </c>
      <c r="G118" s="4" t="s">
        <v>9</v>
      </c>
      <c r="H118" s="7">
        <v>8.8999999999999996E-2</v>
      </c>
      <c r="I118" s="42"/>
      <c r="J118" s="42"/>
      <c r="K118" s="42"/>
      <c r="L118" s="42"/>
      <c r="M118" s="42"/>
      <c r="N118" s="42"/>
      <c r="O118" s="42"/>
      <c r="P118" s="4"/>
      <c r="Q118" s="27">
        <f t="shared" si="2"/>
        <v>0</v>
      </c>
      <c r="R118" s="28">
        <f t="shared" si="3"/>
        <v>0</v>
      </c>
    </row>
    <row r="119" spans="2:18" ht="30" hidden="1" customHeight="1" x14ac:dyDescent="0.25">
      <c r="B119" s="17">
        <v>103</v>
      </c>
      <c r="C119" s="5" t="s">
        <v>131</v>
      </c>
      <c r="D119" s="5" t="s">
        <v>131</v>
      </c>
      <c r="E119" s="4" t="e" vm="60">
        <v>#VALUE!</v>
      </c>
      <c r="F119" s="4"/>
      <c r="G119" s="4" t="s">
        <v>9</v>
      </c>
      <c r="H119" s="7">
        <v>0.57799999999999996</v>
      </c>
      <c r="I119" s="42"/>
      <c r="J119" s="42"/>
      <c r="K119" s="42"/>
      <c r="L119" s="42"/>
      <c r="M119" s="42"/>
      <c r="N119" s="42"/>
      <c r="O119" s="42"/>
      <c r="P119" s="4"/>
      <c r="Q119" s="27" t="str">
        <f t="shared" si="2"/>
        <v/>
      </c>
      <c r="R119" s="28" t="str">
        <f t="shared" si="3"/>
        <v/>
      </c>
    </row>
    <row r="120" spans="2:18" ht="30" hidden="1" customHeight="1" x14ac:dyDescent="0.25">
      <c r="B120" s="17">
        <v>104</v>
      </c>
      <c r="C120" s="5" t="s">
        <v>132</v>
      </c>
      <c r="D120" s="5" t="s">
        <v>132</v>
      </c>
      <c r="E120" s="4" t="e" vm="61">
        <v>#VALUE!</v>
      </c>
      <c r="F120" s="4"/>
      <c r="G120" s="4" t="s">
        <v>9</v>
      </c>
      <c r="H120" s="7">
        <v>0.46800000000000003</v>
      </c>
      <c r="I120" s="42"/>
      <c r="J120" s="42"/>
      <c r="K120" s="42"/>
      <c r="L120" s="42"/>
      <c r="M120" s="42"/>
      <c r="N120" s="42"/>
      <c r="O120" s="42"/>
      <c r="P120" s="4"/>
      <c r="Q120" s="27" t="str">
        <f t="shared" si="2"/>
        <v/>
      </c>
      <c r="R120" s="28" t="str">
        <f t="shared" si="3"/>
        <v/>
      </c>
    </row>
    <row r="121" spans="2:18" ht="30" hidden="1" customHeight="1" x14ac:dyDescent="0.25">
      <c r="B121" s="17">
        <v>105</v>
      </c>
      <c r="C121" s="5" t="s">
        <v>133</v>
      </c>
      <c r="D121" s="5" t="s">
        <v>134</v>
      </c>
      <c r="E121" s="4" t="e" vm="62">
        <v>#VALUE!</v>
      </c>
      <c r="F121" s="4">
        <v>6000</v>
      </c>
      <c r="G121" s="4" t="s">
        <v>9</v>
      </c>
      <c r="H121" s="7">
        <v>0.29799999999999999</v>
      </c>
      <c r="I121" s="42"/>
      <c r="J121" s="42"/>
      <c r="K121" s="42"/>
      <c r="L121" s="42"/>
      <c r="M121" s="42"/>
      <c r="N121" s="42"/>
      <c r="O121" s="42"/>
      <c r="P121" s="4"/>
      <c r="Q121" s="27">
        <f t="shared" si="2"/>
        <v>0</v>
      </c>
      <c r="R121" s="28">
        <f t="shared" si="3"/>
        <v>0</v>
      </c>
    </row>
    <row r="122" spans="2:18" ht="30" hidden="1" customHeight="1" x14ac:dyDescent="0.25">
      <c r="B122" s="17">
        <v>106</v>
      </c>
      <c r="C122" s="5" t="s">
        <v>135</v>
      </c>
      <c r="D122" s="5" t="s">
        <v>135</v>
      </c>
      <c r="E122" s="4" t="e" vm="63">
        <v>#VALUE!</v>
      </c>
      <c r="F122" s="4">
        <v>6000</v>
      </c>
      <c r="G122" s="4" t="s">
        <v>9</v>
      </c>
      <c r="H122" s="7">
        <v>0.34399999999999997</v>
      </c>
      <c r="I122" s="42"/>
      <c r="J122" s="42"/>
      <c r="K122" s="42"/>
      <c r="L122" s="42"/>
      <c r="M122" s="42"/>
      <c r="N122" s="42"/>
      <c r="O122" s="42"/>
      <c r="P122" s="4"/>
      <c r="Q122" s="27">
        <f t="shared" si="2"/>
        <v>0</v>
      </c>
      <c r="R122" s="28">
        <f t="shared" si="3"/>
        <v>0</v>
      </c>
    </row>
    <row r="123" spans="2:18" ht="30" hidden="1" customHeight="1" x14ac:dyDescent="0.25">
      <c r="B123" s="17">
        <v>107</v>
      </c>
      <c r="C123" s="5" t="s">
        <v>136</v>
      </c>
      <c r="D123" s="5" t="s">
        <v>136</v>
      </c>
      <c r="E123" s="4" t="e" vm="64">
        <v>#VALUE!</v>
      </c>
      <c r="F123" s="4">
        <v>6000</v>
      </c>
      <c r="G123" s="4" t="s">
        <v>9</v>
      </c>
      <c r="H123" s="7">
        <v>0.36499999999999999</v>
      </c>
      <c r="I123" s="42"/>
      <c r="J123" s="42"/>
      <c r="K123" s="42"/>
      <c r="L123" s="42"/>
      <c r="M123" s="42"/>
      <c r="N123" s="42"/>
      <c r="O123" s="42"/>
      <c r="P123" s="4"/>
      <c r="Q123" s="27">
        <f t="shared" si="2"/>
        <v>0</v>
      </c>
      <c r="R123" s="28">
        <f t="shared" si="3"/>
        <v>0</v>
      </c>
    </row>
    <row r="124" spans="2:18" ht="30" hidden="1" customHeight="1" x14ac:dyDescent="0.25">
      <c r="B124" s="17">
        <v>108</v>
      </c>
      <c r="C124" s="5" t="s">
        <v>137</v>
      </c>
      <c r="D124" s="5" t="s">
        <v>138</v>
      </c>
      <c r="E124" s="4" t="e" vm="65">
        <v>#VALUE!</v>
      </c>
      <c r="F124" s="4">
        <v>6000</v>
      </c>
      <c r="G124" s="4" t="s">
        <v>9</v>
      </c>
      <c r="H124" s="7">
        <v>0.33900000000000002</v>
      </c>
      <c r="I124" s="42"/>
      <c r="J124" s="42"/>
      <c r="K124" s="42"/>
      <c r="L124" s="42"/>
      <c r="M124" s="42"/>
      <c r="N124" s="42"/>
      <c r="O124" s="42"/>
      <c r="P124" s="4"/>
      <c r="Q124" s="27">
        <f t="shared" si="2"/>
        <v>0</v>
      </c>
      <c r="R124" s="28">
        <f t="shared" si="3"/>
        <v>0</v>
      </c>
    </row>
    <row r="125" spans="2:18" ht="30" hidden="1" customHeight="1" x14ac:dyDescent="0.25">
      <c r="B125" s="17">
        <v>109</v>
      </c>
      <c r="C125" s="5" t="s">
        <v>139</v>
      </c>
      <c r="D125" s="5" t="s">
        <v>139</v>
      </c>
      <c r="E125" s="4" t="e" vm="66">
        <v>#VALUE!</v>
      </c>
      <c r="F125" s="4">
        <v>6000</v>
      </c>
      <c r="G125" s="4" t="s">
        <v>9</v>
      </c>
      <c r="H125" s="7">
        <v>0.47599999999999998</v>
      </c>
      <c r="I125" s="42"/>
      <c r="J125" s="42"/>
      <c r="K125" s="42"/>
      <c r="L125" s="42"/>
      <c r="M125" s="42"/>
      <c r="N125" s="42"/>
      <c r="O125" s="42"/>
      <c r="P125" s="4"/>
      <c r="Q125" s="27">
        <f t="shared" si="2"/>
        <v>0</v>
      </c>
      <c r="R125" s="28">
        <f t="shared" si="3"/>
        <v>0</v>
      </c>
    </row>
    <row r="126" spans="2:18" ht="30" hidden="1" customHeight="1" x14ac:dyDescent="0.25">
      <c r="B126" s="17">
        <v>110</v>
      </c>
      <c r="C126" s="5" t="s">
        <v>140</v>
      </c>
      <c r="D126" s="5" t="s">
        <v>141</v>
      </c>
      <c r="E126" s="4" t="e" vm="67">
        <v>#VALUE!</v>
      </c>
      <c r="F126" s="4"/>
      <c r="G126" s="4" t="s">
        <v>9</v>
      </c>
      <c r="H126" s="7">
        <v>0.42299999999999999</v>
      </c>
      <c r="I126" s="42"/>
      <c r="J126" s="42"/>
      <c r="K126" s="42"/>
      <c r="L126" s="42"/>
      <c r="M126" s="42"/>
      <c r="N126" s="42"/>
      <c r="O126" s="42"/>
      <c r="P126" s="4"/>
      <c r="Q126" s="27" t="str">
        <f t="shared" si="2"/>
        <v/>
      </c>
      <c r="R126" s="28" t="str">
        <f t="shared" si="3"/>
        <v/>
      </c>
    </row>
    <row r="127" spans="2:18" ht="30" hidden="1" customHeight="1" x14ac:dyDescent="0.25">
      <c r="B127" s="17">
        <v>111</v>
      </c>
      <c r="C127" s="5" t="s">
        <v>142</v>
      </c>
      <c r="D127" s="5" t="s">
        <v>142</v>
      </c>
      <c r="E127" s="4" t="e" vm="68">
        <v>#VALUE!</v>
      </c>
      <c r="F127" s="4">
        <v>6000</v>
      </c>
      <c r="G127" s="4" t="s">
        <v>9</v>
      </c>
      <c r="H127" s="7">
        <v>0.159</v>
      </c>
      <c r="I127" s="42"/>
      <c r="J127" s="42"/>
      <c r="K127" s="42"/>
      <c r="L127" s="42"/>
      <c r="M127" s="42"/>
      <c r="N127" s="42"/>
      <c r="O127" s="42"/>
      <c r="P127" s="4"/>
      <c r="Q127" s="27">
        <f t="shared" si="2"/>
        <v>0</v>
      </c>
      <c r="R127" s="28">
        <f t="shared" si="3"/>
        <v>0</v>
      </c>
    </row>
    <row r="128" spans="2:18" ht="30" hidden="1" customHeight="1" x14ac:dyDescent="0.25">
      <c r="B128" s="17">
        <v>112</v>
      </c>
      <c r="C128" s="5" t="s">
        <v>143</v>
      </c>
      <c r="D128" s="5" t="s">
        <v>143</v>
      </c>
      <c r="E128" s="4" t="e" vm="69">
        <v>#VALUE!</v>
      </c>
      <c r="F128" s="4">
        <v>6000</v>
      </c>
      <c r="G128" s="4" t="s">
        <v>9</v>
      </c>
      <c r="H128" s="7">
        <v>0.78700000000000003</v>
      </c>
      <c r="I128" s="42"/>
      <c r="J128" s="42"/>
      <c r="K128" s="42"/>
      <c r="L128" s="42"/>
      <c r="M128" s="42"/>
      <c r="N128" s="42"/>
      <c r="O128" s="42"/>
      <c r="P128" s="4"/>
      <c r="Q128" s="27">
        <f t="shared" si="2"/>
        <v>0</v>
      </c>
      <c r="R128" s="28">
        <f t="shared" si="3"/>
        <v>0</v>
      </c>
    </row>
    <row r="129" spans="2:18" ht="30" hidden="1" customHeight="1" x14ac:dyDescent="0.25">
      <c r="B129" s="17">
        <v>113</v>
      </c>
      <c r="C129" s="5" t="s">
        <v>144</v>
      </c>
      <c r="D129" s="5" t="s">
        <v>144</v>
      </c>
      <c r="E129" s="4" t="e" vm="70">
        <v>#VALUE!</v>
      </c>
      <c r="F129" s="4">
        <v>6000</v>
      </c>
      <c r="G129" s="4" t="s">
        <v>9</v>
      </c>
      <c r="H129" s="7">
        <v>0.46200000000000002</v>
      </c>
      <c r="I129" s="42"/>
      <c r="J129" s="42"/>
      <c r="K129" s="42"/>
      <c r="L129" s="42"/>
      <c r="M129" s="42"/>
      <c r="N129" s="42"/>
      <c r="O129" s="42"/>
      <c r="P129" s="4"/>
      <c r="Q129" s="27">
        <f t="shared" si="2"/>
        <v>0</v>
      </c>
      <c r="R129" s="28">
        <f t="shared" si="3"/>
        <v>0</v>
      </c>
    </row>
    <row r="130" spans="2:18" ht="30" hidden="1" customHeight="1" x14ac:dyDescent="0.25">
      <c r="B130" s="17">
        <v>114</v>
      </c>
      <c r="C130" s="5" t="s">
        <v>145</v>
      </c>
      <c r="D130" s="5" t="s">
        <v>145</v>
      </c>
      <c r="E130" s="4" t="e" vm="71">
        <v>#VALUE!</v>
      </c>
      <c r="F130" s="4">
        <v>6000</v>
      </c>
      <c r="G130" s="4" t="s">
        <v>9</v>
      </c>
      <c r="H130" s="7">
        <v>0.42799999999999999</v>
      </c>
      <c r="I130" s="42"/>
      <c r="J130" s="42"/>
      <c r="K130" s="42"/>
      <c r="L130" s="42"/>
      <c r="M130" s="42"/>
      <c r="N130" s="42"/>
      <c r="O130" s="42"/>
      <c r="P130" s="4"/>
      <c r="Q130" s="27">
        <f t="shared" si="2"/>
        <v>0</v>
      </c>
      <c r="R130" s="28">
        <f t="shared" si="3"/>
        <v>0</v>
      </c>
    </row>
    <row r="131" spans="2:18" ht="30" hidden="1" customHeight="1" x14ac:dyDescent="0.25">
      <c r="B131" s="17">
        <v>115</v>
      </c>
      <c r="C131" s="5" t="s">
        <v>146</v>
      </c>
      <c r="D131" s="5" t="s">
        <v>146</v>
      </c>
      <c r="E131" s="4" t="e" vm="72">
        <v>#VALUE!</v>
      </c>
      <c r="F131" s="4">
        <v>6000</v>
      </c>
      <c r="G131" s="4" t="s">
        <v>9</v>
      </c>
      <c r="H131" s="7">
        <v>0.38200000000000001</v>
      </c>
      <c r="I131" s="42"/>
      <c r="J131" s="42"/>
      <c r="K131" s="42"/>
      <c r="L131" s="42"/>
      <c r="M131" s="42"/>
      <c r="N131" s="42"/>
      <c r="O131" s="42"/>
      <c r="P131" s="4"/>
      <c r="Q131" s="27">
        <f t="shared" si="2"/>
        <v>0</v>
      </c>
      <c r="R131" s="28">
        <f t="shared" si="3"/>
        <v>0</v>
      </c>
    </row>
    <row r="132" spans="2:18" ht="30" hidden="1" customHeight="1" x14ac:dyDescent="0.25">
      <c r="B132" s="17">
        <v>116</v>
      </c>
      <c r="C132" s="5" t="s">
        <v>147</v>
      </c>
      <c r="D132" s="5" t="s">
        <v>147</v>
      </c>
      <c r="E132" s="4" t="e" vm="73">
        <v>#VALUE!</v>
      </c>
      <c r="F132" s="4">
        <v>6000</v>
      </c>
      <c r="G132" s="4" t="s">
        <v>9</v>
      </c>
      <c r="H132" s="7">
        <v>0.313</v>
      </c>
      <c r="I132" s="42"/>
      <c r="J132" s="42"/>
      <c r="K132" s="42"/>
      <c r="L132" s="42"/>
      <c r="M132" s="42"/>
      <c r="N132" s="42"/>
      <c r="O132" s="42"/>
      <c r="P132" s="4"/>
      <c r="Q132" s="27">
        <f t="shared" si="2"/>
        <v>0</v>
      </c>
      <c r="R132" s="28">
        <f t="shared" si="3"/>
        <v>0</v>
      </c>
    </row>
    <row r="133" spans="2:18" ht="30" hidden="1" customHeight="1" x14ac:dyDescent="0.25">
      <c r="B133" s="17">
        <v>117</v>
      </c>
      <c r="C133" s="5" t="s">
        <v>148</v>
      </c>
      <c r="D133" s="5" t="s">
        <v>148</v>
      </c>
      <c r="E133" s="4" t="e" vm="74">
        <v>#VALUE!</v>
      </c>
      <c r="F133" s="4">
        <v>6000</v>
      </c>
      <c r="G133" s="4" t="s">
        <v>9</v>
      </c>
      <c r="H133" s="7">
        <v>1.06</v>
      </c>
      <c r="I133" s="42"/>
      <c r="J133" s="42"/>
      <c r="K133" s="42"/>
      <c r="L133" s="42"/>
      <c r="M133" s="42"/>
      <c r="N133" s="42"/>
      <c r="O133" s="42"/>
      <c r="P133" s="4"/>
      <c r="Q133" s="27">
        <f t="shared" si="2"/>
        <v>0</v>
      </c>
      <c r="R133" s="28">
        <f t="shared" si="3"/>
        <v>0</v>
      </c>
    </row>
    <row r="134" spans="2:18" ht="30" hidden="1" customHeight="1" x14ac:dyDescent="0.25">
      <c r="B134" s="17">
        <v>118</v>
      </c>
      <c r="C134" s="5" t="s">
        <v>149</v>
      </c>
      <c r="D134" s="5" t="s">
        <v>149</v>
      </c>
      <c r="E134" s="4" t="e" vm="75">
        <v>#VALUE!</v>
      </c>
      <c r="F134" s="4">
        <v>6000</v>
      </c>
      <c r="G134" s="4" t="s">
        <v>9</v>
      </c>
      <c r="H134" s="7">
        <v>0.98199999999999998</v>
      </c>
      <c r="I134" s="42"/>
      <c r="J134" s="42"/>
      <c r="K134" s="42"/>
      <c r="L134" s="42"/>
      <c r="M134" s="42"/>
      <c r="N134" s="42"/>
      <c r="O134" s="42"/>
      <c r="P134" s="4"/>
      <c r="Q134" s="27">
        <f t="shared" si="2"/>
        <v>0</v>
      </c>
      <c r="R134" s="28">
        <f t="shared" si="3"/>
        <v>0</v>
      </c>
    </row>
    <row r="135" spans="2:18" ht="30" hidden="1" customHeight="1" x14ac:dyDescent="0.25">
      <c r="B135" s="17">
        <v>119</v>
      </c>
      <c r="C135" s="5" t="s">
        <v>150</v>
      </c>
      <c r="D135" s="5" t="s">
        <v>150</v>
      </c>
      <c r="E135" s="4" t="e" vm="76">
        <v>#VALUE!</v>
      </c>
      <c r="F135" s="4">
        <v>6000</v>
      </c>
      <c r="G135" s="4" t="s">
        <v>9</v>
      </c>
      <c r="H135" s="7">
        <v>0.49</v>
      </c>
      <c r="I135" s="42"/>
      <c r="J135" s="42"/>
      <c r="K135" s="42"/>
      <c r="L135" s="42"/>
      <c r="M135" s="42"/>
      <c r="N135" s="42"/>
      <c r="O135" s="42"/>
      <c r="P135" s="4"/>
      <c r="Q135" s="27">
        <f t="shared" si="2"/>
        <v>0</v>
      </c>
      <c r="R135" s="28">
        <f t="shared" si="3"/>
        <v>0</v>
      </c>
    </row>
    <row r="136" spans="2:18" ht="30" hidden="1" customHeight="1" x14ac:dyDescent="0.25">
      <c r="B136" s="17">
        <v>120</v>
      </c>
      <c r="C136" s="5" t="s">
        <v>151</v>
      </c>
      <c r="D136" s="5" t="s">
        <v>151</v>
      </c>
      <c r="E136" s="4" t="e" vm="77">
        <v>#VALUE!</v>
      </c>
      <c r="F136" s="4">
        <v>6000</v>
      </c>
      <c r="G136" s="4" t="s">
        <v>9</v>
      </c>
      <c r="H136" s="7">
        <v>0.58099999999999996</v>
      </c>
      <c r="I136" s="42"/>
      <c r="J136" s="42"/>
      <c r="K136" s="42"/>
      <c r="L136" s="42"/>
      <c r="M136" s="42"/>
      <c r="N136" s="42"/>
      <c r="O136" s="42"/>
      <c r="P136" s="4"/>
      <c r="Q136" s="27">
        <f t="shared" si="2"/>
        <v>0</v>
      </c>
      <c r="R136" s="28">
        <f t="shared" si="3"/>
        <v>0</v>
      </c>
    </row>
    <row r="137" spans="2:18" ht="30" customHeight="1" x14ac:dyDescent="0.25">
      <c r="B137" s="17">
        <v>121</v>
      </c>
      <c r="C137" s="5" t="s">
        <v>152</v>
      </c>
      <c r="D137" s="5" t="s">
        <v>152</v>
      </c>
      <c r="E137" s="4" t="e" vm="78">
        <v>#VALUE!</v>
      </c>
      <c r="F137" s="4">
        <v>6000</v>
      </c>
      <c r="G137" s="4" t="s">
        <v>9</v>
      </c>
      <c r="H137" s="7">
        <v>0.10299999999999999</v>
      </c>
      <c r="I137" s="42"/>
      <c r="J137" s="42"/>
      <c r="K137" s="42">
        <v>300</v>
      </c>
      <c r="L137" s="42"/>
      <c r="M137" s="42"/>
      <c r="N137" s="42"/>
      <c r="O137" s="42"/>
      <c r="P137" s="4"/>
      <c r="Q137" s="27">
        <f t="shared" si="2"/>
        <v>185.4</v>
      </c>
      <c r="R137" s="28">
        <f t="shared" si="3"/>
        <v>185.4</v>
      </c>
    </row>
    <row r="138" spans="2:18" ht="30" hidden="1" customHeight="1" x14ac:dyDescent="0.25">
      <c r="B138" s="17">
        <v>122</v>
      </c>
      <c r="C138" s="5" t="s">
        <v>153</v>
      </c>
      <c r="D138" s="5" t="s">
        <v>153</v>
      </c>
      <c r="E138" s="4" t="e" vm="79">
        <v>#VALUE!</v>
      </c>
      <c r="F138" s="4">
        <v>6000</v>
      </c>
      <c r="G138" s="4" t="s">
        <v>9</v>
      </c>
      <c r="H138" s="7">
        <v>0.108</v>
      </c>
      <c r="I138" s="42"/>
      <c r="J138" s="42"/>
      <c r="K138" s="42"/>
      <c r="L138" s="42"/>
      <c r="M138" s="42"/>
      <c r="N138" s="42"/>
      <c r="O138" s="42"/>
      <c r="P138" s="4"/>
      <c r="Q138" s="27">
        <f t="shared" si="2"/>
        <v>0</v>
      </c>
      <c r="R138" s="28">
        <f t="shared" si="3"/>
        <v>0</v>
      </c>
    </row>
    <row r="139" spans="2:18" ht="30" hidden="1" customHeight="1" x14ac:dyDescent="0.25">
      <c r="B139" s="17">
        <v>123</v>
      </c>
      <c r="C139" s="5" t="s">
        <v>154</v>
      </c>
      <c r="D139" s="5" t="s">
        <v>154</v>
      </c>
      <c r="E139" s="4" t="e" vm="80">
        <v>#VALUE!</v>
      </c>
      <c r="F139" s="4">
        <v>6000</v>
      </c>
      <c r="G139" s="4" t="s">
        <v>9</v>
      </c>
      <c r="H139" s="7">
        <v>0.16900000000000001</v>
      </c>
      <c r="I139" s="42"/>
      <c r="J139" s="42"/>
      <c r="K139" s="42"/>
      <c r="L139" s="42"/>
      <c r="M139" s="42"/>
      <c r="N139" s="42"/>
      <c r="O139" s="42"/>
      <c r="P139" s="4"/>
      <c r="Q139" s="27">
        <f t="shared" si="2"/>
        <v>0</v>
      </c>
      <c r="R139" s="28">
        <f t="shared" si="3"/>
        <v>0</v>
      </c>
    </row>
    <row r="140" spans="2:18" ht="30" customHeight="1" x14ac:dyDescent="0.25">
      <c r="B140" s="17">
        <v>124</v>
      </c>
      <c r="C140" s="5">
        <v>25001</v>
      </c>
      <c r="D140" s="5">
        <v>25001</v>
      </c>
      <c r="E140" s="4" t="e" vm="81">
        <v>#VALUE!</v>
      </c>
      <c r="F140" s="4">
        <v>6000</v>
      </c>
      <c r="G140" s="4" t="s">
        <v>9</v>
      </c>
      <c r="H140" s="7">
        <v>0.28599999999999998</v>
      </c>
      <c r="I140" s="42"/>
      <c r="J140" s="42">
        <v>50</v>
      </c>
      <c r="K140" s="42">
        <v>100</v>
      </c>
      <c r="L140" s="42"/>
      <c r="M140" s="42"/>
      <c r="N140" s="42"/>
      <c r="O140" s="42"/>
      <c r="P140" s="4"/>
      <c r="Q140" s="27">
        <f t="shared" si="2"/>
        <v>257.39999999999998</v>
      </c>
      <c r="R140" s="28">
        <f t="shared" si="3"/>
        <v>257.39999999999998</v>
      </c>
    </row>
    <row r="141" spans="2:18" ht="30" customHeight="1" x14ac:dyDescent="0.25">
      <c r="B141" s="17">
        <v>125</v>
      </c>
      <c r="C141" s="5" t="s">
        <v>155</v>
      </c>
      <c r="D141" s="5" t="s">
        <v>155</v>
      </c>
      <c r="E141" s="4" t="e" vm="82">
        <v>#VALUE!</v>
      </c>
      <c r="F141" s="4">
        <v>6000</v>
      </c>
      <c r="G141" s="4" t="s">
        <v>9</v>
      </c>
      <c r="H141" s="7">
        <v>0.24399999999999999</v>
      </c>
      <c r="I141" s="42"/>
      <c r="J141" s="42"/>
      <c r="K141" s="42">
        <v>300</v>
      </c>
      <c r="L141" s="42"/>
      <c r="M141" s="42"/>
      <c r="N141" s="42"/>
      <c r="O141" s="42"/>
      <c r="P141" s="4"/>
      <c r="Q141" s="27">
        <f t="shared" si="2"/>
        <v>439.2</v>
      </c>
      <c r="R141" s="28">
        <f t="shared" si="3"/>
        <v>439.2</v>
      </c>
    </row>
    <row r="142" spans="2:18" ht="30" customHeight="1" x14ac:dyDescent="0.25">
      <c r="B142" s="17">
        <v>126</v>
      </c>
      <c r="C142" s="5">
        <v>25016</v>
      </c>
      <c r="D142" s="5">
        <v>25016</v>
      </c>
      <c r="E142" s="4" t="e" vm="83">
        <v>#VALUE!</v>
      </c>
      <c r="F142" s="4">
        <v>6000</v>
      </c>
      <c r="G142" s="4" t="s">
        <v>9</v>
      </c>
      <c r="H142" s="7">
        <v>0.32300000000000001</v>
      </c>
      <c r="I142" s="42"/>
      <c r="J142" s="42">
        <v>200</v>
      </c>
      <c r="K142" s="42">
        <v>300</v>
      </c>
      <c r="L142" s="42"/>
      <c r="M142" s="42"/>
      <c r="N142" s="42"/>
      <c r="O142" s="42"/>
      <c r="P142" s="4"/>
      <c r="Q142" s="27">
        <f t="shared" si="2"/>
        <v>969</v>
      </c>
      <c r="R142" s="28">
        <f t="shared" si="3"/>
        <v>969</v>
      </c>
    </row>
    <row r="143" spans="2:18" ht="30" hidden="1" customHeight="1" x14ac:dyDescent="0.25">
      <c r="B143" s="17">
        <v>127</v>
      </c>
      <c r="C143" s="5">
        <v>25021</v>
      </c>
      <c r="D143" s="5">
        <v>25021</v>
      </c>
      <c r="E143" s="4" t="e" vm="84">
        <v>#VALUE!</v>
      </c>
      <c r="F143" s="4">
        <v>6000</v>
      </c>
      <c r="G143" s="4" t="s">
        <v>9</v>
      </c>
      <c r="H143" s="7">
        <v>0.21299999999999999</v>
      </c>
      <c r="I143" s="42"/>
      <c r="J143" s="42"/>
      <c r="K143" s="42"/>
      <c r="L143" s="42"/>
      <c r="M143" s="42"/>
      <c r="N143" s="42"/>
      <c r="O143" s="42"/>
      <c r="P143" s="4"/>
      <c r="Q143" s="27">
        <f t="shared" si="2"/>
        <v>0</v>
      </c>
      <c r="R143" s="28">
        <f t="shared" si="3"/>
        <v>0</v>
      </c>
    </row>
    <row r="144" spans="2:18" ht="30" customHeight="1" x14ac:dyDescent="0.25">
      <c r="B144" s="17">
        <v>128</v>
      </c>
      <c r="C144" s="5">
        <v>25026</v>
      </c>
      <c r="D144" s="5">
        <v>25026</v>
      </c>
      <c r="E144" s="4" t="e" vm="85">
        <v>#VALUE!</v>
      </c>
      <c r="F144" s="4">
        <v>6000</v>
      </c>
      <c r="G144" s="4" t="s">
        <v>9</v>
      </c>
      <c r="H144" s="7">
        <v>0.47599999999999998</v>
      </c>
      <c r="I144" s="42"/>
      <c r="J144" s="42">
        <v>80</v>
      </c>
      <c r="K144" s="42">
        <v>80</v>
      </c>
      <c r="L144" s="42"/>
      <c r="M144" s="42"/>
      <c r="N144" s="42"/>
      <c r="O144" s="42"/>
      <c r="P144" s="4"/>
      <c r="Q144" s="27">
        <f t="shared" si="2"/>
        <v>456.96</v>
      </c>
      <c r="R144" s="28">
        <f t="shared" si="3"/>
        <v>456.96</v>
      </c>
    </row>
    <row r="145" spans="2:18" ht="30" hidden="1" customHeight="1" x14ac:dyDescent="0.25">
      <c r="B145" s="17">
        <v>129</v>
      </c>
      <c r="C145" s="5" t="s">
        <v>156</v>
      </c>
      <c r="D145" s="5">
        <v>25048</v>
      </c>
      <c r="E145" s="4" t="e" vm="86">
        <v>#VALUE!</v>
      </c>
      <c r="F145" s="4">
        <v>6000</v>
      </c>
      <c r="G145" s="4" t="s">
        <v>9</v>
      </c>
      <c r="H145" s="7">
        <v>0.436</v>
      </c>
      <c r="I145" s="42"/>
      <c r="J145" s="42"/>
      <c r="K145" s="42"/>
      <c r="L145" s="42"/>
      <c r="M145" s="42"/>
      <c r="N145" s="42"/>
      <c r="O145" s="42"/>
      <c r="P145" s="4"/>
      <c r="Q145" s="27">
        <f t="shared" ref="Q145:Q208" si="4">IFERROR(IF(OR(F145=0,H145=0),"",SUM(I145:O145)*F145*H145/1000),0)</f>
        <v>0</v>
      </c>
      <c r="R145" s="28">
        <f t="shared" si="3"/>
        <v>0</v>
      </c>
    </row>
    <row r="146" spans="2:18" ht="30" hidden="1" customHeight="1" x14ac:dyDescent="0.25">
      <c r="B146" s="17">
        <v>130</v>
      </c>
      <c r="C146" s="5" t="s">
        <v>157</v>
      </c>
      <c r="D146" s="5">
        <v>25052</v>
      </c>
      <c r="E146" s="4" t="e" vm="87">
        <v>#VALUE!</v>
      </c>
      <c r="F146" s="4">
        <v>6000</v>
      </c>
      <c r="G146" s="4" t="s">
        <v>9</v>
      </c>
      <c r="H146" s="7">
        <v>0.33</v>
      </c>
      <c r="I146" s="42"/>
      <c r="J146" s="42"/>
      <c r="K146" s="42"/>
      <c r="L146" s="42"/>
      <c r="M146" s="42"/>
      <c r="N146" s="42"/>
      <c r="O146" s="42"/>
      <c r="P146" s="4"/>
      <c r="Q146" s="27">
        <f t="shared" si="4"/>
        <v>0</v>
      </c>
      <c r="R146" s="28">
        <f t="shared" ref="R146:R209" si="5">Q146</f>
        <v>0</v>
      </c>
    </row>
    <row r="147" spans="2:18" ht="30" hidden="1" customHeight="1" x14ac:dyDescent="0.25">
      <c r="B147" s="17">
        <v>131</v>
      </c>
      <c r="C147" s="5">
        <v>25301</v>
      </c>
      <c r="D147" s="5">
        <v>25301</v>
      </c>
      <c r="E147" s="4" t="e" vm="88">
        <v>#VALUE!</v>
      </c>
      <c r="F147" s="4">
        <v>6000</v>
      </c>
      <c r="G147" s="4" t="s">
        <v>9</v>
      </c>
      <c r="H147" s="7">
        <v>0.29299999999999998</v>
      </c>
      <c r="I147" s="42"/>
      <c r="J147" s="42"/>
      <c r="K147" s="42"/>
      <c r="L147" s="42"/>
      <c r="M147" s="42"/>
      <c r="N147" s="42"/>
      <c r="O147" s="42"/>
      <c r="P147" s="4"/>
      <c r="Q147" s="27">
        <f t="shared" si="4"/>
        <v>0</v>
      </c>
      <c r="R147" s="28">
        <f t="shared" si="5"/>
        <v>0</v>
      </c>
    </row>
    <row r="148" spans="2:18" ht="30" hidden="1" customHeight="1" x14ac:dyDescent="0.25">
      <c r="B148" s="17">
        <v>132</v>
      </c>
      <c r="C148" s="5">
        <v>25311</v>
      </c>
      <c r="D148" s="5">
        <v>25311</v>
      </c>
      <c r="E148" s="4" t="e" vm="89">
        <v>#VALUE!</v>
      </c>
      <c r="F148" s="4">
        <v>6000</v>
      </c>
      <c r="G148" s="4" t="s">
        <v>9</v>
      </c>
      <c r="H148" s="7">
        <v>0.28899999999999998</v>
      </c>
      <c r="I148" s="42"/>
      <c r="J148" s="42"/>
      <c r="K148" s="42"/>
      <c r="L148" s="42"/>
      <c r="M148" s="42"/>
      <c r="N148" s="42"/>
      <c r="O148" s="42"/>
      <c r="P148" s="4"/>
      <c r="Q148" s="27">
        <f t="shared" si="4"/>
        <v>0</v>
      </c>
      <c r="R148" s="28">
        <f t="shared" si="5"/>
        <v>0</v>
      </c>
    </row>
    <row r="149" spans="2:18" ht="30" hidden="1" customHeight="1" x14ac:dyDescent="0.25">
      <c r="B149" s="17">
        <v>133</v>
      </c>
      <c r="C149" s="5" t="s">
        <v>158</v>
      </c>
      <c r="D149" s="5">
        <v>25312</v>
      </c>
      <c r="E149" s="4" t="e" vm="90">
        <v>#VALUE!</v>
      </c>
      <c r="F149" s="4">
        <v>6000</v>
      </c>
      <c r="G149" s="4" t="s">
        <v>9</v>
      </c>
      <c r="H149" s="7">
        <v>0.316</v>
      </c>
      <c r="I149" s="42"/>
      <c r="J149" s="42"/>
      <c r="K149" s="42"/>
      <c r="L149" s="42"/>
      <c r="M149" s="42"/>
      <c r="N149" s="42"/>
      <c r="O149" s="42"/>
      <c r="P149" s="4"/>
      <c r="Q149" s="27">
        <f t="shared" si="4"/>
        <v>0</v>
      </c>
      <c r="R149" s="28">
        <f t="shared" si="5"/>
        <v>0</v>
      </c>
    </row>
    <row r="150" spans="2:18" ht="30" customHeight="1" x14ac:dyDescent="0.25">
      <c r="B150" s="17">
        <v>134</v>
      </c>
      <c r="C150" s="5" t="s">
        <v>159</v>
      </c>
      <c r="D150" s="5" t="s">
        <v>159</v>
      </c>
      <c r="E150" s="4" t="e" vm="91">
        <v>#VALUE!</v>
      </c>
      <c r="F150" s="4">
        <v>6000</v>
      </c>
      <c r="G150" s="4" t="s">
        <v>9</v>
      </c>
      <c r="H150" s="7">
        <v>0.39200000000000002</v>
      </c>
      <c r="I150" s="42"/>
      <c r="J150" s="42"/>
      <c r="K150" s="42">
        <v>300</v>
      </c>
      <c r="L150" s="42"/>
      <c r="M150" s="42"/>
      <c r="N150" s="42"/>
      <c r="O150" s="42"/>
      <c r="P150" s="4"/>
      <c r="Q150" s="27">
        <f t="shared" si="4"/>
        <v>705.6</v>
      </c>
      <c r="R150" s="28">
        <f t="shared" si="5"/>
        <v>705.6</v>
      </c>
    </row>
    <row r="151" spans="2:18" ht="30" customHeight="1" x14ac:dyDescent="0.25">
      <c r="B151" s="17">
        <v>135</v>
      </c>
      <c r="C151" s="5">
        <v>25508</v>
      </c>
      <c r="D151" s="5">
        <v>25508</v>
      </c>
      <c r="E151" s="4" t="e" vm="92">
        <v>#VALUE!</v>
      </c>
      <c r="F151" s="4">
        <v>6000</v>
      </c>
      <c r="G151" s="4" t="s">
        <v>9</v>
      </c>
      <c r="H151" s="7">
        <v>0.53300000000000003</v>
      </c>
      <c r="I151" s="42"/>
      <c r="J151" s="42">
        <v>80</v>
      </c>
      <c r="K151" s="42">
        <v>100</v>
      </c>
      <c r="L151" s="42"/>
      <c r="M151" s="42"/>
      <c r="N151" s="42"/>
      <c r="O151" s="42"/>
      <c r="P151" s="4"/>
      <c r="Q151" s="27">
        <f t="shared" si="4"/>
        <v>575.64</v>
      </c>
      <c r="R151" s="28">
        <f t="shared" si="5"/>
        <v>575.64</v>
      </c>
    </row>
    <row r="152" spans="2:18" ht="30" hidden="1" customHeight="1" x14ac:dyDescent="0.25">
      <c r="B152" s="17">
        <v>136</v>
      </c>
      <c r="C152" s="5">
        <v>25515</v>
      </c>
      <c r="D152" s="5">
        <v>25515</v>
      </c>
      <c r="E152" s="4" t="e" vm="93">
        <v>#VALUE!</v>
      </c>
      <c r="F152" s="4">
        <v>6000</v>
      </c>
      <c r="G152" s="4" t="s">
        <v>9</v>
      </c>
      <c r="H152" s="7">
        <v>0.48399999999999999</v>
      </c>
      <c r="I152" s="42"/>
      <c r="J152" s="42"/>
      <c r="K152" s="42"/>
      <c r="L152" s="42"/>
      <c r="M152" s="42"/>
      <c r="N152" s="42"/>
      <c r="O152" s="42"/>
      <c r="P152" s="4"/>
      <c r="Q152" s="27">
        <f t="shared" si="4"/>
        <v>0</v>
      </c>
      <c r="R152" s="28">
        <f t="shared" si="5"/>
        <v>0</v>
      </c>
    </row>
    <row r="153" spans="2:18" ht="30" hidden="1" customHeight="1" x14ac:dyDescent="0.25">
      <c r="B153" s="17">
        <v>137</v>
      </c>
      <c r="C153" s="5">
        <v>25516</v>
      </c>
      <c r="D153" s="5">
        <v>25516</v>
      </c>
      <c r="E153" s="4" t="e" vm="94">
        <v>#VALUE!</v>
      </c>
      <c r="F153" s="4">
        <v>6000</v>
      </c>
      <c r="G153" s="4" t="s">
        <v>9</v>
      </c>
      <c r="H153" s="7">
        <v>0.56000000000000005</v>
      </c>
      <c r="I153" s="42"/>
      <c r="J153" s="42"/>
      <c r="K153" s="42"/>
      <c r="L153" s="42"/>
      <c r="M153" s="42"/>
      <c r="N153" s="42"/>
      <c r="O153" s="42"/>
      <c r="P153" s="4"/>
      <c r="Q153" s="27">
        <f t="shared" si="4"/>
        <v>0</v>
      </c>
      <c r="R153" s="28">
        <f t="shared" si="5"/>
        <v>0</v>
      </c>
    </row>
    <row r="154" spans="2:18" ht="30" hidden="1" customHeight="1" x14ac:dyDescent="0.25">
      <c r="B154" s="17">
        <v>138</v>
      </c>
      <c r="C154" s="5">
        <v>25540</v>
      </c>
      <c r="D154" s="5">
        <v>25540</v>
      </c>
      <c r="E154" s="4" t="e" vm="95">
        <v>#VALUE!</v>
      </c>
      <c r="F154" s="4">
        <v>6000</v>
      </c>
      <c r="G154" s="4" t="s">
        <v>9</v>
      </c>
      <c r="H154" s="7">
        <v>0.45</v>
      </c>
      <c r="I154" s="42"/>
      <c r="J154" s="42"/>
      <c r="K154" s="42"/>
      <c r="L154" s="42"/>
      <c r="M154" s="42"/>
      <c r="N154" s="42"/>
      <c r="O154" s="42"/>
      <c r="P154" s="4"/>
      <c r="Q154" s="27">
        <f t="shared" si="4"/>
        <v>0</v>
      </c>
      <c r="R154" s="28">
        <f t="shared" si="5"/>
        <v>0</v>
      </c>
    </row>
    <row r="155" spans="2:18" ht="30" hidden="1" customHeight="1" x14ac:dyDescent="0.25">
      <c r="B155" s="17">
        <v>139</v>
      </c>
      <c r="C155" s="5">
        <v>25542</v>
      </c>
      <c r="D155" s="5">
        <v>25542</v>
      </c>
      <c r="E155" s="4" t="e" vm="96">
        <v>#VALUE!</v>
      </c>
      <c r="F155" s="4">
        <v>6000</v>
      </c>
      <c r="G155" s="4" t="s">
        <v>9</v>
      </c>
      <c r="H155" s="7">
        <v>0.54200000000000004</v>
      </c>
      <c r="I155" s="42"/>
      <c r="J155" s="42"/>
      <c r="K155" s="42"/>
      <c r="L155" s="42"/>
      <c r="M155" s="42"/>
      <c r="N155" s="42"/>
      <c r="O155" s="42"/>
      <c r="P155" s="4"/>
      <c r="Q155" s="27">
        <f t="shared" si="4"/>
        <v>0</v>
      </c>
      <c r="R155" s="28">
        <f t="shared" si="5"/>
        <v>0</v>
      </c>
    </row>
    <row r="156" spans="2:18" ht="30" hidden="1" customHeight="1" x14ac:dyDescent="0.25">
      <c r="B156" s="17">
        <v>140</v>
      </c>
      <c r="C156" s="5" t="s">
        <v>160</v>
      </c>
      <c r="D156" s="5" t="s">
        <v>160</v>
      </c>
      <c r="E156" s="4" t="e" vm="97">
        <v>#VALUE!</v>
      </c>
      <c r="F156" s="4">
        <v>6000</v>
      </c>
      <c r="G156" s="4" t="s">
        <v>9</v>
      </c>
      <c r="H156" s="7">
        <v>0.19800000000000001</v>
      </c>
      <c r="I156" s="42"/>
      <c r="J156" s="42"/>
      <c r="K156" s="42"/>
      <c r="L156" s="42"/>
      <c r="M156" s="42"/>
      <c r="N156" s="42"/>
      <c r="O156" s="42"/>
      <c r="P156" s="4"/>
      <c r="Q156" s="27">
        <f t="shared" si="4"/>
        <v>0</v>
      </c>
      <c r="R156" s="28">
        <f t="shared" si="5"/>
        <v>0</v>
      </c>
    </row>
    <row r="157" spans="2:18" ht="30" hidden="1" customHeight="1" x14ac:dyDescent="0.25">
      <c r="B157" s="17">
        <v>141</v>
      </c>
      <c r="C157" s="5" t="s">
        <v>400</v>
      </c>
      <c r="D157" s="5"/>
      <c r="E157" s="4"/>
      <c r="F157" s="4"/>
      <c r="G157" s="4"/>
      <c r="H157" s="7"/>
      <c r="I157" s="42"/>
      <c r="J157" s="42"/>
      <c r="K157" s="42"/>
      <c r="L157" s="42"/>
      <c r="M157" s="42"/>
      <c r="N157" s="42"/>
      <c r="O157" s="42"/>
      <c r="P157" s="4"/>
      <c r="Q157" s="27" t="str">
        <f t="shared" si="4"/>
        <v/>
      </c>
      <c r="R157" s="28" t="str">
        <f t="shared" si="5"/>
        <v/>
      </c>
    </row>
    <row r="158" spans="2:18" ht="30" hidden="1" customHeight="1" x14ac:dyDescent="0.25">
      <c r="B158" s="17">
        <v>142</v>
      </c>
      <c r="C158" s="5" t="s">
        <v>161</v>
      </c>
      <c r="D158" s="5" t="s">
        <v>161</v>
      </c>
      <c r="E158" s="4" t="e" vm="98">
        <v>#VALUE!</v>
      </c>
      <c r="F158" s="4">
        <v>6000</v>
      </c>
      <c r="G158" s="4" t="s">
        <v>9</v>
      </c>
      <c r="H158" s="7">
        <v>0.28799999999999998</v>
      </c>
      <c r="I158" s="42"/>
      <c r="J158" s="42"/>
      <c r="K158" s="42"/>
      <c r="L158" s="42"/>
      <c r="M158" s="42"/>
      <c r="N158" s="42"/>
      <c r="O158" s="42"/>
      <c r="P158" s="4"/>
      <c r="Q158" s="27">
        <f t="shared" si="4"/>
        <v>0</v>
      </c>
      <c r="R158" s="28">
        <f t="shared" si="5"/>
        <v>0</v>
      </c>
    </row>
    <row r="159" spans="2:18" ht="30" hidden="1" customHeight="1" x14ac:dyDescent="0.25">
      <c r="B159" s="17">
        <v>143</v>
      </c>
      <c r="C159" s="5" t="s">
        <v>162</v>
      </c>
      <c r="D159" s="5" t="s">
        <v>162</v>
      </c>
      <c r="E159" s="4" t="e" vm="99">
        <v>#VALUE!</v>
      </c>
      <c r="F159" s="4">
        <v>6000</v>
      </c>
      <c r="G159" s="4" t="s">
        <v>9</v>
      </c>
      <c r="H159" s="7">
        <v>0.21</v>
      </c>
      <c r="I159" s="42"/>
      <c r="J159" s="42"/>
      <c r="K159" s="42"/>
      <c r="L159" s="42"/>
      <c r="M159" s="42"/>
      <c r="N159" s="42"/>
      <c r="O159" s="42"/>
      <c r="P159" s="4"/>
      <c r="Q159" s="27">
        <f t="shared" si="4"/>
        <v>0</v>
      </c>
      <c r="R159" s="28">
        <f t="shared" si="5"/>
        <v>0</v>
      </c>
    </row>
    <row r="160" spans="2:18" ht="30" hidden="1" customHeight="1" x14ac:dyDescent="0.25">
      <c r="B160" s="17">
        <v>144</v>
      </c>
      <c r="C160" s="5" t="s">
        <v>400</v>
      </c>
      <c r="D160" s="5"/>
      <c r="E160" s="4"/>
      <c r="F160" s="4"/>
      <c r="G160" s="4"/>
      <c r="H160" s="4"/>
      <c r="I160" s="42"/>
      <c r="J160" s="42"/>
      <c r="K160" s="42"/>
      <c r="L160" s="42"/>
      <c r="M160" s="42"/>
      <c r="N160" s="42"/>
      <c r="O160" s="42"/>
      <c r="P160" s="4"/>
      <c r="Q160" s="27" t="str">
        <f t="shared" si="4"/>
        <v/>
      </c>
      <c r="R160" s="28" t="str">
        <f t="shared" si="5"/>
        <v/>
      </c>
    </row>
    <row r="161" spans="2:18" ht="30" hidden="1" customHeight="1" x14ac:dyDescent="0.25">
      <c r="B161" s="17">
        <v>145</v>
      </c>
      <c r="C161" s="5" t="s">
        <v>163</v>
      </c>
      <c r="D161" s="38" t="s">
        <v>164</v>
      </c>
      <c r="E161" s="4" t="e" vm="100">
        <v>#VALUE!</v>
      </c>
      <c r="F161" s="4">
        <v>6000</v>
      </c>
      <c r="G161" s="4" t="s">
        <v>9</v>
      </c>
      <c r="H161" s="7"/>
      <c r="I161" s="42"/>
      <c r="J161" s="42"/>
      <c r="K161" s="42"/>
      <c r="L161" s="42"/>
      <c r="M161" s="42"/>
      <c r="N161" s="42"/>
      <c r="O161" s="42"/>
      <c r="P161" s="4"/>
      <c r="Q161" s="27" t="str">
        <f t="shared" si="4"/>
        <v/>
      </c>
      <c r="R161" s="28" t="str">
        <f t="shared" si="5"/>
        <v/>
      </c>
    </row>
    <row r="162" spans="2:18" ht="30" hidden="1" customHeight="1" x14ac:dyDescent="0.25">
      <c r="B162" s="17">
        <v>146</v>
      </c>
      <c r="C162" s="5">
        <v>30044</v>
      </c>
      <c r="D162" s="5">
        <v>30044</v>
      </c>
      <c r="E162" s="4" t="e" vm="101">
        <v>#VALUE!</v>
      </c>
      <c r="F162" s="4">
        <v>6000</v>
      </c>
      <c r="G162" s="4" t="s">
        <v>9</v>
      </c>
      <c r="H162" s="7">
        <v>0.22600000000000001</v>
      </c>
      <c r="I162" s="42"/>
      <c r="J162" s="42"/>
      <c r="K162" s="42"/>
      <c r="L162" s="42"/>
      <c r="M162" s="42"/>
      <c r="N162" s="42"/>
      <c r="O162" s="42"/>
      <c r="P162" s="4"/>
      <c r="Q162" s="27">
        <f t="shared" si="4"/>
        <v>0</v>
      </c>
      <c r="R162" s="28">
        <f t="shared" si="5"/>
        <v>0</v>
      </c>
    </row>
    <row r="163" spans="2:18" ht="30" customHeight="1" x14ac:dyDescent="0.25">
      <c r="B163" s="17">
        <v>147</v>
      </c>
      <c r="C163" s="5" t="s">
        <v>165</v>
      </c>
      <c r="D163" s="5" t="s">
        <v>165</v>
      </c>
      <c r="E163" s="4" t="e" vm="102">
        <v>#VALUE!</v>
      </c>
      <c r="F163" s="4">
        <v>6000</v>
      </c>
      <c r="G163" s="4" t="s">
        <v>9</v>
      </c>
      <c r="H163" s="7">
        <v>0.64200000000000002</v>
      </c>
      <c r="I163" s="42"/>
      <c r="J163" s="42">
        <v>50</v>
      </c>
      <c r="K163" s="42">
        <v>100</v>
      </c>
      <c r="L163" s="42"/>
      <c r="M163" s="42">
        <v>50</v>
      </c>
      <c r="N163" s="42"/>
      <c r="O163" s="42"/>
      <c r="P163" s="4"/>
      <c r="Q163" s="27">
        <f t="shared" si="4"/>
        <v>770.4</v>
      </c>
      <c r="R163" s="28">
        <f t="shared" si="5"/>
        <v>770.4</v>
      </c>
    </row>
    <row r="164" spans="2:18" ht="30" hidden="1" customHeight="1" x14ac:dyDescent="0.25">
      <c r="B164" s="17">
        <v>148</v>
      </c>
      <c r="C164" s="5" t="s">
        <v>166</v>
      </c>
      <c r="D164" s="5" t="s">
        <v>166</v>
      </c>
      <c r="E164" s="4" t="e" vm="103">
        <v>#VALUE!</v>
      </c>
      <c r="F164" s="4">
        <v>6000</v>
      </c>
      <c r="G164" s="4" t="s">
        <v>9</v>
      </c>
      <c r="H164" s="7">
        <v>0.44800000000000001</v>
      </c>
      <c r="I164" s="42"/>
      <c r="J164" s="42"/>
      <c r="K164" s="42"/>
      <c r="L164" s="42"/>
      <c r="M164" s="42"/>
      <c r="N164" s="42"/>
      <c r="O164" s="42"/>
      <c r="P164" s="4"/>
      <c r="Q164" s="27">
        <f t="shared" si="4"/>
        <v>0</v>
      </c>
      <c r="R164" s="28">
        <f t="shared" si="5"/>
        <v>0</v>
      </c>
    </row>
    <row r="165" spans="2:18" ht="30" hidden="1" customHeight="1" x14ac:dyDescent="0.25">
      <c r="B165" s="17">
        <v>149</v>
      </c>
      <c r="C165" s="5" t="s">
        <v>167</v>
      </c>
      <c r="D165" s="5" t="s">
        <v>167</v>
      </c>
      <c r="E165" s="4" t="e" vm="104">
        <v>#VALUE!</v>
      </c>
      <c r="F165" s="4">
        <v>6000</v>
      </c>
      <c r="G165" s="4" t="s">
        <v>9</v>
      </c>
      <c r="H165" s="7">
        <v>1.373</v>
      </c>
      <c r="I165" s="42"/>
      <c r="J165" s="42"/>
      <c r="K165" s="42"/>
      <c r="L165" s="42"/>
      <c r="M165" s="42"/>
      <c r="N165" s="42"/>
      <c r="O165" s="42"/>
      <c r="P165" s="4"/>
      <c r="Q165" s="27">
        <f t="shared" si="4"/>
        <v>0</v>
      </c>
      <c r="R165" s="28">
        <f t="shared" si="5"/>
        <v>0</v>
      </c>
    </row>
    <row r="166" spans="2:18" ht="30" hidden="1" customHeight="1" x14ac:dyDescent="0.25">
      <c r="B166" s="17">
        <v>150</v>
      </c>
      <c r="C166" s="5">
        <v>25517</v>
      </c>
      <c r="D166" s="5">
        <v>25517</v>
      </c>
      <c r="E166" s="4" t="e" vm="105">
        <v>#VALUE!</v>
      </c>
      <c r="F166" s="4">
        <v>6000</v>
      </c>
      <c r="G166" s="4" t="s">
        <v>9</v>
      </c>
      <c r="H166" s="7">
        <v>0.39200000000000002</v>
      </c>
      <c r="I166" s="42"/>
      <c r="J166" s="42"/>
      <c r="K166" s="42"/>
      <c r="L166" s="42"/>
      <c r="M166" s="42"/>
      <c r="N166" s="42"/>
      <c r="O166" s="42"/>
      <c r="P166" s="4"/>
      <c r="Q166" s="27">
        <f t="shared" si="4"/>
        <v>0</v>
      </c>
      <c r="R166" s="28">
        <f t="shared" si="5"/>
        <v>0</v>
      </c>
    </row>
    <row r="167" spans="2:18" ht="30" hidden="1" customHeight="1" x14ac:dyDescent="0.25">
      <c r="B167" s="17">
        <v>151</v>
      </c>
      <c r="C167" s="5" t="s">
        <v>168</v>
      </c>
      <c r="D167" s="5" t="s">
        <v>168</v>
      </c>
      <c r="E167" s="4" t="e" vm="105">
        <v>#VALUE!</v>
      </c>
      <c r="F167" s="4">
        <v>6000</v>
      </c>
      <c r="G167" s="4" t="s">
        <v>9</v>
      </c>
      <c r="H167" s="7">
        <v>0.36</v>
      </c>
      <c r="I167" s="42"/>
      <c r="J167" s="42"/>
      <c r="K167" s="42"/>
      <c r="L167" s="43"/>
      <c r="M167" s="42"/>
      <c r="N167" s="42"/>
      <c r="O167" s="42"/>
      <c r="P167" s="4"/>
      <c r="Q167" s="27">
        <f t="shared" si="4"/>
        <v>0</v>
      </c>
      <c r="R167" s="28">
        <f t="shared" si="5"/>
        <v>0</v>
      </c>
    </row>
    <row r="168" spans="2:18" ht="30" hidden="1" customHeight="1" x14ac:dyDescent="0.25">
      <c r="B168" s="17">
        <v>152</v>
      </c>
      <c r="C168" s="5">
        <v>25518</v>
      </c>
      <c r="D168" s="5">
        <v>25518</v>
      </c>
      <c r="E168" s="4" t="e" vm="106">
        <v>#VALUE!</v>
      </c>
      <c r="F168" s="4">
        <v>6000</v>
      </c>
      <c r="G168" s="4" t="s">
        <v>9</v>
      </c>
      <c r="H168" s="7">
        <v>0.36299999999999999</v>
      </c>
      <c r="I168" s="42"/>
      <c r="J168" s="42"/>
      <c r="K168" s="42"/>
      <c r="L168" s="42"/>
      <c r="M168" s="42"/>
      <c r="N168" s="42"/>
      <c r="O168" s="42"/>
      <c r="P168" s="4"/>
      <c r="Q168" s="27">
        <f t="shared" si="4"/>
        <v>0</v>
      </c>
      <c r="R168" s="28">
        <f t="shared" si="5"/>
        <v>0</v>
      </c>
    </row>
    <row r="169" spans="2:18" ht="30" hidden="1" customHeight="1" x14ac:dyDescent="0.25">
      <c r="B169" s="17">
        <v>153</v>
      </c>
      <c r="C169" s="5">
        <v>25520</v>
      </c>
      <c r="D169" s="5">
        <v>25520</v>
      </c>
      <c r="E169" s="4" t="e" vm="107">
        <v>#VALUE!</v>
      </c>
      <c r="F169" s="4">
        <v>6000</v>
      </c>
      <c r="G169" s="4" t="s">
        <v>9</v>
      </c>
      <c r="H169" s="7">
        <v>0.373</v>
      </c>
      <c r="I169" s="42"/>
      <c r="J169" s="42"/>
      <c r="K169" s="42"/>
      <c r="L169" s="42"/>
      <c r="M169" s="42"/>
      <c r="N169" s="42"/>
      <c r="O169" s="42"/>
      <c r="P169" s="4"/>
      <c r="Q169" s="27">
        <f t="shared" si="4"/>
        <v>0</v>
      </c>
      <c r="R169" s="28">
        <f t="shared" si="5"/>
        <v>0</v>
      </c>
    </row>
    <row r="170" spans="2:18" ht="30" hidden="1" customHeight="1" x14ac:dyDescent="0.25">
      <c r="B170" s="17">
        <v>154</v>
      </c>
      <c r="C170" s="5">
        <v>25617</v>
      </c>
      <c r="D170" s="5">
        <v>25617</v>
      </c>
      <c r="E170" s="4" t="e" vm="108">
        <v>#VALUE!</v>
      </c>
      <c r="F170" s="4">
        <v>6000</v>
      </c>
      <c r="G170" s="4" t="s">
        <v>9</v>
      </c>
      <c r="H170" s="7">
        <v>0.373</v>
      </c>
      <c r="I170" s="42"/>
      <c r="J170" s="42"/>
      <c r="K170" s="42"/>
      <c r="L170" s="42"/>
      <c r="M170" s="42"/>
      <c r="N170" s="42"/>
      <c r="O170" s="42"/>
      <c r="P170" s="4"/>
      <c r="Q170" s="27">
        <f t="shared" si="4"/>
        <v>0</v>
      </c>
      <c r="R170" s="28">
        <f t="shared" si="5"/>
        <v>0</v>
      </c>
    </row>
    <row r="171" spans="2:18" ht="30" hidden="1" customHeight="1" x14ac:dyDescent="0.25">
      <c r="B171" s="17">
        <v>155</v>
      </c>
      <c r="C171" s="5" t="s">
        <v>169</v>
      </c>
      <c r="D171" s="5" t="s">
        <v>169</v>
      </c>
      <c r="E171" s="4" t="e" vm="109">
        <v>#VALUE!</v>
      </c>
      <c r="F171" s="4">
        <v>6000</v>
      </c>
      <c r="G171" s="4" t="s">
        <v>9</v>
      </c>
      <c r="H171" s="7">
        <v>0.73099999999999998</v>
      </c>
      <c r="I171" s="42"/>
      <c r="J171" s="42"/>
      <c r="K171" s="42"/>
      <c r="L171" s="42"/>
      <c r="M171" s="42"/>
      <c r="N171" s="42"/>
      <c r="O171" s="42"/>
      <c r="P171" s="4"/>
      <c r="Q171" s="27">
        <f t="shared" si="4"/>
        <v>0</v>
      </c>
      <c r="R171" s="28">
        <f t="shared" si="5"/>
        <v>0</v>
      </c>
    </row>
    <row r="172" spans="2:18" ht="30" customHeight="1" x14ac:dyDescent="0.25">
      <c r="B172" s="17">
        <v>156</v>
      </c>
      <c r="C172" s="5" t="s">
        <v>170</v>
      </c>
      <c r="D172" s="5" t="s">
        <v>170</v>
      </c>
      <c r="E172" s="4" t="e" vm="110">
        <v>#VALUE!</v>
      </c>
      <c r="F172" s="4">
        <v>6000</v>
      </c>
      <c r="G172" s="4" t="s">
        <v>9</v>
      </c>
      <c r="H172" s="7">
        <v>0.77500000000000002</v>
      </c>
      <c r="I172" s="42"/>
      <c r="J172" s="42">
        <v>50</v>
      </c>
      <c r="K172" s="42">
        <v>100</v>
      </c>
      <c r="L172" s="42"/>
      <c r="M172" s="42">
        <v>50</v>
      </c>
      <c r="N172" s="42"/>
      <c r="O172" s="42"/>
      <c r="P172" s="4"/>
      <c r="Q172" s="27">
        <f t="shared" si="4"/>
        <v>930</v>
      </c>
      <c r="R172" s="28">
        <f t="shared" si="5"/>
        <v>930</v>
      </c>
    </row>
    <row r="173" spans="2:18" ht="30" hidden="1" customHeight="1" x14ac:dyDescent="0.25">
      <c r="B173" s="17">
        <v>157</v>
      </c>
      <c r="C173" s="5" t="s">
        <v>171</v>
      </c>
      <c r="D173" s="5" t="s">
        <v>172</v>
      </c>
      <c r="E173" s="4" t="e" vm="111">
        <v>#VALUE!</v>
      </c>
      <c r="F173" s="4">
        <v>6000</v>
      </c>
      <c r="G173" s="4" t="s">
        <v>9</v>
      </c>
      <c r="H173" s="7">
        <v>0.53500000000000003</v>
      </c>
      <c r="I173" s="42"/>
      <c r="J173" s="42"/>
      <c r="K173" s="42"/>
      <c r="L173" s="42"/>
      <c r="M173" s="42"/>
      <c r="N173" s="42"/>
      <c r="O173" s="42"/>
      <c r="P173" s="4"/>
      <c r="Q173" s="27">
        <f t="shared" si="4"/>
        <v>0</v>
      </c>
      <c r="R173" s="28">
        <f t="shared" si="5"/>
        <v>0</v>
      </c>
    </row>
    <row r="174" spans="2:18" ht="30" customHeight="1" x14ac:dyDescent="0.25">
      <c r="B174" s="17">
        <v>158</v>
      </c>
      <c r="C174" s="5" t="s">
        <v>173</v>
      </c>
      <c r="D174" s="5" t="s">
        <v>174</v>
      </c>
      <c r="E174" s="4" t="e" vm="112">
        <v>#VALUE!</v>
      </c>
      <c r="F174" s="4">
        <v>6000</v>
      </c>
      <c r="G174" s="4" t="s">
        <v>9</v>
      </c>
      <c r="H174" s="7">
        <v>0.61899999999999999</v>
      </c>
      <c r="I174" s="42"/>
      <c r="J174" s="42">
        <v>200</v>
      </c>
      <c r="K174" s="42">
        <v>1800</v>
      </c>
      <c r="L174" s="42"/>
      <c r="M174" s="42">
        <v>200</v>
      </c>
      <c r="N174" s="42"/>
      <c r="O174" s="42"/>
      <c r="P174" s="4"/>
      <c r="Q174" s="27">
        <f t="shared" si="4"/>
        <v>8170.8</v>
      </c>
      <c r="R174" s="28">
        <f t="shared" si="5"/>
        <v>8170.8</v>
      </c>
    </row>
    <row r="175" spans="2:18" ht="30" hidden="1" customHeight="1" x14ac:dyDescent="0.25">
      <c r="B175" s="17">
        <v>159</v>
      </c>
      <c r="C175" s="5" t="s">
        <v>175</v>
      </c>
      <c r="D175" s="5" t="s">
        <v>175</v>
      </c>
      <c r="E175" s="4" t="e" vm="113">
        <v>#VALUE!</v>
      </c>
      <c r="F175" s="4">
        <v>6000</v>
      </c>
      <c r="G175" s="4" t="s">
        <v>9</v>
      </c>
      <c r="H175" s="7">
        <v>0.6</v>
      </c>
      <c r="I175" s="42"/>
      <c r="J175" s="42"/>
      <c r="K175" s="42"/>
      <c r="L175" s="42"/>
      <c r="M175" s="42"/>
      <c r="N175" s="42"/>
      <c r="O175" s="42"/>
      <c r="P175" s="4"/>
      <c r="Q175" s="27">
        <f t="shared" si="4"/>
        <v>0</v>
      </c>
      <c r="R175" s="28">
        <f t="shared" si="5"/>
        <v>0</v>
      </c>
    </row>
    <row r="176" spans="2:18" ht="30" hidden="1" customHeight="1" x14ac:dyDescent="0.25">
      <c r="B176" s="17">
        <v>160</v>
      </c>
      <c r="C176" s="5" t="s">
        <v>176</v>
      </c>
      <c r="D176" s="5" t="s">
        <v>177</v>
      </c>
      <c r="E176" s="4" t="e" vm="114">
        <v>#VALUE!</v>
      </c>
      <c r="F176" s="4">
        <v>6000</v>
      </c>
      <c r="G176" s="4" t="s">
        <v>9</v>
      </c>
      <c r="H176" s="7">
        <v>0.74299999999999999</v>
      </c>
      <c r="I176" s="42"/>
      <c r="J176" s="42"/>
      <c r="K176" s="42"/>
      <c r="L176" s="42"/>
      <c r="M176" s="42"/>
      <c r="N176" s="42"/>
      <c r="O176" s="42"/>
      <c r="P176" s="4"/>
      <c r="Q176" s="27">
        <f t="shared" si="4"/>
        <v>0</v>
      </c>
      <c r="R176" s="28">
        <f t="shared" si="5"/>
        <v>0</v>
      </c>
    </row>
    <row r="177" spans="2:18" ht="30" hidden="1" customHeight="1" x14ac:dyDescent="0.25">
      <c r="B177" s="17">
        <v>161</v>
      </c>
      <c r="C177" s="5" t="s">
        <v>178</v>
      </c>
      <c r="D177" s="5" t="s">
        <v>178</v>
      </c>
      <c r="E177" s="4" t="e" vm="115">
        <v>#VALUE!</v>
      </c>
      <c r="F177" s="4">
        <v>6000</v>
      </c>
      <c r="G177" s="4" t="s">
        <v>9</v>
      </c>
      <c r="H177" s="7">
        <v>0.81499999999999995</v>
      </c>
      <c r="I177" s="42"/>
      <c r="J177" s="42"/>
      <c r="K177" s="42"/>
      <c r="L177" s="42"/>
      <c r="M177" s="42"/>
      <c r="N177" s="42"/>
      <c r="O177" s="42"/>
      <c r="P177" s="4"/>
      <c r="Q177" s="27">
        <f t="shared" si="4"/>
        <v>0</v>
      </c>
      <c r="R177" s="28">
        <f t="shared" si="5"/>
        <v>0</v>
      </c>
    </row>
    <row r="178" spans="2:18" ht="30" hidden="1" customHeight="1" x14ac:dyDescent="0.25">
      <c r="B178" s="17">
        <v>162</v>
      </c>
      <c r="C178" s="5" t="s">
        <v>179</v>
      </c>
      <c r="D178" s="38" t="s">
        <v>179</v>
      </c>
      <c r="E178" s="4" t="e" vm="116">
        <v>#VALUE!</v>
      </c>
      <c r="F178" s="4">
        <v>6000</v>
      </c>
      <c r="G178" s="4" t="s">
        <v>9</v>
      </c>
      <c r="H178" s="7"/>
      <c r="I178" s="42"/>
      <c r="J178" s="42"/>
      <c r="K178" s="42"/>
      <c r="L178" s="42"/>
      <c r="M178" s="42"/>
      <c r="N178" s="42"/>
      <c r="O178" s="42"/>
      <c r="P178" s="4"/>
      <c r="Q178" s="27" t="str">
        <f t="shared" si="4"/>
        <v/>
      </c>
      <c r="R178" s="28" t="str">
        <f t="shared" si="5"/>
        <v/>
      </c>
    </row>
    <row r="179" spans="2:18" ht="30" hidden="1" customHeight="1" x14ac:dyDescent="0.25">
      <c r="B179" s="17">
        <v>163</v>
      </c>
      <c r="C179" s="5" t="s">
        <v>180</v>
      </c>
      <c r="D179" s="5" t="s">
        <v>180</v>
      </c>
      <c r="E179" s="4" t="e" vm="117">
        <v>#VALUE!</v>
      </c>
      <c r="F179" s="4">
        <v>6000</v>
      </c>
      <c r="G179" s="4" t="s">
        <v>9</v>
      </c>
      <c r="H179" s="7">
        <v>0.61</v>
      </c>
      <c r="I179" s="42"/>
      <c r="J179" s="42"/>
      <c r="K179" s="42"/>
      <c r="L179" s="42"/>
      <c r="M179" s="42"/>
      <c r="N179" s="42"/>
      <c r="O179" s="42"/>
      <c r="P179" s="4"/>
      <c r="Q179" s="27">
        <f t="shared" si="4"/>
        <v>0</v>
      </c>
      <c r="R179" s="28">
        <f t="shared" si="5"/>
        <v>0</v>
      </c>
    </row>
    <row r="180" spans="2:18" ht="30" customHeight="1" x14ac:dyDescent="0.25">
      <c r="B180" s="17">
        <v>164</v>
      </c>
      <c r="C180" s="5" t="s">
        <v>181</v>
      </c>
      <c r="D180" s="5" t="s">
        <v>181</v>
      </c>
      <c r="E180" s="4" t="e" vm="118">
        <v>#VALUE!</v>
      </c>
      <c r="F180" s="4">
        <v>6000</v>
      </c>
      <c r="G180" s="4" t="s">
        <v>9</v>
      </c>
      <c r="H180" s="7">
        <v>0.50600000000000001</v>
      </c>
      <c r="I180" s="42"/>
      <c r="J180" s="42">
        <v>300</v>
      </c>
      <c r="K180" s="42">
        <v>2200</v>
      </c>
      <c r="L180" s="42"/>
      <c r="M180" s="42">
        <v>300</v>
      </c>
      <c r="N180" s="42"/>
      <c r="O180" s="42"/>
      <c r="P180" s="4"/>
      <c r="Q180" s="27">
        <f t="shared" si="4"/>
        <v>8500.7999999999993</v>
      </c>
      <c r="R180" s="28">
        <f t="shared" si="5"/>
        <v>8500.7999999999993</v>
      </c>
    </row>
    <row r="181" spans="2:18" ht="30" hidden="1" customHeight="1" x14ac:dyDescent="0.25">
      <c r="B181" s="17">
        <v>165</v>
      </c>
      <c r="C181" s="5" t="s">
        <v>182</v>
      </c>
      <c r="D181" s="38" t="s">
        <v>182</v>
      </c>
      <c r="E181" s="4" t="e" vm="119">
        <v>#VALUE!</v>
      </c>
      <c r="F181" s="4">
        <v>6000</v>
      </c>
      <c r="G181" s="4" t="s">
        <v>9</v>
      </c>
      <c r="H181" s="7"/>
      <c r="I181" s="42"/>
      <c r="J181" s="42"/>
      <c r="K181" s="42"/>
      <c r="L181" s="42"/>
      <c r="M181" s="42"/>
      <c r="N181" s="42"/>
      <c r="O181" s="42"/>
      <c r="P181" s="4"/>
      <c r="Q181" s="27" t="str">
        <f t="shared" si="4"/>
        <v/>
      </c>
      <c r="R181" s="28" t="str">
        <f t="shared" si="5"/>
        <v/>
      </c>
    </row>
    <row r="182" spans="2:18" ht="30" hidden="1" customHeight="1" x14ac:dyDescent="0.25">
      <c r="B182" s="17">
        <v>166</v>
      </c>
      <c r="C182" s="5" t="s">
        <v>183</v>
      </c>
      <c r="D182" s="5" t="s">
        <v>183</v>
      </c>
      <c r="E182" s="4" t="e" vm="120">
        <v>#VALUE!</v>
      </c>
      <c r="F182" s="4">
        <v>6000</v>
      </c>
      <c r="G182" s="4" t="s">
        <v>9</v>
      </c>
      <c r="H182" s="7">
        <v>0.67300000000000004</v>
      </c>
      <c r="I182" s="42"/>
      <c r="J182" s="42"/>
      <c r="K182" s="42"/>
      <c r="L182" s="42"/>
      <c r="M182" s="42"/>
      <c r="N182" s="42"/>
      <c r="O182" s="42"/>
      <c r="P182" s="4"/>
      <c r="Q182" s="27">
        <f t="shared" si="4"/>
        <v>0</v>
      </c>
      <c r="R182" s="28">
        <f t="shared" si="5"/>
        <v>0</v>
      </c>
    </row>
    <row r="183" spans="2:18" ht="30" hidden="1" customHeight="1" x14ac:dyDescent="0.25">
      <c r="B183" s="17">
        <v>167</v>
      </c>
      <c r="C183" s="5" t="s">
        <v>184</v>
      </c>
      <c r="D183" s="5" t="s">
        <v>184</v>
      </c>
      <c r="E183" s="4" t="e" vm="121">
        <v>#VALUE!</v>
      </c>
      <c r="F183" s="4">
        <v>6000</v>
      </c>
      <c r="G183" s="4" t="s">
        <v>9</v>
      </c>
      <c r="H183" s="7">
        <v>0.51400000000000001</v>
      </c>
      <c r="I183" s="42"/>
      <c r="J183" s="42"/>
      <c r="K183" s="42"/>
      <c r="L183" s="42"/>
      <c r="M183" s="42"/>
      <c r="N183" s="42"/>
      <c r="O183" s="42"/>
      <c r="P183" s="4"/>
      <c r="Q183" s="27">
        <f t="shared" si="4"/>
        <v>0</v>
      </c>
      <c r="R183" s="28">
        <f t="shared" si="5"/>
        <v>0</v>
      </c>
    </row>
    <row r="184" spans="2:18" ht="30" customHeight="1" x14ac:dyDescent="0.25">
      <c r="B184" s="17">
        <v>168</v>
      </c>
      <c r="C184" s="5" t="s">
        <v>185</v>
      </c>
      <c r="D184" s="5" t="s">
        <v>185</v>
      </c>
      <c r="E184" s="4" t="e" vm="122">
        <v>#VALUE!</v>
      </c>
      <c r="F184" s="4">
        <v>6000</v>
      </c>
      <c r="G184" s="4" t="s">
        <v>9</v>
      </c>
      <c r="H184" s="7">
        <v>0.46600000000000003</v>
      </c>
      <c r="I184" s="42"/>
      <c r="J184" s="42"/>
      <c r="K184" s="42">
        <v>300</v>
      </c>
      <c r="L184" s="42"/>
      <c r="M184" s="42">
        <v>100</v>
      </c>
      <c r="N184" s="42"/>
      <c r="O184" s="42"/>
      <c r="P184" s="4"/>
      <c r="Q184" s="27">
        <f t="shared" si="4"/>
        <v>1118.4000000000001</v>
      </c>
      <c r="R184" s="28">
        <f t="shared" si="5"/>
        <v>1118.4000000000001</v>
      </c>
    </row>
    <row r="185" spans="2:18" ht="30" hidden="1" customHeight="1" x14ac:dyDescent="0.25">
      <c r="B185" s="17">
        <v>169</v>
      </c>
      <c r="C185" s="5" t="s">
        <v>186</v>
      </c>
      <c r="D185" s="5" t="s">
        <v>186</v>
      </c>
      <c r="E185" s="4" t="e" vm="123">
        <v>#VALUE!</v>
      </c>
      <c r="F185" s="4">
        <v>6000</v>
      </c>
      <c r="G185" s="4" t="s">
        <v>9</v>
      </c>
      <c r="H185" s="7">
        <v>0.68100000000000005</v>
      </c>
      <c r="I185" s="42"/>
      <c r="J185" s="42"/>
      <c r="K185" s="42"/>
      <c r="L185" s="42"/>
      <c r="M185" s="42"/>
      <c r="N185" s="42"/>
      <c r="O185" s="42"/>
      <c r="P185" s="4"/>
      <c r="Q185" s="27">
        <f t="shared" si="4"/>
        <v>0</v>
      </c>
      <c r="R185" s="28">
        <f t="shared" si="5"/>
        <v>0</v>
      </c>
    </row>
    <row r="186" spans="2:18" ht="30" hidden="1" customHeight="1" x14ac:dyDescent="0.25">
      <c r="B186" s="17">
        <v>170</v>
      </c>
      <c r="C186" s="5" t="s">
        <v>187</v>
      </c>
      <c r="D186" s="38" t="s">
        <v>187</v>
      </c>
      <c r="E186" s="4" t="e" vm="124">
        <v>#VALUE!</v>
      </c>
      <c r="F186" s="4">
        <v>6000</v>
      </c>
      <c r="G186" s="4" t="s">
        <v>9</v>
      </c>
      <c r="H186" s="7"/>
      <c r="I186" s="42"/>
      <c r="J186" s="42"/>
      <c r="K186" s="42"/>
      <c r="L186" s="42"/>
      <c r="M186" s="42"/>
      <c r="N186" s="42"/>
      <c r="O186" s="42"/>
      <c r="P186" s="4"/>
      <c r="Q186" s="27" t="str">
        <f t="shared" si="4"/>
        <v/>
      </c>
      <c r="R186" s="28" t="str">
        <f t="shared" si="5"/>
        <v/>
      </c>
    </row>
    <row r="187" spans="2:18" ht="30" hidden="1" customHeight="1" x14ac:dyDescent="0.25">
      <c r="B187" s="17">
        <v>171</v>
      </c>
      <c r="C187" s="5" t="s">
        <v>188</v>
      </c>
      <c r="D187" s="5" t="s">
        <v>188</v>
      </c>
      <c r="E187" s="4" t="e" vm="125">
        <v>#VALUE!</v>
      </c>
      <c r="F187" s="4">
        <v>6000</v>
      </c>
      <c r="G187" s="4" t="s">
        <v>9</v>
      </c>
      <c r="H187" s="7">
        <v>0.61699999999999999</v>
      </c>
      <c r="I187" s="42"/>
      <c r="J187" s="42"/>
      <c r="K187" s="42"/>
      <c r="L187" s="42"/>
      <c r="M187" s="42"/>
      <c r="N187" s="42"/>
      <c r="O187" s="42"/>
      <c r="P187" s="4"/>
      <c r="Q187" s="27">
        <f t="shared" si="4"/>
        <v>0</v>
      </c>
      <c r="R187" s="28">
        <f t="shared" si="5"/>
        <v>0</v>
      </c>
    </row>
    <row r="188" spans="2:18" ht="30" hidden="1" customHeight="1" x14ac:dyDescent="0.25">
      <c r="B188" s="17">
        <v>172</v>
      </c>
      <c r="C188" s="5" t="s">
        <v>189</v>
      </c>
      <c r="D188" s="5" t="s">
        <v>189</v>
      </c>
      <c r="E188" s="4" t="e" vm="126">
        <v>#VALUE!</v>
      </c>
      <c r="F188" s="4">
        <v>6000</v>
      </c>
      <c r="G188" s="4" t="s">
        <v>9</v>
      </c>
      <c r="H188" s="7">
        <v>0.71699999999999997</v>
      </c>
      <c r="I188" s="42"/>
      <c r="J188" s="42"/>
      <c r="K188" s="42"/>
      <c r="L188" s="42"/>
      <c r="M188" s="42"/>
      <c r="N188" s="42"/>
      <c r="O188" s="42"/>
      <c r="P188" s="4"/>
      <c r="Q188" s="27">
        <f t="shared" si="4"/>
        <v>0</v>
      </c>
      <c r="R188" s="28">
        <f t="shared" si="5"/>
        <v>0</v>
      </c>
    </row>
    <row r="189" spans="2:18" ht="30" hidden="1" customHeight="1" x14ac:dyDescent="0.25">
      <c r="B189" s="17">
        <v>173</v>
      </c>
      <c r="C189" s="5" t="s">
        <v>190</v>
      </c>
      <c r="D189" s="5" t="s">
        <v>190</v>
      </c>
      <c r="E189" s="4" t="e" vm="127">
        <v>#VALUE!</v>
      </c>
      <c r="F189" s="4">
        <v>6000</v>
      </c>
      <c r="G189" s="4" t="s">
        <v>9</v>
      </c>
      <c r="H189" s="7">
        <v>0.52800000000000002</v>
      </c>
      <c r="I189" s="42"/>
      <c r="J189" s="42"/>
      <c r="K189" s="42"/>
      <c r="L189" s="42"/>
      <c r="M189" s="42"/>
      <c r="N189" s="42"/>
      <c r="O189" s="42"/>
      <c r="P189" s="4"/>
      <c r="Q189" s="27">
        <f t="shared" si="4"/>
        <v>0</v>
      </c>
      <c r="R189" s="28">
        <f t="shared" si="5"/>
        <v>0</v>
      </c>
    </row>
    <row r="190" spans="2:18" ht="30" hidden="1" customHeight="1" x14ac:dyDescent="0.25">
      <c r="B190" s="17">
        <v>174</v>
      </c>
      <c r="C190" s="5" t="s">
        <v>191</v>
      </c>
      <c r="D190" s="5" t="s">
        <v>191</v>
      </c>
      <c r="E190" s="4" t="e" vm="128">
        <v>#VALUE!</v>
      </c>
      <c r="F190" s="4">
        <v>6000</v>
      </c>
      <c r="G190" s="4" t="s">
        <v>9</v>
      </c>
      <c r="H190" s="7">
        <v>0.67</v>
      </c>
      <c r="I190" s="42"/>
      <c r="J190" s="42"/>
      <c r="K190" s="42"/>
      <c r="L190" s="42"/>
      <c r="M190" s="42"/>
      <c r="N190" s="42"/>
      <c r="O190" s="42"/>
      <c r="P190" s="4"/>
      <c r="Q190" s="27">
        <f t="shared" si="4"/>
        <v>0</v>
      </c>
      <c r="R190" s="28">
        <f t="shared" si="5"/>
        <v>0</v>
      </c>
    </row>
    <row r="191" spans="2:18" ht="30" hidden="1" customHeight="1" x14ac:dyDescent="0.25">
      <c r="B191" s="17">
        <v>175</v>
      </c>
      <c r="C191" s="5" t="s">
        <v>192</v>
      </c>
      <c r="D191" s="5" t="s">
        <v>192</v>
      </c>
      <c r="E191" s="4" t="e" vm="129">
        <v>#VALUE!</v>
      </c>
      <c r="F191" s="4">
        <v>6000</v>
      </c>
      <c r="G191" s="4" t="s">
        <v>9</v>
      </c>
      <c r="H191" s="7">
        <v>0.54500000000000004</v>
      </c>
      <c r="I191" s="42"/>
      <c r="J191" s="42"/>
      <c r="K191" s="42"/>
      <c r="L191" s="42"/>
      <c r="M191" s="42"/>
      <c r="N191" s="42"/>
      <c r="O191" s="42"/>
      <c r="P191" s="4"/>
      <c r="Q191" s="27">
        <f t="shared" si="4"/>
        <v>0</v>
      </c>
      <c r="R191" s="28">
        <f t="shared" si="5"/>
        <v>0</v>
      </c>
    </row>
    <row r="192" spans="2:18" ht="30" hidden="1" customHeight="1" x14ac:dyDescent="0.25">
      <c r="B192" s="17">
        <v>176</v>
      </c>
      <c r="C192" s="5" t="s">
        <v>193</v>
      </c>
      <c r="D192" s="38" t="s">
        <v>193</v>
      </c>
      <c r="E192" s="4" t="e" vm="130">
        <v>#VALUE!</v>
      </c>
      <c r="F192" s="4">
        <v>6000</v>
      </c>
      <c r="G192" s="4" t="s">
        <v>9</v>
      </c>
      <c r="H192" s="7"/>
      <c r="I192" s="42"/>
      <c r="J192" s="42"/>
      <c r="K192" s="42"/>
      <c r="L192" s="42"/>
      <c r="M192" s="42"/>
      <c r="N192" s="42"/>
      <c r="O192" s="42"/>
      <c r="P192" s="4"/>
      <c r="Q192" s="27" t="str">
        <f t="shared" si="4"/>
        <v/>
      </c>
      <c r="R192" s="28" t="str">
        <f t="shared" si="5"/>
        <v/>
      </c>
    </row>
    <row r="193" spans="2:18" ht="30" hidden="1" customHeight="1" x14ac:dyDescent="0.25">
      <c r="B193" s="17">
        <v>177</v>
      </c>
      <c r="C193" s="5" t="s">
        <v>194</v>
      </c>
      <c r="D193" s="5" t="s">
        <v>194</v>
      </c>
      <c r="E193" s="4" t="e" vm="131">
        <v>#VALUE!</v>
      </c>
      <c r="F193" s="4">
        <v>6000</v>
      </c>
      <c r="G193" s="4" t="s">
        <v>9</v>
      </c>
      <c r="H193" s="7">
        <v>0.72499999999999998</v>
      </c>
      <c r="I193" s="42"/>
      <c r="J193" s="42"/>
      <c r="K193" s="42"/>
      <c r="L193" s="42"/>
      <c r="M193" s="42"/>
      <c r="N193" s="42"/>
      <c r="O193" s="42"/>
      <c r="P193" s="4"/>
      <c r="Q193" s="27">
        <f t="shared" si="4"/>
        <v>0</v>
      </c>
      <c r="R193" s="28">
        <f t="shared" si="5"/>
        <v>0</v>
      </c>
    </row>
    <row r="194" spans="2:18" ht="30" hidden="1" customHeight="1" x14ac:dyDescent="0.25">
      <c r="B194" s="17">
        <v>178</v>
      </c>
      <c r="C194" s="5" t="s">
        <v>400</v>
      </c>
      <c r="D194" s="5"/>
      <c r="E194" s="4"/>
      <c r="F194" s="4"/>
      <c r="G194" s="4"/>
      <c r="H194" s="7"/>
      <c r="I194" s="42"/>
      <c r="J194" s="42"/>
      <c r="K194" s="42"/>
      <c r="L194" s="42"/>
      <c r="M194" s="42"/>
      <c r="N194" s="42"/>
      <c r="O194" s="42"/>
      <c r="P194" s="4"/>
      <c r="Q194" s="27" t="str">
        <f t="shared" si="4"/>
        <v/>
      </c>
      <c r="R194" s="28" t="str">
        <f t="shared" si="5"/>
        <v/>
      </c>
    </row>
    <row r="195" spans="2:18" ht="30" hidden="1" customHeight="1" x14ac:dyDescent="0.25">
      <c r="B195" s="17">
        <v>179</v>
      </c>
      <c r="C195" s="5" t="s">
        <v>195</v>
      </c>
      <c r="D195" s="5" t="s">
        <v>196</v>
      </c>
      <c r="E195" s="4" t="e" vm="132">
        <v>#VALUE!</v>
      </c>
      <c r="F195" s="4">
        <v>6000</v>
      </c>
      <c r="G195" s="4" t="s">
        <v>9</v>
      </c>
      <c r="H195" s="7">
        <v>0.39500000000000002</v>
      </c>
      <c r="I195" s="42"/>
      <c r="J195" s="42"/>
      <c r="K195" s="42"/>
      <c r="L195" s="42"/>
      <c r="M195" s="42"/>
      <c r="N195" s="42"/>
      <c r="O195" s="42"/>
      <c r="P195" s="4"/>
      <c r="Q195" s="27">
        <f t="shared" si="4"/>
        <v>0</v>
      </c>
      <c r="R195" s="28">
        <f t="shared" si="5"/>
        <v>0</v>
      </c>
    </row>
    <row r="196" spans="2:18" ht="30" hidden="1" customHeight="1" x14ac:dyDescent="0.25">
      <c r="B196" s="17">
        <v>180</v>
      </c>
      <c r="C196" s="5" t="s">
        <v>197</v>
      </c>
      <c r="D196" s="5" t="s">
        <v>348</v>
      </c>
      <c r="E196" s="4" t="e" vm="133">
        <v>#VALUE!</v>
      </c>
      <c r="F196" s="4">
        <v>6000</v>
      </c>
      <c r="G196" s="4" t="s">
        <v>9</v>
      </c>
      <c r="H196" s="7">
        <v>0.65200000000000002</v>
      </c>
      <c r="I196" s="42"/>
      <c r="J196" s="42"/>
      <c r="K196" s="42"/>
      <c r="L196" s="42"/>
      <c r="M196" s="42"/>
      <c r="N196" s="42"/>
      <c r="O196" s="42"/>
      <c r="P196" s="4"/>
      <c r="Q196" s="27">
        <f t="shared" si="4"/>
        <v>0</v>
      </c>
      <c r="R196" s="28">
        <f t="shared" si="5"/>
        <v>0</v>
      </c>
    </row>
    <row r="197" spans="2:18" ht="30" hidden="1" customHeight="1" x14ac:dyDescent="0.25">
      <c r="B197" s="17">
        <v>181</v>
      </c>
      <c r="C197" s="5" t="s">
        <v>198</v>
      </c>
      <c r="D197" s="5" t="s">
        <v>349</v>
      </c>
      <c r="E197" s="4" t="e" vm="134">
        <v>#VALUE!</v>
      </c>
      <c r="F197" s="4">
        <v>6000</v>
      </c>
      <c r="G197" s="4" t="s">
        <v>9</v>
      </c>
      <c r="H197" s="7">
        <v>0.94799999999999995</v>
      </c>
      <c r="I197" s="42"/>
      <c r="J197" s="42"/>
      <c r="K197" s="42"/>
      <c r="L197" s="42"/>
      <c r="M197" s="42"/>
      <c r="N197" s="42"/>
      <c r="O197" s="42"/>
      <c r="P197" s="4"/>
      <c r="Q197" s="27">
        <f t="shared" si="4"/>
        <v>0</v>
      </c>
      <c r="R197" s="28">
        <f t="shared" si="5"/>
        <v>0</v>
      </c>
    </row>
    <row r="198" spans="2:18" ht="30" hidden="1" customHeight="1" x14ac:dyDescent="0.25">
      <c r="B198" s="17">
        <v>182</v>
      </c>
      <c r="C198" s="5" t="s">
        <v>199</v>
      </c>
      <c r="D198" s="5" t="s">
        <v>200</v>
      </c>
      <c r="E198" s="4" t="e" vm="135">
        <v>#VALUE!</v>
      </c>
      <c r="F198" s="4">
        <v>6000</v>
      </c>
      <c r="G198" s="4" t="s">
        <v>9</v>
      </c>
      <c r="H198" s="7">
        <v>1.268</v>
      </c>
      <c r="I198" s="42"/>
      <c r="J198" s="42"/>
      <c r="K198" s="42"/>
      <c r="L198" s="42"/>
      <c r="M198" s="42"/>
      <c r="N198" s="42"/>
      <c r="O198" s="42"/>
      <c r="P198" s="4"/>
      <c r="Q198" s="27">
        <f t="shared" si="4"/>
        <v>0</v>
      </c>
      <c r="R198" s="28">
        <f t="shared" si="5"/>
        <v>0</v>
      </c>
    </row>
    <row r="199" spans="2:18" ht="30" hidden="1" customHeight="1" x14ac:dyDescent="0.25">
      <c r="B199" s="17">
        <v>183</v>
      </c>
      <c r="C199" s="5" t="s">
        <v>201</v>
      </c>
      <c r="D199" s="5" t="s">
        <v>202</v>
      </c>
      <c r="E199" s="4" t="e" vm="136">
        <v>#VALUE!</v>
      </c>
      <c r="F199" s="4">
        <v>6000</v>
      </c>
      <c r="G199" s="4" t="s">
        <v>9</v>
      </c>
      <c r="H199" s="7">
        <v>0.66400000000000003</v>
      </c>
      <c r="I199" s="42"/>
      <c r="J199" s="42"/>
      <c r="K199" s="42"/>
      <c r="L199" s="42"/>
      <c r="M199" s="42"/>
      <c r="N199" s="42"/>
      <c r="O199" s="42"/>
      <c r="P199" s="4"/>
      <c r="Q199" s="27">
        <f t="shared" si="4"/>
        <v>0</v>
      </c>
      <c r="R199" s="28">
        <f t="shared" si="5"/>
        <v>0</v>
      </c>
    </row>
    <row r="200" spans="2:18" ht="30" hidden="1" customHeight="1" x14ac:dyDescent="0.25">
      <c r="B200" s="17">
        <v>184</v>
      </c>
      <c r="C200" s="5" t="s">
        <v>203</v>
      </c>
      <c r="D200" s="5" t="s">
        <v>203</v>
      </c>
      <c r="E200" s="4" t="e" vm="137">
        <v>#VALUE!</v>
      </c>
      <c r="F200" s="4">
        <v>6000</v>
      </c>
      <c r="G200" s="4" t="s">
        <v>9</v>
      </c>
      <c r="H200" s="7">
        <v>0.44400000000000001</v>
      </c>
      <c r="I200" s="42"/>
      <c r="J200" s="42"/>
      <c r="K200" s="42"/>
      <c r="L200" s="42"/>
      <c r="M200" s="42"/>
      <c r="N200" s="42"/>
      <c r="O200" s="42"/>
      <c r="P200" s="4"/>
      <c r="Q200" s="27">
        <f t="shared" si="4"/>
        <v>0</v>
      </c>
      <c r="R200" s="28">
        <f t="shared" si="5"/>
        <v>0</v>
      </c>
    </row>
    <row r="201" spans="2:18" ht="30" hidden="1" customHeight="1" x14ac:dyDescent="0.25">
      <c r="B201" s="17">
        <v>185</v>
      </c>
      <c r="C201" s="5" t="s">
        <v>204</v>
      </c>
      <c r="D201" s="5" t="s">
        <v>204</v>
      </c>
      <c r="E201" s="4" t="e" vm="138">
        <v>#VALUE!</v>
      </c>
      <c r="F201" s="4">
        <v>6000</v>
      </c>
      <c r="G201" s="4" t="s">
        <v>9</v>
      </c>
      <c r="H201" s="7">
        <v>0.49299999999999999</v>
      </c>
      <c r="I201" s="42"/>
      <c r="J201" s="42"/>
      <c r="K201" s="42"/>
      <c r="L201" s="42"/>
      <c r="M201" s="42"/>
      <c r="N201" s="42"/>
      <c r="O201" s="42"/>
      <c r="P201" s="4"/>
      <c r="Q201" s="27">
        <f t="shared" si="4"/>
        <v>0</v>
      </c>
      <c r="R201" s="28">
        <f t="shared" si="5"/>
        <v>0</v>
      </c>
    </row>
    <row r="202" spans="2:18" ht="30" customHeight="1" x14ac:dyDescent="0.25">
      <c r="B202" s="17">
        <v>186</v>
      </c>
      <c r="C202" s="5" t="s">
        <v>205</v>
      </c>
      <c r="D202" s="5" t="s">
        <v>205</v>
      </c>
      <c r="E202" s="4" t="e" vm="139">
        <v>#VALUE!</v>
      </c>
      <c r="F202" s="4">
        <v>6000</v>
      </c>
      <c r="G202" s="4" t="s">
        <v>9</v>
      </c>
      <c r="H202" s="7">
        <v>0.96299999999999997</v>
      </c>
      <c r="I202" s="42"/>
      <c r="J202" s="42"/>
      <c r="K202" s="42">
        <v>100</v>
      </c>
      <c r="L202" s="42"/>
      <c r="M202" s="42">
        <v>50</v>
      </c>
      <c r="N202" s="42"/>
      <c r="O202" s="42"/>
      <c r="P202" s="4"/>
      <c r="Q202" s="27">
        <f t="shared" si="4"/>
        <v>866.7</v>
      </c>
      <c r="R202" s="28">
        <f t="shared" si="5"/>
        <v>866.7</v>
      </c>
    </row>
    <row r="203" spans="2:18" ht="30" hidden="1" customHeight="1" x14ac:dyDescent="0.25">
      <c r="B203" s="17">
        <v>187</v>
      </c>
      <c r="C203" s="5" t="s">
        <v>206</v>
      </c>
      <c r="D203" s="5" t="s">
        <v>206</v>
      </c>
      <c r="E203" s="4" t="e" vm="140">
        <v>#VALUE!</v>
      </c>
      <c r="F203" s="4">
        <v>6000</v>
      </c>
      <c r="G203" s="4" t="s">
        <v>9</v>
      </c>
      <c r="H203" s="7">
        <v>1.2410000000000001</v>
      </c>
      <c r="I203" s="42"/>
      <c r="J203" s="42"/>
      <c r="K203" s="42"/>
      <c r="L203" s="42"/>
      <c r="M203" s="42"/>
      <c r="N203" s="42"/>
      <c r="O203" s="42"/>
      <c r="P203" s="4"/>
      <c r="Q203" s="27">
        <f t="shared" si="4"/>
        <v>0</v>
      </c>
      <c r="R203" s="28">
        <f t="shared" si="5"/>
        <v>0</v>
      </c>
    </row>
    <row r="204" spans="2:18" ht="30" hidden="1" customHeight="1" x14ac:dyDescent="0.25">
      <c r="B204" s="17">
        <v>188</v>
      </c>
      <c r="C204" s="5" t="s">
        <v>207</v>
      </c>
      <c r="D204" s="5" t="s">
        <v>207</v>
      </c>
      <c r="E204" s="4" t="e" vm="141">
        <v>#VALUE!</v>
      </c>
      <c r="F204" s="4">
        <v>6000</v>
      </c>
      <c r="G204" s="4" t="s">
        <v>9</v>
      </c>
      <c r="H204" s="7">
        <v>0.23599999999999999</v>
      </c>
      <c r="I204" s="42"/>
      <c r="J204" s="42"/>
      <c r="K204" s="42"/>
      <c r="L204" s="42"/>
      <c r="M204" s="42"/>
      <c r="N204" s="42"/>
      <c r="O204" s="42"/>
      <c r="P204" s="4"/>
      <c r="Q204" s="27">
        <f t="shared" si="4"/>
        <v>0</v>
      </c>
      <c r="R204" s="28">
        <f t="shared" si="5"/>
        <v>0</v>
      </c>
    </row>
    <row r="205" spans="2:18" ht="30" hidden="1" customHeight="1" x14ac:dyDescent="0.25">
      <c r="B205" s="17">
        <v>189</v>
      </c>
      <c r="C205" s="5" t="s">
        <v>208</v>
      </c>
      <c r="D205" s="5" t="s">
        <v>208</v>
      </c>
      <c r="E205" s="4" t="e" vm="142">
        <v>#VALUE!</v>
      </c>
      <c r="F205" s="4">
        <v>6000</v>
      </c>
      <c r="G205" s="4" t="s">
        <v>9</v>
      </c>
      <c r="H205" s="7">
        <v>0.79300000000000004</v>
      </c>
      <c r="I205" s="42"/>
      <c r="J205" s="42"/>
      <c r="K205" s="42"/>
      <c r="L205" s="42"/>
      <c r="M205" s="42"/>
      <c r="N205" s="42"/>
      <c r="O205" s="42"/>
      <c r="P205" s="4"/>
      <c r="Q205" s="27">
        <f t="shared" si="4"/>
        <v>0</v>
      </c>
      <c r="R205" s="28">
        <f t="shared" si="5"/>
        <v>0</v>
      </c>
    </row>
    <row r="206" spans="2:18" ht="30" customHeight="1" x14ac:dyDescent="0.25">
      <c r="B206" s="17">
        <v>190</v>
      </c>
      <c r="C206" s="5" t="s">
        <v>209</v>
      </c>
      <c r="D206" s="5" t="s">
        <v>210</v>
      </c>
      <c r="E206" s="4" t="e" vm="143">
        <v>#VALUE!</v>
      </c>
      <c r="F206" s="4">
        <v>6000</v>
      </c>
      <c r="G206" s="4" t="s">
        <v>9</v>
      </c>
      <c r="H206" s="7">
        <v>0.46300000000000002</v>
      </c>
      <c r="I206" s="42"/>
      <c r="J206" s="42">
        <v>50</v>
      </c>
      <c r="K206" s="42">
        <v>100</v>
      </c>
      <c r="L206" s="42"/>
      <c r="M206" s="42"/>
      <c r="N206" s="42"/>
      <c r="O206" s="42"/>
      <c r="P206" s="4"/>
      <c r="Q206" s="27">
        <f t="shared" si="4"/>
        <v>416.7</v>
      </c>
      <c r="R206" s="28">
        <f t="shared" si="5"/>
        <v>416.7</v>
      </c>
    </row>
    <row r="207" spans="2:18" ht="30" customHeight="1" x14ac:dyDescent="0.25">
      <c r="B207" s="17">
        <v>191</v>
      </c>
      <c r="C207" s="5" t="s">
        <v>211</v>
      </c>
      <c r="D207" s="5" t="s">
        <v>211</v>
      </c>
      <c r="E207" s="4" t="e" vm="144">
        <v>#VALUE!</v>
      </c>
      <c r="F207" s="4">
        <v>6000</v>
      </c>
      <c r="G207" s="4" t="s">
        <v>9</v>
      </c>
      <c r="H207" s="7">
        <v>0.39400000000000002</v>
      </c>
      <c r="I207" s="42"/>
      <c r="J207" s="42"/>
      <c r="K207" s="42">
        <v>80</v>
      </c>
      <c r="L207" s="42"/>
      <c r="M207" s="42">
        <v>50</v>
      </c>
      <c r="N207" s="42"/>
      <c r="O207" s="42"/>
      <c r="P207" s="4"/>
      <c r="Q207" s="27">
        <f t="shared" si="4"/>
        <v>307.32</v>
      </c>
      <c r="R207" s="28">
        <f t="shared" si="5"/>
        <v>307.32</v>
      </c>
    </row>
    <row r="208" spans="2:18" ht="30" hidden="1" customHeight="1" x14ac:dyDescent="0.25">
      <c r="B208" s="17">
        <v>192</v>
      </c>
      <c r="C208" s="5" t="s">
        <v>212</v>
      </c>
      <c r="D208" s="5" t="s">
        <v>212</v>
      </c>
      <c r="E208" s="4" t="e" vm="145">
        <v>#VALUE!</v>
      </c>
      <c r="F208" s="4">
        <v>6000</v>
      </c>
      <c r="G208" s="4" t="s">
        <v>9</v>
      </c>
      <c r="H208" s="7">
        <v>0.84799999999999998</v>
      </c>
      <c r="I208" s="42"/>
      <c r="J208" s="42"/>
      <c r="K208" s="42"/>
      <c r="L208" s="42"/>
      <c r="M208" s="42"/>
      <c r="N208" s="42"/>
      <c r="O208" s="42"/>
      <c r="P208" s="4"/>
      <c r="Q208" s="27">
        <f t="shared" si="4"/>
        <v>0</v>
      </c>
      <c r="R208" s="28">
        <f t="shared" si="5"/>
        <v>0</v>
      </c>
    </row>
    <row r="209" spans="2:18" ht="30" hidden="1" customHeight="1" x14ac:dyDescent="0.25">
      <c r="B209" s="17">
        <v>193</v>
      </c>
      <c r="C209" s="5" t="s">
        <v>213</v>
      </c>
      <c r="D209" s="5" t="s">
        <v>213</v>
      </c>
      <c r="E209" s="4" t="e" vm="146">
        <v>#VALUE!</v>
      </c>
      <c r="F209" s="4">
        <v>6000</v>
      </c>
      <c r="G209" s="4" t="s">
        <v>9</v>
      </c>
      <c r="H209" s="7">
        <v>1.0089999999999999</v>
      </c>
      <c r="I209" s="42"/>
      <c r="J209" s="42"/>
      <c r="K209" s="42"/>
      <c r="L209" s="42"/>
      <c r="M209" s="42"/>
      <c r="N209" s="42"/>
      <c r="O209" s="42"/>
      <c r="P209" s="4"/>
      <c r="Q209" s="27">
        <f t="shared" ref="Q209:Q272" si="6">IFERROR(IF(OR(F209=0,H209=0),"",SUM(I209:O209)*F209*H209/1000),0)</f>
        <v>0</v>
      </c>
      <c r="R209" s="28">
        <f t="shared" si="5"/>
        <v>0</v>
      </c>
    </row>
    <row r="210" spans="2:18" ht="30" hidden="1" customHeight="1" x14ac:dyDescent="0.25">
      <c r="B210" s="17">
        <v>194</v>
      </c>
      <c r="C210" s="5" t="s">
        <v>214</v>
      </c>
      <c r="D210" s="5" t="s">
        <v>214</v>
      </c>
      <c r="E210" s="4" t="e" vm="147">
        <v>#VALUE!</v>
      </c>
      <c r="F210" s="4">
        <v>6000</v>
      </c>
      <c r="G210" s="4" t="s">
        <v>9</v>
      </c>
      <c r="H210" s="7">
        <v>0.95599999999999996</v>
      </c>
      <c r="I210" s="42"/>
      <c r="J210" s="42"/>
      <c r="K210" s="42"/>
      <c r="L210" s="42"/>
      <c r="M210" s="42"/>
      <c r="N210" s="42"/>
      <c r="O210" s="42"/>
      <c r="P210" s="4"/>
      <c r="Q210" s="27">
        <f t="shared" si="6"/>
        <v>0</v>
      </c>
      <c r="R210" s="28">
        <f t="shared" ref="R210:R273" si="7">Q210</f>
        <v>0</v>
      </c>
    </row>
    <row r="211" spans="2:18" ht="30" hidden="1" customHeight="1" x14ac:dyDescent="0.25">
      <c r="B211" s="17">
        <v>195</v>
      </c>
      <c r="C211" s="5" t="s">
        <v>215</v>
      </c>
      <c r="D211" s="5" t="s">
        <v>215</v>
      </c>
      <c r="E211" s="4" t="e" vm="148">
        <v>#VALUE!</v>
      </c>
      <c r="F211" s="4">
        <v>6000</v>
      </c>
      <c r="G211" s="4" t="s">
        <v>9</v>
      </c>
      <c r="H211" s="7">
        <v>0.23599999999999999</v>
      </c>
      <c r="I211" s="42"/>
      <c r="J211" s="42"/>
      <c r="K211" s="42"/>
      <c r="L211" s="42"/>
      <c r="M211" s="42"/>
      <c r="N211" s="42"/>
      <c r="O211" s="42"/>
      <c r="P211" s="4"/>
      <c r="Q211" s="27">
        <f t="shared" si="6"/>
        <v>0</v>
      </c>
      <c r="R211" s="28">
        <f t="shared" si="7"/>
        <v>0</v>
      </c>
    </row>
    <row r="212" spans="2:18" ht="30" hidden="1" customHeight="1" x14ac:dyDescent="0.25">
      <c r="B212" s="17">
        <v>196</v>
      </c>
      <c r="C212" s="5" t="s">
        <v>216</v>
      </c>
      <c r="D212" s="5" t="s">
        <v>216</v>
      </c>
      <c r="E212" s="4" t="e" vm="149">
        <v>#VALUE!</v>
      </c>
      <c r="F212" s="4">
        <v>6000</v>
      </c>
      <c r="G212" s="4" t="s">
        <v>9</v>
      </c>
      <c r="H212" s="7">
        <v>0.42599999999999999</v>
      </c>
      <c r="I212" s="42"/>
      <c r="J212" s="42"/>
      <c r="K212" s="42"/>
      <c r="L212" s="42"/>
      <c r="M212" s="42"/>
      <c r="N212" s="42"/>
      <c r="O212" s="42"/>
      <c r="P212" s="4"/>
      <c r="Q212" s="27">
        <f t="shared" si="6"/>
        <v>0</v>
      </c>
      <c r="R212" s="28">
        <f t="shared" si="7"/>
        <v>0</v>
      </c>
    </row>
    <row r="213" spans="2:18" ht="30" hidden="1" customHeight="1" x14ac:dyDescent="0.25">
      <c r="B213" s="17">
        <v>197</v>
      </c>
      <c r="C213" s="5" t="s">
        <v>217</v>
      </c>
      <c r="D213" s="5" t="s">
        <v>217</v>
      </c>
      <c r="E213" s="4" t="e" vm="150">
        <v>#VALUE!</v>
      </c>
      <c r="F213" s="4">
        <v>6000</v>
      </c>
      <c r="G213" s="4" t="s">
        <v>9</v>
      </c>
      <c r="H213" s="7">
        <v>0.17499999999999999</v>
      </c>
      <c r="I213" s="42"/>
      <c r="J213" s="42"/>
      <c r="K213" s="42"/>
      <c r="L213" s="42"/>
      <c r="M213" s="42"/>
      <c r="N213" s="42"/>
      <c r="O213" s="42"/>
      <c r="P213" s="4"/>
      <c r="Q213" s="27">
        <f t="shared" si="6"/>
        <v>0</v>
      </c>
      <c r="R213" s="28">
        <f t="shared" si="7"/>
        <v>0</v>
      </c>
    </row>
    <row r="214" spans="2:18" ht="30" hidden="1" customHeight="1" x14ac:dyDescent="0.25">
      <c r="B214" s="17">
        <v>198</v>
      </c>
      <c r="C214" s="5" t="s">
        <v>218</v>
      </c>
      <c r="D214" s="5" t="s">
        <v>218</v>
      </c>
      <c r="E214" s="4" t="e" vm="151">
        <v>#VALUE!</v>
      </c>
      <c r="F214" s="4">
        <v>6000</v>
      </c>
      <c r="G214" s="4" t="s">
        <v>9</v>
      </c>
      <c r="H214" s="7">
        <v>0.161</v>
      </c>
      <c r="I214" s="42"/>
      <c r="J214" s="42"/>
      <c r="K214" s="42"/>
      <c r="L214" s="42"/>
      <c r="M214" s="42"/>
      <c r="N214" s="42"/>
      <c r="O214" s="42"/>
      <c r="P214" s="4"/>
      <c r="Q214" s="27">
        <f t="shared" si="6"/>
        <v>0</v>
      </c>
      <c r="R214" s="28">
        <f t="shared" si="7"/>
        <v>0</v>
      </c>
    </row>
    <row r="215" spans="2:18" ht="30" hidden="1" customHeight="1" x14ac:dyDescent="0.25">
      <c r="B215" s="17">
        <v>199</v>
      </c>
      <c r="C215" s="5" t="s">
        <v>219</v>
      </c>
      <c r="D215" s="5" t="s">
        <v>219</v>
      </c>
      <c r="E215" s="4" t="e" vm="152">
        <v>#VALUE!</v>
      </c>
      <c r="F215" s="4">
        <v>6000</v>
      </c>
      <c r="G215" s="4" t="s">
        <v>9</v>
      </c>
      <c r="H215" s="7">
        <v>0.20699999999999999</v>
      </c>
      <c r="I215" s="42"/>
      <c r="J215" s="42"/>
      <c r="K215" s="42"/>
      <c r="L215" s="42"/>
      <c r="M215" s="42"/>
      <c r="N215" s="42"/>
      <c r="O215" s="42"/>
      <c r="P215" s="4"/>
      <c r="Q215" s="27">
        <f t="shared" si="6"/>
        <v>0</v>
      </c>
      <c r="R215" s="28">
        <f t="shared" si="7"/>
        <v>0</v>
      </c>
    </row>
    <row r="216" spans="2:18" ht="30" customHeight="1" x14ac:dyDescent="0.25">
      <c r="B216" s="17">
        <v>200</v>
      </c>
      <c r="C216" s="5" t="s">
        <v>220</v>
      </c>
      <c r="D216" s="5" t="s">
        <v>220</v>
      </c>
      <c r="E216" s="4" t="e" vm="153">
        <v>#VALUE!</v>
      </c>
      <c r="F216" s="4">
        <v>6000</v>
      </c>
      <c r="G216" s="4" t="s">
        <v>9</v>
      </c>
      <c r="H216" s="7">
        <v>0.26400000000000001</v>
      </c>
      <c r="I216" s="42"/>
      <c r="J216" s="42">
        <v>80</v>
      </c>
      <c r="K216" s="42"/>
      <c r="L216" s="42"/>
      <c r="M216" s="42"/>
      <c r="N216" s="42"/>
      <c r="O216" s="42"/>
      <c r="P216" s="4"/>
      <c r="Q216" s="27">
        <f t="shared" si="6"/>
        <v>126.72</v>
      </c>
      <c r="R216" s="28">
        <f t="shared" si="7"/>
        <v>126.72</v>
      </c>
    </row>
    <row r="217" spans="2:18" ht="30" customHeight="1" x14ac:dyDescent="0.25">
      <c r="B217" s="17">
        <v>201</v>
      </c>
      <c r="C217" s="5" t="s">
        <v>221</v>
      </c>
      <c r="D217" s="5" t="s">
        <v>221</v>
      </c>
      <c r="E217" s="4" t="e" vm="154">
        <v>#VALUE!</v>
      </c>
      <c r="F217" s="4">
        <v>6000</v>
      </c>
      <c r="G217" s="4" t="s">
        <v>9</v>
      </c>
      <c r="H217" s="7">
        <v>0.2</v>
      </c>
      <c r="I217" s="42"/>
      <c r="J217" s="42">
        <v>150</v>
      </c>
      <c r="K217" s="42"/>
      <c r="L217" s="42"/>
      <c r="M217" s="42"/>
      <c r="N217" s="42"/>
      <c r="O217" s="42"/>
      <c r="P217" s="4"/>
      <c r="Q217" s="27">
        <f t="shared" si="6"/>
        <v>180</v>
      </c>
      <c r="R217" s="28">
        <f t="shared" si="7"/>
        <v>180</v>
      </c>
    </row>
    <row r="218" spans="2:18" ht="30" customHeight="1" x14ac:dyDescent="0.25">
      <c r="B218" s="17">
        <v>202</v>
      </c>
      <c r="C218" s="5" t="s">
        <v>222</v>
      </c>
      <c r="D218" s="5" t="s">
        <v>222</v>
      </c>
      <c r="E218" s="4" t="e" vm="155">
        <v>#VALUE!</v>
      </c>
      <c r="F218" s="4">
        <v>6000</v>
      </c>
      <c r="G218" s="4" t="s">
        <v>9</v>
      </c>
      <c r="H218" s="7">
        <v>0.50800000000000001</v>
      </c>
      <c r="I218" s="42"/>
      <c r="J218" s="42">
        <v>80</v>
      </c>
      <c r="K218" s="42"/>
      <c r="L218" s="42"/>
      <c r="M218" s="42"/>
      <c r="N218" s="42"/>
      <c r="O218" s="42"/>
      <c r="P218" s="4"/>
      <c r="Q218" s="27">
        <f t="shared" si="6"/>
        <v>243.84</v>
      </c>
      <c r="R218" s="28">
        <f t="shared" si="7"/>
        <v>243.84</v>
      </c>
    </row>
    <row r="219" spans="2:18" ht="30" customHeight="1" x14ac:dyDescent="0.25">
      <c r="B219" s="17">
        <v>203</v>
      </c>
      <c r="C219" s="5" t="s">
        <v>223</v>
      </c>
      <c r="D219" s="5" t="s">
        <v>223</v>
      </c>
      <c r="E219" s="4" t="e" vm="156">
        <v>#VALUE!</v>
      </c>
      <c r="F219" s="4">
        <v>6000</v>
      </c>
      <c r="G219" s="4" t="s">
        <v>9</v>
      </c>
      <c r="H219" s="7">
        <v>0.188</v>
      </c>
      <c r="I219" s="42"/>
      <c r="J219" s="42">
        <v>200</v>
      </c>
      <c r="K219" s="42"/>
      <c r="L219" s="42"/>
      <c r="M219" s="42"/>
      <c r="N219" s="42"/>
      <c r="O219" s="42"/>
      <c r="P219" s="4"/>
      <c r="Q219" s="27">
        <f t="shared" si="6"/>
        <v>225.6</v>
      </c>
      <c r="R219" s="28">
        <f t="shared" si="7"/>
        <v>225.6</v>
      </c>
    </row>
    <row r="220" spans="2:18" ht="30" hidden="1" customHeight="1" x14ac:dyDescent="0.25">
      <c r="B220" s="17">
        <v>204</v>
      </c>
      <c r="C220" s="5" t="s">
        <v>224</v>
      </c>
      <c r="D220" s="5" t="s">
        <v>224</v>
      </c>
      <c r="E220" s="4" t="e" vm="157">
        <v>#VALUE!</v>
      </c>
      <c r="F220" s="4">
        <v>6000</v>
      </c>
      <c r="G220" s="4" t="s">
        <v>9</v>
      </c>
      <c r="H220" s="7">
        <v>0.19700000000000001</v>
      </c>
      <c r="I220" s="42"/>
      <c r="J220" s="42"/>
      <c r="K220" s="42"/>
      <c r="L220" s="42"/>
      <c r="M220" s="42"/>
      <c r="N220" s="42"/>
      <c r="O220" s="42"/>
      <c r="P220" s="4"/>
      <c r="Q220" s="27">
        <f t="shared" si="6"/>
        <v>0</v>
      </c>
      <c r="R220" s="28">
        <f t="shared" si="7"/>
        <v>0</v>
      </c>
    </row>
    <row r="221" spans="2:18" ht="30" customHeight="1" x14ac:dyDescent="0.25">
      <c r="B221" s="17">
        <v>205</v>
      </c>
      <c r="C221" s="5" t="s">
        <v>225</v>
      </c>
      <c r="D221" s="5" t="s">
        <v>225</v>
      </c>
      <c r="E221" s="4" t="e" vm="158">
        <v>#VALUE!</v>
      </c>
      <c r="F221" s="4">
        <v>6000</v>
      </c>
      <c r="G221" s="4" t="s">
        <v>9</v>
      </c>
      <c r="H221" s="7">
        <v>0.185</v>
      </c>
      <c r="I221" s="42"/>
      <c r="J221" s="42"/>
      <c r="K221" s="42">
        <v>100</v>
      </c>
      <c r="L221" s="42"/>
      <c r="M221" s="42">
        <v>50</v>
      </c>
      <c r="N221" s="42"/>
      <c r="O221" s="42"/>
      <c r="P221" s="4"/>
      <c r="Q221" s="27">
        <f t="shared" si="6"/>
        <v>166.5</v>
      </c>
      <c r="R221" s="28">
        <f t="shared" si="7"/>
        <v>166.5</v>
      </c>
    </row>
    <row r="222" spans="2:18" ht="30" customHeight="1" x14ac:dyDescent="0.25">
      <c r="B222" s="17">
        <v>206</v>
      </c>
      <c r="C222" s="5" t="s">
        <v>226</v>
      </c>
      <c r="D222" s="5" t="s">
        <v>226</v>
      </c>
      <c r="E222" s="4" t="e" vm="159">
        <v>#VALUE!</v>
      </c>
      <c r="F222" s="4">
        <v>6000</v>
      </c>
      <c r="G222" s="4" t="s">
        <v>9</v>
      </c>
      <c r="H222" s="7">
        <v>0.17299999999999999</v>
      </c>
      <c r="I222" s="42"/>
      <c r="J222" s="42"/>
      <c r="K222" s="42">
        <v>50</v>
      </c>
      <c r="L222" s="42"/>
      <c r="M222" s="42">
        <v>30</v>
      </c>
      <c r="N222" s="42"/>
      <c r="O222" s="42"/>
      <c r="P222" s="4"/>
      <c r="Q222" s="27">
        <f t="shared" si="6"/>
        <v>83.04</v>
      </c>
      <c r="R222" s="28">
        <f t="shared" si="7"/>
        <v>83.04</v>
      </c>
    </row>
    <row r="223" spans="2:18" ht="30" customHeight="1" x14ac:dyDescent="0.25">
      <c r="B223" s="17">
        <v>207</v>
      </c>
      <c r="C223" s="5" t="s">
        <v>227</v>
      </c>
      <c r="D223" s="5" t="s">
        <v>227</v>
      </c>
      <c r="E223" s="4" t="e" vm="160">
        <v>#VALUE!</v>
      </c>
      <c r="F223" s="4">
        <v>6000</v>
      </c>
      <c r="G223" s="4" t="s">
        <v>9</v>
      </c>
      <c r="H223" s="7">
        <v>0.47699999999999998</v>
      </c>
      <c r="I223" s="42"/>
      <c r="J223" s="42"/>
      <c r="K223" s="42">
        <v>100</v>
      </c>
      <c r="L223" s="42"/>
      <c r="M223" s="42">
        <v>50</v>
      </c>
      <c r="N223" s="42"/>
      <c r="O223" s="42"/>
      <c r="P223" s="4"/>
      <c r="Q223" s="27">
        <f t="shared" si="6"/>
        <v>429.3</v>
      </c>
      <c r="R223" s="28">
        <f t="shared" si="7"/>
        <v>429.3</v>
      </c>
    </row>
    <row r="224" spans="2:18" ht="30" customHeight="1" x14ac:dyDescent="0.25">
      <c r="B224" s="17">
        <v>208</v>
      </c>
      <c r="C224" s="5" t="s">
        <v>228</v>
      </c>
      <c r="D224" s="5" t="s">
        <v>229</v>
      </c>
      <c r="E224" s="4" t="e" vm="161">
        <v>#VALUE!</v>
      </c>
      <c r="F224" s="4">
        <v>6000</v>
      </c>
      <c r="G224" s="4" t="s">
        <v>9</v>
      </c>
      <c r="H224" s="7">
        <v>0.434</v>
      </c>
      <c r="I224" s="42"/>
      <c r="J224" s="42">
        <v>100</v>
      </c>
      <c r="K224" s="42">
        <v>300</v>
      </c>
      <c r="L224" s="42"/>
      <c r="M224" s="42">
        <v>100</v>
      </c>
      <c r="N224" s="42"/>
      <c r="O224" s="42"/>
      <c r="P224" s="4"/>
      <c r="Q224" s="27">
        <f t="shared" si="6"/>
        <v>1302</v>
      </c>
      <c r="R224" s="28">
        <f t="shared" si="7"/>
        <v>1302</v>
      </c>
    </row>
    <row r="225" spans="2:18" ht="30" customHeight="1" x14ac:dyDescent="0.25">
      <c r="B225" s="17">
        <v>209</v>
      </c>
      <c r="C225" s="5" t="s">
        <v>230</v>
      </c>
      <c r="D225" s="5" t="s">
        <v>231</v>
      </c>
      <c r="E225" s="4" t="e" vm="162">
        <v>#VALUE!</v>
      </c>
      <c r="F225" s="4">
        <v>6000</v>
      </c>
      <c r="G225" s="4" t="s">
        <v>9</v>
      </c>
      <c r="H225" s="7">
        <v>0.17499999999999999</v>
      </c>
      <c r="I225" s="42"/>
      <c r="J225" s="42">
        <v>100</v>
      </c>
      <c r="K225" s="42">
        <v>300</v>
      </c>
      <c r="L225" s="42"/>
      <c r="M225" s="42">
        <v>100</v>
      </c>
      <c r="N225" s="42"/>
      <c r="O225" s="42"/>
      <c r="P225" s="4"/>
      <c r="Q225" s="27">
        <f t="shared" si="6"/>
        <v>525</v>
      </c>
      <c r="R225" s="28">
        <f t="shared" si="7"/>
        <v>525</v>
      </c>
    </row>
    <row r="226" spans="2:18" ht="30" customHeight="1" x14ac:dyDescent="0.25">
      <c r="B226" s="17">
        <v>210</v>
      </c>
      <c r="C226" s="5" t="s">
        <v>232</v>
      </c>
      <c r="D226" s="5" t="s">
        <v>233</v>
      </c>
      <c r="E226" s="4" t="e" vm="163">
        <v>#VALUE!</v>
      </c>
      <c r="F226" s="4">
        <v>6000</v>
      </c>
      <c r="G226" s="4" t="s">
        <v>9</v>
      </c>
      <c r="H226" s="7">
        <v>0.45300000000000001</v>
      </c>
      <c r="I226" s="42"/>
      <c r="J226" s="42">
        <v>200</v>
      </c>
      <c r="K226" s="42">
        <v>1800</v>
      </c>
      <c r="L226" s="42"/>
      <c r="M226" s="42">
        <v>200</v>
      </c>
      <c r="N226" s="42"/>
      <c r="O226" s="42"/>
      <c r="P226" s="4"/>
      <c r="Q226" s="27">
        <f t="shared" si="6"/>
        <v>5979.6</v>
      </c>
      <c r="R226" s="28">
        <f t="shared" si="7"/>
        <v>5979.6</v>
      </c>
    </row>
    <row r="227" spans="2:18" ht="30" customHeight="1" x14ac:dyDescent="0.25">
      <c r="B227" s="17">
        <v>211</v>
      </c>
      <c r="C227" s="5" t="s">
        <v>234</v>
      </c>
      <c r="D227" s="5" t="s">
        <v>234</v>
      </c>
      <c r="E227" s="4" t="e" vm="164">
        <v>#VALUE!</v>
      </c>
      <c r="F227" s="4">
        <v>6000</v>
      </c>
      <c r="G227" s="4" t="s">
        <v>9</v>
      </c>
      <c r="H227" s="7">
        <v>0.249</v>
      </c>
      <c r="I227" s="42"/>
      <c r="J227" s="42">
        <v>200</v>
      </c>
      <c r="K227" s="42">
        <v>1800</v>
      </c>
      <c r="L227" s="42"/>
      <c r="M227" s="42">
        <v>200</v>
      </c>
      <c r="N227" s="42"/>
      <c r="O227" s="42"/>
      <c r="P227" s="4"/>
      <c r="Q227" s="27">
        <f t="shared" si="6"/>
        <v>3286.8</v>
      </c>
      <c r="R227" s="28">
        <f t="shared" si="7"/>
        <v>3286.8</v>
      </c>
    </row>
    <row r="228" spans="2:18" ht="30" customHeight="1" x14ac:dyDescent="0.25">
      <c r="B228" s="17">
        <v>212</v>
      </c>
      <c r="C228" s="5" t="s">
        <v>235</v>
      </c>
      <c r="D228" s="5" t="s">
        <v>235</v>
      </c>
      <c r="E228" s="4" t="e" vm="165">
        <v>#VALUE!</v>
      </c>
      <c r="F228" s="4">
        <v>6000</v>
      </c>
      <c r="G228" s="4" t="s">
        <v>9</v>
      </c>
      <c r="H228" s="7">
        <v>0.23</v>
      </c>
      <c r="I228" s="42"/>
      <c r="J228" s="42">
        <v>300</v>
      </c>
      <c r="K228" s="42">
        <v>1800</v>
      </c>
      <c r="L228" s="42"/>
      <c r="M228" s="42">
        <v>300</v>
      </c>
      <c r="N228" s="42"/>
      <c r="O228" s="42"/>
      <c r="P228" s="4"/>
      <c r="Q228" s="27">
        <f t="shared" si="6"/>
        <v>3312</v>
      </c>
      <c r="R228" s="28">
        <f t="shared" si="7"/>
        <v>3312</v>
      </c>
    </row>
    <row r="229" spans="2:18" ht="30" customHeight="1" x14ac:dyDescent="0.25">
      <c r="B229" s="17">
        <v>213</v>
      </c>
      <c r="C229" s="5" t="s">
        <v>236</v>
      </c>
      <c r="D229" s="5" t="s">
        <v>237</v>
      </c>
      <c r="E229" s="4" t="e" vm="166">
        <v>#VALUE!</v>
      </c>
      <c r="F229" s="4">
        <v>6000</v>
      </c>
      <c r="G229" s="4" t="s">
        <v>9</v>
      </c>
      <c r="H229" s="7">
        <v>0.11700000000000001</v>
      </c>
      <c r="I229" s="42"/>
      <c r="J229" s="42">
        <v>300</v>
      </c>
      <c r="K229" s="42">
        <v>1500</v>
      </c>
      <c r="L229" s="42"/>
      <c r="M229" s="42">
        <v>300</v>
      </c>
      <c r="N229" s="42"/>
      <c r="O229" s="42"/>
      <c r="P229" s="4"/>
      <c r="Q229" s="27">
        <f t="shared" si="6"/>
        <v>1474.2</v>
      </c>
      <c r="R229" s="28">
        <f t="shared" si="7"/>
        <v>1474.2</v>
      </c>
    </row>
    <row r="230" spans="2:18" ht="30" customHeight="1" x14ac:dyDescent="0.25">
      <c r="B230" s="17">
        <v>214</v>
      </c>
      <c r="C230" s="5" t="s">
        <v>238</v>
      </c>
      <c r="D230" s="5" t="s">
        <v>239</v>
      </c>
      <c r="E230" s="4" t="e" vm="167">
        <v>#VALUE!</v>
      </c>
      <c r="F230" s="4">
        <v>6000</v>
      </c>
      <c r="G230" s="4" t="s">
        <v>9</v>
      </c>
      <c r="H230" s="7">
        <v>0.11</v>
      </c>
      <c r="I230" s="42"/>
      <c r="J230" s="42">
        <v>300</v>
      </c>
      <c r="K230" s="42">
        <v>1800</v>
      </c>
      <c r="L230" s="42"/>
      <c r="M230" s="42">
        <v>300</v>
      </c>
      <c r="N230" s="42"/>
      <c r="O230" s="42"/>
      <c r="P230" s="4"/>
      <c r="Q230" s="27">
        <f t="shared" si="6"/>
        <v>1584</v>
      </c>
      <c r="R230" s="28">
        <f t="shared" si="7"/>
        <v>1584</v>
      </c>
    </row>
    <row r="231" spans="2:18" ht="30" hidden="1" customHeight="1" x14ac:dyDescent="0.25">
      <c r="B231" s="17">
        <v>215</v>
      </c>
      <c r="C231" s="5" t="s">
        <v>240</v>
      </c>
      <c r="D231" s="5" t="s">
        <v>240</v>
      </c>
      <c r="E231" s="4" t="e" vm="168">
        <v>#VALUE!</v>
      </c>
      <c r="F231" s="4">
        <v>6000</v>
      </c>
      <c r="G231" s="4" t="s">
        <v>9</v>
      </c>
      <c r="H231" s="7">
        <v>0.32200000000000001</v>
      </c>
      <c r="I231" s="42"/>
      <c r="J231" s="42"/>
      <c r="K231" s="42"/>
      <c r="L231" s="42"/>
      <c r="M231" s="42"/>
      <c r="N231" s="42"/>
      <c r="O231" s="42"/>
      <c r="P231" s="4"/>
      <c r="Q231" s="27">
        <f t="shared" si="6"/>
        <v>0</v>
      </c>
      <c r="R231" s="28">
        <f t="shared" si="7"/>
        <v>0</v>
      </c>
    </row>
    <row r="232" spans="2:18" ht="30" hidden="1" customHeight="1" x14ac:dyDescent="0.25">
      <c r="B232" s="17">
        <v>216</v>
      </c>
      <c r="C232" s="5" t="s">
        <v>241</v>
      </c>
      <c r="D232" s="5" t="s">
        <v>241</v>
      </c>
      <c r="E232" s="4" t="e" vm="169">
        <v>#VALUE!</v>
      </c>
      <c r="F232" s="4">
        <v>6000</v>
      </c>
      <c r="G232" s="4" t="s">
        <v>9</v>
      </c>
      <c r="H232" s="7">
        <v>0.26400000000000001</v>
      </c>
      <c r="I232" s="42"/>
      <c r="J232" s="42"/>
      <c r="K232" s="42"/>
      <c r="L232" s="42"/>
      <c r="M232" s="42"/>
      <c r="N232" s="42"/>
      <c r="O232" s="42"/>
      <c r="P232" s="4"/>
      <c r="Q232" s="27">
        <f t="shared" si="6"/>
        <v>0</v>
      </c>
      <c r="R232" s="28">
        <f t="shared" si="7"/>
        <v>0</v>
      </c>
    </row>
    <row r="233" spans="2:18" ht="30" hidden="1" customHeight="1" x14ac:dyDescent="0.25">
      <c r="B233" s="17">
        <v>217</v>
      </c>
      <c r="C233" s="5" t="s">
        <v>242</v>
      </c>
      <c r="D233" s="5" t="s">
        <v>242</v>
      </c>
      <c r="E233" s="4" t="e" vm="170">
        <v>#VALUE!</v>
      </c>
      <c r="F233" s="4">
        <v>6000</v>
      </c>
      <c r="G233" s="4" t="s">
        <v>9</v>
      </c>
      <c r="H233" s="7">
        <v>7.9000000000000001E-2</v>
      </c>
      <c r="I233" s="42"/>
      <c r="J233" s="42"/>
      <c r="K233" s="42"/>
      <c r="L233" s="42"/>
      <c r="M233" s="42"/>
      <c r="N233" s="42"/>
      <c r="O233" s="42"/>
      <c r="P233" s="4"/>
      <c r="Q233" s="27">
        <f t="shared" si="6"/>
        <v>0</v>
      </c>
      <c r="R233" s="28">
        <f t="shared" si="7"/>
        <v>0</v>
      </c>
    </row>
    <row r="234" spans="2:18" ht="30" hidden="1" customHeight="1" x14ac:dyDescent="0.25">
      <c r="B234" s="17">
        <v>218</v>
      </c>
      <c r="C234" s="5" t="s">
        <v>243</v>
      </c>
      <c r="D234" s="5" t="s">
        <v>243</v>
      </c>
      <c r="E234" s="4" t="e" vm="171">
        <v>#VALUE!</v>
      </c>
      <c r="F234" s="4">
        <v>6000</v>
      </c>
      <c r="G234" s="4" t="s">
        <v>9</v>
      </c>
      <c r="H234" s="7">
        <v>0.55600000000000005</v>
      </c>
      <c r="I234" s="42"/>
      <c r="J234" s="42"/>
      <c r="K234" s="42"/>
      <c r="L234" s="42"/>
      <c r="M234" s="42"/>
      <c r="N234" s="42"/>
      <c r="O234" s="42"/>
      <c r="P234" s="4"/>
      <c r="Q234" s="27">
        <f t="shared" si="6"/>
        <v>0</v>
      </c>
      <c r="R234" s="28">
        <f t="shared" si="7"/>
        <v>0</v>
      </c>
    </row>
    <row r="235" spans="2:18" ht="30" hidden="1" customHeight="1" x14ac:dyDescent="0.25">
      <c r="B235" s="17">
        <v>219</v>
      </c>
      <c r="C235" s="5" t="s">
        <v>244</v>
      </c>
      <c r="D235" s="5" t="s">
        <v>244</v>
      </c>
      <c r="E235" s="4" t="e" vm="172">
        <v>#VALUE!</v>
      </c>
      <c r="F235" s="4">
        <v>6000</v>
      </c>
      <c r="G235" s="4" t="s">
        <v>9</v>
      </c>
      <c r="H235" s="7">
        <v>0.16900000000000001</v>
      </c>
      <c r="I235" s="42"/>
      <c r="J235" s="42"/>
      <c r="K235" s="42"/>
      <c r="L235" s="42"/>
      <c r="M235" s="42"/>
      <c r="N235" s="42"/>
      <c r="O235" s="42"/>
      <c r="P235" s="4"/>
      <c r="Q235" s="27">
        <f t="shared" si="6"/>
        <v>0</v>
      </c>
      <c r="R235" s="28">
        <f t="shared" si="7"/>
        <v>0</v>
      </c>
    </row>
    <row r="236" spans="2:18" ht="30" customHeight="1" x14ac:dyDescent="0.25">
      <c r="B236" s="17">
        <v>220</v>
      </c>
      <c r="C236" s="5" t="s">
        <v>245</v>
      </c>
      <c r="D236" s="5" t="s">
        <v>245</v>
      </c>
      <c r="E236" s="4" t="e" vm="173">
        <v>#VALUE!</v>
      </c>
      <c r="F236" s="4">
        <v>6000</v>
      </c>
      <c r="G236" s="4" t="s">
        <v>9</v>
      </c>
      <c r="H236" s="7">
        <v>0.13800000000000001</v>
      </c>
      <c r="I236" s="42"/>
      <c r="J236" s="42">
        <v>100</v>
      </c>
      <c r="K236" s="42">
        <v>300</v>
      </c>
      <c r="L236" s="42"/>
      <c r="M236" s="42">
        <v>100</v>
      </c>
      <c r="N236" s="42"/>
      <c r="O236" s="42"/>
      <c r="P236" s="4"/>
      <c r="Q236" s="27">
        <f t="shared" si="6"/>
        <v>414.00000000000006</v>
      </c>
      <c r="R236" s="28">
        <f t="shared" si="7"/>
        <v>414.00000000000006</v>
      </c>
    </row>
    <row r="237" spans="2:18" ht="30" hidden="1" customHeight="1" x14ac:dyDescent="0.25">
      <c r="B237" s="17">
        <v>221</v>
      </c>
      <c r="C237" s="5" t="s">
        <v>246</v>
      </c>
      <c r="D237" s="5" t="s">
        <v>246</v>
      </c>
      <c r="E237" s="4" t="e" vm="174">
        <v>#VALUE!</v>
      </c>
      <c r="F237" s="4">
        <v>6000</v>
      </c>
      <c r="G237" s="4" t="s">
        <v>9</v>
      </c>
      <c r="H237" s="7">
        <v>0.153</v>
      </c>
      <c r="I237" s="42"/>
      <c r="J237" s="42"/>
      <c r="K237" s="42"/>
      <c r="L237" s="42"/>
      <c r="M237" s="42"/>
      <c r="N237" s="42"/>
      <c r="O237" s="42"/>
      <c r="P237" s="4"/>
      <c r="Q237" s="27">
        <f t="shared" si="6"/>
        <v>0</v>
      </c>
      <c r="R237" s="28">
        <f t="shared" si="7"/>
        <v>0</v>
      </c>
    </row>
    <row r="238" spans="2:18" ht="30" hidden="1" customHeight="1" x14ac:dyDescent="0.25">
      <c r="B238" s="17">
        <v>222</v>
      </c>
      <c r="C238" s="5" t="s">
        <v>247</v>
      </c>
      <c r="D238" s="38" t="s">
        <v>247</v>
      </c>
      <c r="E238" s="4" t="e" vm="175">
        <v>#VALUE!</v>
      </c>
      <c r="F238" s="4">
        <v>6000</v>
      </c>
      <c r="G238" s="4" t="s">
        <v>9</v>
      </c>
      <c r="H238" s="7"/>
      <c r="I238" s="42"/>
      <c r="J238" s="42"/>
      <c r="K238" s="42"/>
      <c r="L238" s="42"/>
      <c r="M238" s="42"/>
      <c r="N238" s="42"/>
      <c r="O238" s="42"/>
      <c r="P238" s="4"/>
      <c r="Q238" s="27" t="str">
        <f t="shared" si="6"/>
        <v/>
      </c>
      <c r="R238" s="28" t="str">
        <f t="shared" si="7"/>
        <v/>
      </c>
    </row>
    <row r="239" spans="2:18" ht="30" hidden="1" customHeight="1" x14ac:dyDescent="0.25">
      <c r="B239" s="17">
        <v>223</v>
      </c>
      <c r="C239" s="5" t="s">
        <v>248</v>
      </c>
      <c r="D239" s="38" t="s">
        <v>248</v>
      </c>
      <c r="E239" s="4" t="e" vm="176">
        <v>#VALUE!</v>
      </c>
      <c r="F239" s="4">
        <v>6000</v>
      </c>
      <c r="G239" s="4" t="s">
        <v>9</v>
      </c>
      <c r="H239" s="7"/>
      <c r="I239" s="42"/>
      <c r="J239" s="42"/>
      <c r="K239" s="42"/>
      <c r="L239" s="42"/>
      <c r="M239" s="42"/>
      <c r="N239" s="42"/>
      <c r="O239" s="42"/>
      <c r="P239" s="4"/>
      <c r="Q239" s="27" t="str">
        <f t="shared" si="6"/>
        <v/>
      </c>
      <c r="R239" s="28" t="str">
        <f t="shared" si="7"/>
        <v/>
      </c>
    </row>
    <row r="240" spans="2:18" ht="30" hidden="1" customHeight="1" x14ac:dyDescent="0.25">
      <c r="B240" s="17">
        <v>224</v>
      </c>
      <c r="C240" s="5" t="s">
        <v>249</v>
      </c>
      <c r="D240" s="38" t="s">
        <v>249</v>
      </c>
      <c r="E240" s="4" t="e" vm="177">
        <v>#VALUE!</v>
      </c>
      <c r="F240" s="4">
        <v>6000</v>
      </c>
      <c r="G240" s="4" t="s">
        <v>9</v>
      </c>
      <c r="H240" s="7"/>
      <c r="I240" s="42"/>
      <c r="J240" s="42"/>
      <c r="K240" s="42"/>
      <c r="L240" s="42"/>
      <c r="M240" s="42"/>
      <c r="N240" s="42"/>
      <c r="O240" s="42"/>
      <c r="P240" s="4"/>
      <c r="Q240" s="27" t="str">
        <f t="shared" si="6"/>
        <v/>
      </c>
      <c r="R240" s="28" t="str">
        <f t="shared" si="7"/>
        <v/>
      </c>
    </row>
    <row r="241" spans="2:18" ht="30" hidden="1" customHeight="1" x14ac:dyDescent="0.25">
      <c r="B241" s="17">
        <v>225</v>
      </c>
      <c r="C241" s="5" t="s">
        <v>250</v>
      </c>
      <c r="D241" s="5" t="s">
        <v>350</v>
      </c>
      <c r="E241" s="4" t="e" vm="178">
        <v>#VALUE!</v>
      </c>
      <c r="F241" s="4">
        <v>6000</v>
      </c>
      <c r="G241" s="4" t="s">
        <v>9</v>
      </c>
      <c r="H241" s="7">
        <v>0.439</v>
      </c>
      <c r="I241" s="42"/>
      <c r="J241" s="42"/>
      <c r="K241" s="42"/>
      <c r="L241" s="42"/>
      <c r="M241" s="42"/>
      <c r="N241" s="42"/>
      <c r="O241" s="42"/>
      <c r="P241" s="4"/>
      <c r="Q241" s="27">
        <f t="shared" si="6"/>
        <v>0</v>
      </c>
      <c r="R241" s="28">
        <f t="shared" si="7"/>
        <v>0</v>
      </c>
    </row>
    <row r="242" spans="2:18" ht="30" hidden="1" customHeight="1" x14ac:dyDescent="0.25">
      <c r="B242" s="17">
        <v>226</v>
      </c>
      <c r="C242" s="5" t="s">
        <v>251</v>
      </c>
      <c r="D242" s="5" t="s">
        <v>351</v>
      </c>
      <c r="E242" s="4" t="e" vm="179">
        <v>#VALUE!</v>
      </c>
      <c r="F242" s="4">
        <v>6000</v>
      </c>
      <c r="G242" s="4" t="s">
        <v>9</v>
      </c>
      <c r="H242" s="7">
        <v>0.39700000000000002</v>
      </c>
      <c r="I242" s="42"/>
      <c r="J242" s="42"/>
      <c r="K242" s="42"/>
      <c r="L242" s="42"/>
      <c r="M242" s="42"/>
      <c r="N242" s="42"/>
      <c r="O242" s="42"/>
      <c r="P242" s="4"/>
      <c r="Q242" s="27">
        <f t="shared" si="6"/>
        <v>0</v>
      </c>
      <c r="R242" s="28">
        <f t="shared" si="7"/>
        <v>0</v>
      </c>
    </row>
    <row r="243" spans="2:18" ht="30" hidden="1" customHeight="1" x14ac:dyDescent="0.25">
      <c r="B243" s="17">
        <v>227</v>
      </c>
      <c r="C243" s="5" t="s">
        <v>252</v>
      </c>
      <c r="D243" s="5" t="s">
        <v>352</v>
      </c>
      <c r="E243" s="4" t="e" vm="180">
        <v>#VALUE!</v>
      </c>
      <c r="F243" s="4">
        <v>6000</v>
      </c>
      <c r="G243" s="4" t="s">
        <v>9</v>
      </c>
      <c r="H243" s="7">
        <v>0.70499999999999996</v>
      </c>
      <c r="I243" s="42"/>
      <c r="J243" s="42"/>
      <c r="K243" s="42"/>
      <c r="L243" s="42"/>
      <c r="M243" s="42"/>
      <c r="N243" s="42"/>
      <c r="O243" s="42"/>
      <c r="P243" s="4"/>
      <c r="Q243" s="27">
        <f t="shared" si="6"/>
        <v>0</v>
      </c>
      <c r="R243" s="28">
        <f t="shared" si="7"/>
        <v>0</v>
      </c>
    </row>
    <row r="244" spans="2:18" ht="30" hidden="1" customHeight="1" x14ac:dyDescent="0.25">
      <c r="B244" s="17">
        <v>228</v>
      </c>
      <c r="C244" s="5" t="s">
        <v>253</v>
      </c>
      <c r="D244" s="5" t="s">
        <v>353</v>
      </c>
      <c r="E244" s="4" t="e" vm="181">
        <v>#VALUE!</v>
      </c>
      <c r="F244" s="4">
        <v>6000</v>
      </c>
      <c r="G244" s="4" t="s">
        <v>9</v>
      </c>
      <c r="H244" s="7">
        <v>0.29399999999999998</v>
      </c>
      <c r="I244" s="42"/>
      <c r="J244" s="42"/>
      <c r="K244" s="42"/>
      <c r="L244" s="42"/>
      <c r="M244" s="42"/>
      <c r="N244" s="42"/>
      <c r="O244" s="42"/>
      <c r="P244" s="4"/>
      <c r="Q244" s="27">
        <f t="shared" si="6"/>
        <v>0</v>
      </c>
      <c r="R244" s="28">
        <f t="shared" si="7"/>
        <v>0</v>
      </c>
    </row>
    <row r="245" spans="2:18" ht="30" hidden="1" customHeight="1" x14ac:dyDescent="0.25">
      <c r="B245" s="17">
        <v>229</v>
      </c>
      <c r="C245" s="5" t="s">
        <v>254</v>
      </c>
      <c r="D245" s="5" t="s">
        <v>354</v>
      </c>
      <c r="E245" s="4" t="e" vm="182">
        <v>#VALUE!</v>
      </c>
      <c r="F245" s="4">
        <v>6000</v>
      </c>
      <c r="G245" s="4" t="s">
        <v>9</v>
      </c>
      <c r="H245" s="7">
        <v>8.6999999999999994E-2</v>
      </c>
      <c r="I245" s="42"/>
      <c r="J245" s="42"/>
      <c r="K245" s="42"/>
      <c r="L245" s="42"/>
      <c r="M245" s="42"/>
      <c r="N245" s="42"/>
      <c r="O245" s="42"/>
      <c r="P245" s="4"/>
      <c r="Q245" s="27">
        <f t="shared" si="6"/>
        <v>0</v>
      </c>
      <c r="R245" s="28">
        <f t="shared" si="7"/>
        <v>0</v>
      </c>
    </row>
    <row r="246" spans="2:18" ht="30" hidden="1" customHeight="1" x14ac:dyDescent="0.25">
      <c r="B246" s="17">
        <v>230</v>
      </c>
      <c r="C246" s="5" t="s">
        <v>255</v>
      </c>
      <c r="D246" s="5" t="s">
        <v>256</v>
      </c>
      <c r="E246" s="4" t="e" vm="183">
        <v>#VALUE!</v>
      </c>
      <c r="F246" s="4">
        <v>6000</v>
      </c>
      <c r="G246" s="4" t="s">
        <v>9</v>
      </c>
      <c r="H246" s="7">
        <v>0.28799999999999998</v>
      </c>
      <c r="I246" s="42"/>
      <c r="J246" s="42"/>
      <c r="K246" s="42"/>
      <c r="L246" s="42"/>
      <c r="M246" s="42"/>
      <c r="N246" s="42"/>
      <c r="O246" s="42"/>
      <c r="P246" s="4"/>
      <c r="Q246" s="27">
        <f t="shared" si="6"/>
        <v>0</v>
      </c>
      <c r="R246" s="28">
        <f t="shared" si="7"/>
        <v>0</v>
      </c>
    </row>
    <row r="247" spans="2:18" ht="30" hidden="1" customHeight="1" x14ac:dyDescent="0.25">
      <c r="B247" s="17">
        <v>231</v>
      </c>
      <c r="C247" s="5" t="s">
        <v>257</v>
      </c>
      <c r="D247" s="5" t="s">
        <v>257</v>
      </c>
      <c r="E247" s="4" t="e" vm="184">
        <v>#VALUE!</v>
      </c>
      <c r="F247" s="4">
        <v>6000</v>
      </c>
      <c r="G247" s="4" t="s">
        <v>9</v>
      </c>
      <c r="H247" s="7">
        <v>0.14199999999999999</v>
      </c>
      <c r="I247" s="42"/>
      <c r="J247" s="42"/>
      <c r="K247" s="42"/>
      <c r="L247" s="42"/>
      <c r="M247" s="42"/>
      <c r="N247" s="42"/>
      <c r="O247" s="42"/>
      <c r="P247" s="4"/>
      <c r="Q247" s="27">
        <f t="shared" si="6"/>
        <v>0</v>
      </c>
      <c r="R247" s="28">
        <f t="shared" si="7"/>
        <v>0</v>
      </c>
    </row>
    <row r="248" spans="2:18" ht="30" hidden="1" customHeight="1" x14ac:dyDescent="0.25">
      <c r="B248" s="17">
        <v>232</v>
      </c>
      <c r="C248" s="5" t="s">
        <v>258</v>
      </c>
      <c r="D248" s="5" t="s">
        <v>258</v>
      </c>
      <c r="E248" s="4" t="e" vm="185">
        <v>#VALUE!</v>
      </c>
      <c r="F248" s="4">
        <v>6000</v>
      </c>
      <c r="G248" s="4" t="s">
        <v>9</v>
      </c>
      <c r="H248" s="7">
        <v>0.35699999999999998</v>
      </c>
      <c r="I248" s="42"/>
      <c r="J248" s="42"/>
      <c r="K248" s="42"/>
      <c r="L248" s="42"/>
      <c r="M248" s="42"/>
      <c r="N248" s="42"/>
      <c r="O248" s="42"/>
      <c r="P248" s="4"/>
      <c r="Q248" s="27">
        <f t="shared" si="6"/>
        <v>0</v>
      </c>
      <c r="R248" s="28">
        <f t="shared" si="7"/>
        <v>0</v>
      </c>
    </row>
    <row r="249" spans="2:18" ht="30" hidden="1" customHeight="1" x14ac:dyDescent="0.25">
      <c r="B249" s="17">
        <v>233</v>
      </c>
      <c r="C249" s="5" t="s">
        <v>400</v>
      </c>
      <c r="D249" s="5"/>
      <c r="E249" s="4"/>
      <c r="F249" s="4"/>
      <c r="G249" s="4"/>
      <c r="H249" s="7"/>
      <c r="I249" s="42"/>
      <c r="J249" s="42"/>
      <c r="K249" s="42"/>
      <c r="L249" s="42"/>
      <c r="M249" s="42"/>
      <c r="N249" s="42"/>
      <c r="O249" s="42"/>
      <c r="P249" s="4"/>
      <c r="Q249" s="27" t="str">
        <f t="shared" si="6"/>
        <v/>
      </c>
      <c r="R249" s="28" t="str">
        <f t="shared" si="7"/>
        <v/>
      </c>
    </row>
    <row r="250" spans="2:18" ht="30" hidden="1" customHeight="1" x14ac:dyDescent="0.25">
      <c r="B250" s="17">
        <v>234</v>
      </c>
      <c r="C250" s="5" t="s">
        <v>259</v>
      </c>
      <c r="D250" s="5" t="s">
        <v>259</v>
      </c>
      <c r="E250" s="4" t="e" vm="186">
        <v>#VALUE!</v>
      </c>
      <c r="F250" s="4">
        <v>6000</v>
      </c>
      <c r="G250" s="4" t="s">
        <v>9</v>
      </c>
      <c r="H250" s="7">
        <v>0.17499999999999999</v>
      </c>
      <c r="I250" s="42"/>
      <c r="J250" s="42"/>
      <c r="K250" s="42"/>
      <c r="L250" s="42"/>
      <c r="M250" s="42"/>
      <c r="N250" s="42"/>
      <c r="O250" s="42"/>
      <c r="P250" s="4"/>
      <c r="Q250" s="27">
        <f t="shared" si="6"/>
        <v>0</v>
      </c>
      <c r="R250" s="28">
        <f t="shared" si="7"/>
        <v>0</v>
      </c>
    </row>
    <row r="251" spans="2:18" ht="30" hidden="1" customHeight="1" x14ac:dyDescent="0.25">
      <c r="B251" s="17">
        <v>235</v>
      </c>
      <c r="C251" s="5" t="s">
        <v>260</v>
      </c>
      <c r="D251" s="5" t="s">
        <v>260</v>
      </c>
      <c r="E251" s="4" t="e" vm="187">
        <v>#VALUE!</v>
      </c>
      <c r="F251" s="4">
        <v>6000</v>
      </c>
      <c r="G251" s="4" t="s">
        <v>9</v>
      </c>
      <c r="H251" s="7">
        <v>0.30199999999999999</v>
      </c>
      <c r="I251" s="42"/>
      <c r="J251" s="42"/>
      <c r="K251" s="42"/>
      <c r="L251" s="42"/>
      <c r="M251" s="42"/>
      <c r="N251" s="42"/>
      <c r="O251" s="42"/>
      <c r="P251" s="4"/>
      <c r="Q251" s="27">
        <f t="shared" si="6"/>
        <v>0</v>
      </c>
      <c r="R251" s="28">
        <f t="shared" si="7"/>
        <v>0</v>
      </c>
    </row>
    <row r="252" spans="2:18" ht="30" hidden="1" customHeight="1" x14ac:dyDescent="0.25">
      <c r="B252" s="17">
        <v>236</v>
      </c>
      <c r="C252" s="5" t="s">
        <v>261</v>
      </c>
      <c r="D252" s="5" t="s">
        <v>261</v>
      </c>
      <c r="E252" s="4" t="e" vm="188">
        <v>#VALUE!</v>
      </c>
      <c r="F252" s="4">
        <v>6000</v>
      </c>
      <c r="G252" s="4" t="s">
        <v>9</v>
      </c>
      <c r="H252" s="7">
        <v>0.308</v>
      </c>
      <c r="I252" s="42"/>
      <c r="J252" s="42"/>
      <c r="K252" s="42"/>
      <c r="L252" s="42"/>
      <c r="M252" s="42"/>
      <c r="N252" s="42"/>
      <c r="O252" s="42"/>
      <c r="P252" s="4"/>
      <c r="Q252" s="27">
        <f t="shared" si="6"/>
        <v>0</v>
      </c>
      <c r="R252" s="28">
        <f t="shared" si="7"/>
        <v>0</v>
      </c>
    </row>
    <row r="253" spans="2:18" ht="30" hidden="1" customHeight="1" x14ac:dyDescent="0.25">
      <c r="B253" s="17">
        <v>237</v>
      </c>
      <c r="C253" s="5" t="s">
        <v>262</v>
      </c>
      <c r="D253" s="5" t="s">
        <v>262</v>
      </c>
      <c r="E253" s="4" t="e" vm="189">
        <v>#VALUE!</v>
      </c>
      <c r="F253" s="4">
        <v>6000</v>
      </c>
      <c r="G253" s="4" t="s">
        <v>9</v>
      </c>
      <c r="H253" s="7">
        <v>0.33200000000000002</v>
      </c>
      <c r="I253" s="42"/>
      <c r="J253" s="42"/>
      <c r="K253" s="42"/>
      <c r="L253" s="42"/>
      <c r="M253" s="42"/>
      <c r="N253" s="42"/>
      <c r="O253" s="42"/>
      <c r="P253" s="4"/>
      <c r="Q253" s="27">
        <f t="shared" si="6"/>
        <v>0</v>
      </c>
      <c r="R253" s="28">
        <f t="shared" si="7"/>
        <v>0</v>
      </c>
    </row>
    <row r="254" spans="2:18" ht="30" hidden="1" customHeight="1" x14ac:dyDescent="0.25">
      <c r="B254" s="17">
        <v>238</v>
      </c>
      <c r="C254" s="5" t="s">
        <v>263</v>
      </c>
      <c r="D254" s="5" t="s">
        <v>263</v>
      </c>
      <c r="E254" s="4" t="e" vm="190">
        <v>#VALUE!</v>
      </c>
      <c r="F254" s="4">
        <v>6000</v>
      </c>
      <c r="G254" s="4" t="s">
        <v>9</v>
      </c>
      <c r="H254" s="7">
        <v>0.30099999999999999</v>
      </c>
      <c r="I254" s="42"/>
      <c r="J254" s="42"/>
      <c r="K254" s="42"/>
      <c r="L254" s="42"/>
      <c r="M254" s="42"/>
      <c r="N254" s="42"/>
      <c r="O254" s="42"/>
      <c r="P254" s="4"/>
      <c r="Q254" s="27">
        <f t="shared" si="6"/>
        <v>0</v>
      </c>
      <c r="R254" s="28">
        <f t="shared" si="7"/>
        <v>0</v>
      </c>
    </row>
    <row r="255" spans="2:18" ht="30" hidden="1" customHeight="1" x14ac:dyDescent="0.25">
      <c r="B255" s="17">
        <v>239</v>
      </c>
      <c r="C255" s="5" t="s">
        <v>264</v>
      </c>
      <c r="D255" s="5" t="s">
        <v>264</v>
      </c>
      <c r="E255" s="4" t="e" vm="191">
        <v>#VALUE!</v>
      </c>
      <c r="F255" s="4">
        <v>6000</v>
      </c>
      <c r="G255" s="4" t="s">
        <v>9</v>
      </c>
      <c r="H255" s="7">
        <v>0.57899999999999996</v>
      </c>
      <c r="I255" s="42"/>
      <c r="J255" s="42"/>
      <c r="K255" s="42"/>
      <c r="L255" s="42"/>
      <c r="M255" s="42"/>
      <c r="N255" s="42"/>
      <c r="O255" s="42"/>
      <c r="P255" s="4"/>
      <c r="Q255" s="27">
        <f t="shared" si="6"/>
        <v>0</v>
      </c>
      <c r="R255" s="28">
        <f t="shared" si="7"/>
        <v>0</v>
      </c>
    </row>
    <row r="256" spans="2:18" ht="30" hidden="1" customHeight="1" x14ac:dyDescent="0.25">
      <c r="B256" s="17">
        <v>240</v>
      </c>
      <c r="C256" s="5" t="s">
        <v>265</v>
      </c>
      <c r="D256" s="5" t="s">
        <v>265</v>
      </c>
      <c r="E256" s="4" t="e" vm="192">
        <v>#VALUE!</v>
      </c>
      <c r="F256" s="4">
        <v>6000</v>
      </c>
      <c r="G256" s="4" t="s">
        <v>9</v>
      </c>
      <c r="H256" s="7">
        <v>0.48399999999999999</v>
      </c>
      <c r="I256" s="42"/>
      <c r="J256" s="42"/>
      <c r="K256" s="42"/>
      <c r="L256" s="42"/>
      <c r="M256" s="42"/>
      <c r="N256" s="42"/>
      <c r="O256" s="42"/>
      <c r="P256" s="4"/>
      <c r="Q256" s="27">
        <f t="shared" si="6"/>
        <v>0</v>
      </c>
      <c r="R256" s="28">
        <f t="shared" si="7"/>
        <v>0</v>
      </c>
    </row>
    <row r="257" spans="2:18" ht="30" hidden="1" customHeight="1" x14ac:dyDescent="0.25">
      <c r="B257" s="17">
        <v>241</v>
      </c>
      <c r="C257" s="5" t="s">
        <v>266</v>
      </c>
      <c r="D257" s="5" t="s">
        <v>266</v>
      </c>
      <c r="E257" s="4" t="e" vm="193">
        <v>#VALUE!</v>
      </c>
      <c r="F257" s="4">
        <v>6000</v>
      </c>
      <c r="G257" s="4" t="s">
        <v>9</v>
      </c>
      <c r="H257" s="7">
        <v>0.42699999999999999</v>
      </c>
      <c r="I257" s="42"/>
      <c r="J257" s="42"/>
      <c r="K257" s="42"/>
      <c r="L257" s="42"/>
      <c r="M257" s="42"/>
      <c r="N257" s="42"/>
      <c r="O257" s="42"/>
      <c r="P257" s="4"/>
      <c r="Q257" s="27">
        <f t="shared" si="6"/>
        <v>0</v>
      </c>
      <c r="R257" s="28">
        <f t="shared" si="7"/>
        <v>0</v>
      </c>
    </row>
    <row r="258" spans="2:18" ht="30" hidden="1" customHeight="1" x14ac:dyDescent="0.25">
      <c r="B258" s="17">
        <v>242</v>
      </c>
      <c r="C258" s="5" t="s">
        <v>267</v>
      </c>
      <c r="D258" s="5" t="s">
        <v>267</v>
      </c>
      <c r="E258" s="4" t="e" vm="194">
        <v>#VALUE!</v>
      </c>
      <c r="F258" s="4">
        <v>6000</v>
      </c>
      <c r="G258" s="4" t="s">
        <v>9</v>
      </c>
      <c r="H258" s="7">
        <v>0.14299999999999999</v>
      </c>
      <c r="I258" s="42"/>
      <c r="J258" s="42"/>
      <c r="K258" s="42"/>
      <c r="L258" s="42"/>
      <c r="M258" s="42"/>
      <c r="N258" s="42"/>
      <c r="O258" s="42"/>
      <c r="P258" s="4"/>
      <c r="Q258" s="27">
        <f t="shared" si="6"/>
        <v>0</v>
      </c>
      <c r="R258" s="28">
        <f t="shared" si="7"/>
        <v>0</v>
      </c>
    </row>
    <row r="259" spans="2:18" ht="30" hidden="1" customHeight="1" x14ac:dyDescent="0.25">
      <c r="B259" s="17">
        <v>243</v>
      </c>
      <c r="C259" s="5" t="s">
        <v>268</v>
      </c>
      <c r="D259" s="5" t="s">
        <v>268</v>
      </c>
      <c r="E259" s="4" t="e" vm="195">
        <v>#VALUE!</v>
      </c>
      <c r="F259" s="4">
        <v>6000</v>
      </c>
      <c r="G259" s="4" t="s">
        <v>9</v>
      </c>
      <c r="H259" s="7">
        <v>0.17199999999999999</v>
      </c>
      <c r="I259" s="42"/>
      <c r="J259" s="42"/>
      <c r="K259" s="42"/>
      <c r="L259" s="42"/>
      <c r="M259" s="42"/>
      <c r="N259" s="42"/>
      <c r="O259" s="42"/>
      <c r="P259" s="4"/>
      <c r="Q259" s="27">
        <f t="shared" si="6"/>
        <v>0</v>
      </c>
      <c r="R259" s="28">
        <f t="shared" si="7"/>
        <v>0</v>
      </c>
    </row>
    <row r="260" spans="2:18" ht="30" hidden="1" customHeight="1" x14ac:dyDescent="0.25">
      <c r="B260" s="17">
        <v>244</v>
      </c>
      <c r="C260" s="5" t="s">
        <v>269</v>
      </c>
      <c r="D260" s="5" t="s">
        <v>269</v>
      </c>
      <c r="E260" s="4" t="e" vm="196">
        <v>#VALUE!</v>
      </c>
      <c r="F260" s="4">
        <v>6000</v>
      </c>
      <c r="G260" s="4" t="s">
        <v>9</v>
      </c>
      <c r="H260" s="7">
        <v>0.22700000000000001</v>
      </c>
      <c r="I260" s="42"/>
      <c r="J260" s="42"/>
      <c r="K260" s="42"/>
      <c r="L260" s="42"/>
      <c r="M260" s="42"/>
      <c r="N260" s="42"/>
      <c r="O260" s="42"/>
      <c r="P260" s="4"/>
      <c r="Q260" s="27">
        <f t="shared" si="6"/>
        <v>0</v>
      </c>
      <c r="R260" s="28">
        <f t="shared" si="7"/>
        <v>0</v>
      </c>
    </row>
    <row r="261" spans="2:18" ht="30" hidden="1" customHeight="1" x14ac:dyDescent="0.25">
      <c r="B261" s="17">
        <v>245</v>
      </c>
      <c r="C261" s="5" t="s">
        <v>270</v>
      </c>
      <c r="D261" s="5" t="s">
        <v>270</v>
      </c>
      <c r="E261" s="4" t="e" vm="197">
        <v>#VALUE!</v>
      </c>
      <c r="F261" s="4">
        <v>6000</v>
      </c>
      <c r="G261" s="4" t="s">
        <v>9</v>
      </c>
      <c r="H261" s="7">
        <v>0.378</v>
      </c>
      <c r="I261" s="42"/>
      <c r="J261" s="42"/>
      <c r="K261" s="42"/>
      <c r="L261" s="42"/>
      <c r="M261" s="42"/>
      <c r="N261" s="42"/>
      <c r="O261" s="42"/>
      <c r="P261" s="4"/>
      <c r="Q261" s="27">
        <f t="shared" si="6"/>
        <v>0</v>
      </c>
      <c r="R261" s="28">
        <f t="shared" si="7"/>
        <v>0</v>
      </c>
    </row>
    <row r="262" spans="2:18" ht="30" hidden="1" customHeight="1" x14ac:dyDescent="0.25">
      <c r="B262" s="17">
        <v>246</v>
      </c>
      <c r="C262" s="5" t="s">
        <v>271</v>
      </c>
      <c r="D262" s="5" t="s">
        <v>271</v>
      </c>
      <c r="E262" s="4" t="e" vm="198">
        <v>#VALUE!</v>
      </c>
      <c r="F262" s="4">
        <v>6000</v>
      </c>
      <c r="G262" s="4" t="s">
        <v>9</v>
      </c>
      <c r="H262" s="7">
        <v>0.47799999999999998</v>
      </c>
      <c r="I262" s="42"/>
      <c r="J262" s="42"/>
      <c r="K262" s="42"/>
      <c r="L262" s="42"/>
      <c r="M262" s="42"/>
      <c r="N262" s="42"/>
      <c r="O262" s="42"/>
      <c r="P262" s="4"/>
      <c r="Q262" s="27">
        <f t="shared" si="6"/>
        <v>0</v>
      </c>
      <c r="R262" s="28">
        <f t="shared" si="7"/>
        <v>0</v>
      </c>
    </row>
    <row r="263" spans="2:18" ht="30" hidden="1" customHeight="1" x14ac:dyDescent="0.25">
      <c r="B263" s="17">
        <v>247</v>
      </c>
      <c r="C263" s="5" t="s">
        <v>272</v>
      </c>
      <c r="D263" s="5" t="s">
        <v>272</v>
      </c>
      <c r="E263" s="4" t="e" vm="199">
        <v>#VALUE!</v>
      </c>
      <c r="F263" s="4">
        <v>6000</v>
      </c>
      <c r="G263" s="4" t="s">
        <v>9</v>
      </c>
      <c r="H263" s="7">
        <v>1.012</v>
      </c>
      <c r="I263" s="42"/>
      <c r="J263" s="42"/>
      <c r="K263" s="42"/>
      <c r="L263" s="42"/>
      <c r="M263" s="42"/>
      <c r="N263" s="42"/>
      <c r="O263" s="42"/>
      <c r="P263" s="4"/>
      <c r="Q263" s="27">
        <f t="shared" si="6"/>
        <v>0</v>
      </c>
      <c r="R263" s="28">
        <f t="shared" si="7"/>
        <v>0</v>
      </c>
    </row>
    <row r="264" spans="2:18" ht="30" hidden="1" customHeight="1" x14ac:dyDescent="0.25">
      <c r="B264" s="17">
        <v>248</v>
      </c>
      <c r="C264" s="5" t="s">
        <v>273</v>
      </c>
      <c r="D264" s="5" t="s">
        <v>273</v>
      </c>
      <c r="E264" s="4" t="e" vm="200">
        <v>#VALUE!</v>
      </c>
      <c r="F264" s="4">
        <v>6000</v>
      </c>
      <c r="G264" s="4" t="s">
        <v>9</v>
      </c>
      <c r="H264" s="7">
        <v>0.98399999999999999</v>
      </c>
      <c r="I264" s="42"/>
      <c r="J264" s="42"/>
      <c r="K264" s="42"/>
      <c r="L264" s="42"/>
      <c r="M264" s="42"/>
      <c r="N264" s="42"/>
      <c r="O264" s="42"/>
      <c r="P264" s="4"/>
      <c r="Q264" s="27">
        <f t="shared" si="6"/>
        <v>0</v>
      </c>
      <c r="R264" s="28">
        <f t="shared" si="7"/>
        <v>0</v>
      </c>
    </row>
    <row r="265" spans="2:18" ht="30" hidden="1" customHeight="1" x14ac:dyDescent="0.25">
      <c r="B265" s="17">
        <v>249</v>
      </c>
      <c r="C265" s="5" t="s">
        <v>274</v>
      </c>
      <c r="D265" s="5" t="s">
        <v>274</v>
      </c>
      <c r="E265" s="4" t="e" vm="201">
        <v>#VALUE!</v>
      </c>
      <c r="F265" s="4">
        <v>6000</v>
      </c>
      <c r="G265" s="4" t="s">
        <v>9</v>
      </c>
      <c r="H265" s="7">
        <v>0.38100000000000001</v>
      </c>
      <c r="I265" s="42"/>
      <c r="J265" s="42"/>
      <c r="K265" s="42"/>
      <c r="L265" s="42"/>
      <c r="M265" s="42"/>
      <c r="N265" s="42"/>
      <c r="O265" s="42"/>
      <c r="P265" s="4"/>
      <c r="Q265" s="27">
        <f t="shared" si="6"/>
        <v>0</v>
      </c>
      <c r="R265" s="28">
        <f t="shared" si="7"/>
        <v>0</v>
      </c>
    </row>
    <row r="266" spans="2:18" ht="30" hidden="1" customHeight="1" x14ac:dyDescent="0.25">
      <c r="B266" s="17">
        <v>250</v>
      </c>
      <c r="C266" s="5" t="s">
        <v>275</v>
      </c>
      <c r="D266" s="5" t="s">
        <v>275</v>
      </c>
      <c r="E266" s="4" t="e" vm="202">
        <v>#VALUE!</v>
      </c>
      <c r="F266" s="4">
        <v>6000</v>
      </c>
      <c r="G266" s="4" t="s">
        <v>9</v>
      </c>
      <c r="H266" s="7">
        <v>1.0669999999999999</v>
      </c>
      <c r="I266" s="42"/>
      <c r="J266" s="42"/>
      <c r="K266" s="42"/>
      <c r="L266" s="42"/>
      <c r="M266" s="42"/>
      <c r="N266" s="42"/>
      <c r="O266" s="42"/>
      <c r="P266" s="4"/>
      <c r="Q266" s="27">
        <f t="shared" si="6"/>
        <v>0</v>
      </c>
      <c r="R266" s="28">
        <f t="shared" si="7"/>
        <v>0</v>
      </c>
    </row>
    <row r="267" spans="2:18" ht="30" hidden="1" customHeight="1" x14ac:dyDescent="0.25">
      <c r="B267" s="17">
        <v>251</v>
      </c>
      <c r="C267" s="5" t="s">
        <v>276</v>
      </c>
      <c r="D267" s="5" t="s">
        <v>276</v>
      </c>
      <c r="E267" s="4" t="e" vm="203">
        <v>#VALUE!</v>
      </c>
      <c r="F267" s="4">
        <v>6000</v>
      </c>
      <c r="G267" s="4" t="s">
        <v>9</v>
      </c>
      <c r="H267" s="7">
        <v>1.0349999999999999</v>
      </c>
      <c r="I267" s="42"/>
      <c r="J267" s="42"/>
      <c r="K267" s="42"/>
      <c r="L267" s="42"/>
      <c r="M267" s="42"/>
      <c r="N267" s="42"/>
      <c r="O267" s="42"/>
      <c r="P267" s="4"/>
      <c r="Q267" s="27">
        <f t="shared" si="6"/>
        <v>0</v>
      </c>
      <c r="R267" s="28">
        <f t="shared" si="7"/>
        <v>0</v>
      </c>
    </row>
    <row r="268" spans="2:18" ht="30" hidden="1" customHeight="1" x14ac:dyDescent="0.25">
      <c r="B268" s="17">
        <v>252</v>
      </c>
      <c r="C268" s="5" t="s">
        <v>277</v>
      </c>
      <c r="D268" s="5" t="s">
        <v>277</v>
      </c>
      <c r="E268" s="4" t="e" vm="204">
        <v>#VALUE!</v>
      </c>
      <c r="F268" s="4">
        <v>6000</v>
      </c>
      <c r="G268" s="4" t="s">
        <v>9</v>
      </c>
      <c r="H268" s="7">
        <v>0.97299999999999998</v>
      </c>
      <c r="I268" s="42"/>
      <c r="J268" s="42"/>
      <c r="K268" s="42"/>
      <c r="L268" s="42"/>
      <c r="M268" s="42"/>
      <c r="N268" s="42"/>
      <c r="O268" s="42"/>
      <c r="P268" s="4"/>
      <c r="Q268" s="27">
        <f t="shared" si="6"/>
        <v>0</v>
      </c>
      <c r="R268" s="28">
        <f t="shared" si="7"/>
        <v>0</v>
      </c>
    </row>
    <row r="269" spans="2:18" ht="30" hidden="1" customHeight="1" x14ac:dyDescent="0.25">
      <c r="B269" s="17">
        <v>253</v>
      </c>
      <c r="C269" s="5" t="s">
        <v>278</v>
      </c>
      <c r="D269" s="5" t="s">
        <v>278</v>
      </c>
      <c r="E269" s="4" t="e" vm="205">
        <v>#VALUE!</v>
      </c>
      <c r="F269" s="4">
        <v>6000</v>
      </c>
      <c r="G269" s="4" t="s">
        <v>9</v>
      </c>
      <c r="H269" s="7">
        <v>0.47499999999999998</v>
      </c>
      <c r="I269" s="42"/>
      <c r="J269" s="42"/>
      <c r="K269" s="42"/>
      <c r="L269" s="42"/>
      <c r="M269" s="42"/>
      <c r="N269" s="42"/>
      <c r="O269" s="42"/>
      <c r="P269" s="4"/>
      <c r="Q269" s="27">
        <f t="shared" si="6"/>
        <v>0</v>
      </c>
      <c r="R269" s="28">
        <f t="shared" si="7"/>
        <v>0</v>
      </c>
    </row>
    <row r="270" spans="2:18" ht="30" hidden="1" customHeight="1" x14ac:dyDescent="0.25">
      <c r="B270" s="17">
        <v>254</v>
      </c>
      <c r="C270" s="5" t="s">
        <v>279</v>
      </c>
      <c r="D270" s="5" t="s">
        <v>279</v>
      </c>
      <c r="E270" s="4" t="e" vm="206">
        <v>#VALUE!</v>
      </c>
      <c r="F270" s="4">
        <v>6000</v>
      </c>
      <c r="G270" s="4" t="s">
        <v>9</v>
      </c>
      <c r="H270" s="7">
        <v>1.423</v>
      </c>
      <c r="I270" s="42"/>
      <c r="J270" s="42"/>
      <c r="K270" s="42"/>
      <c r="L270" s="42"/>
      <c r="M270" s="42"/>
      <c r="N270" s="42"/>
      <c r="O270" s="42"/>
      <c r="P270" s="4"/>
      <c r="Q270" s="27">
        <f t="shared" si="6"/>
        <v>0</v>
      </c>
      <c r="R270" s="28">
        <f t="shared" si="7"/>
        <v>0</v>
      </c>
    </row>
    <row r="271" spans="2:18" ht="30" hidden="1" customHeight="1" x14ac:dyDescent="0.25">
      <c r="B271" s="17">
        <v>255</v>
      </c>
      <c r="C271" s="5" t="s">
        <v>280</v>
      </c>
      <c r="D271" s="5" t="s">
        <v>280</v>
      </c>
      <c r="E271" s="4" t="e" vm="207">
        <v>#VALUE!</v>
      </c>
      <c r="F271" s="4">
        <v>6000</v>
      </c>
      <c r="G271" s="4" t="s">
        <v>9</v>
      </c>
      <c r="H271" s="7">
        <v>1.46</v>
      </c>
      <c r="I271" s="42"/>
      <c r="J271" s="42"/>
      <c r="K271" s="42"/>
      <c r="L271" s="42"/>
      <c r="M271" s="42"/>
      <c r="N271" s="42"/>
      <c r="O271" s="42"/>
      <c r="P271" s="4"/>
      <c r="Q271" s="27">
        <f t="shared" si="6"/>
        <v>0</v>
      </c>
      <c r="R271" s="28">
        <f t="shared" si="7"/>
        <v>0</v>
      </c>
    </row>
    <row r="272" spans="2:18" ht="30" hidden="1" customHeight="1" x14ac:dyDescent="0.25">
      <c r="B272" s="17">
        <v>256</v>
      </c>
      <c r="C272" s="5" t="s">
        <v>281</v>
      </c>
      <c r="D272" s="5" t="s">
        <v>281</v>
      </c>
      <c r="E272" s="4" t="e" vm="208">
        <v>#VALUE!</v>
      </c>
      <c r="F272" s="4">
        <v>6000</v>
      </c>
      <c r="G272" s="4" t="s">
        <v>9</v>
      </c>
      <c r="H272" s="7">
        <v>0.84799999999999998</v>
      </c>
      <c r="I272" s="42"/>
      <c r="J272" s="42"/>
      <c r="K272" s="42"/>
      <c r="L272" s="42"/>
      <c r="M272" s="42"/>
      <c r="N272" s="42"/>
      <c r="O272" s="42"/>
      <c r="P272" s="4"/>
      <c r="Q272" s="27">
        <f t="shared" si="6"/>
        <v>0</v>
      </c>
      <c r="R272" s="28">
        <f t="shared" si="7"/>
        <v>0</v>
      </c>
    </row>
    <row r="273" spans="2:18" ht="30" hidden="1" customHeight="1" x14ac:dyDescent="0.25">
      <c r="B273" s="17">
        <v>257</v>
      </c>
      <c r="C273" s="5" t="s">
        <v>282</v>
      </c>
      <c r="D273" s="5" t="s">
        <v>282</v>
      </c>
      <c r="E273" s="4" t="e" vm="209">
        <v>#VALUE!</v>
      </c>
      <c r="F273" s="4">
        <v>6000</v>
      </c>
      <c r="G273" s="4" t="s">
        <v>9</v>
      </c>
      <c r="H273" s="7">
        <v>0.88100000000000001</v>
      </c>
      <c r="I273" s="42"/>
      <c r="J273" s="42"/>
      <c r="K273" s="42"/>
      <c r="L273" s="42"/>
      <c r="M273" s="42"/>
      <c r="N273" s="42"/>
      <c r="O273" s="42"/>
      <c r="P273" s="4"/>
      <c r="Q273" s="27">
        <f t="shared" ref="Q273:Q336" si="8">IFERROR(IF(OR(F273=0,H273=0),"",SUM(I273:O273)*F273*H273/1000),0)</f>
        <v>0</v>
      </c>
      <c r="R273" s="28">
        <f t="shared" si="7"/>
        <v>0</v>
      </c>
    </row>
    <row r="274" spans="2:18" ht="30" hidden="1" customHeight="1" x14ac:dyDescent="0.25">
      <c r="B274" s="17">
        <v>258</v>
      </c>
      <c r="C274" s="5" t="s">
        <v>283</v>
      </c>
      <c r="D274" s="5" t="s">
        <v>283</v>
      </c>
      <c r="E274" s="4" t="e" vm="210">
        <v>#VALUE!</v>
      </c>
      <c r="F274" s="4">
        <v>6000</v>
      </c>
      <c r="G274" s="4" t="s">
        <v>9</v>
      </c>
      <c r="H274" s="7">
        <v>0.72699999999999998</v>
      </c>
      <c r="I274" s="42"/>
      <c r="J274" s="42"/>
      <c r="K274" s="42"/>
      <c r="L274" s="42"/>
      <c r="M274" s="42"/>
      <c r="N274" s="42"/>
      <c r="O274" s="42"/>
      <c r="P274" s="4"/>
      <c r="Q274" s="27">
        <f t="shared" si="8"/>
        <v>0</v>
      </c>
      <c r="R274" s="28">
        <f t="shared" ref="R274:R337" si="9">Q274</f>
        <v>0</v>
      </c>
    </row>
    <row r="275" spans="2:18" ht="30" hidden="1" customHeight="1" x14ac:dyDescent="0.25">
      <c r="B275" s="17">
        <v>259</v>
      </c>
      <c r="C275" s="5" t="s">
        <v>284</v>
      </c>
      <c r="D275" s="5" t="s">
        <v>284</v>
      </c>
      <c r="E275" s="4" t="e" vm="211">
        <v>#VALUE!</v>
      </c>
      <c r="F275" s="4">
        <v>6000</v>
      </c>
      <c r="G275" s="4" t="s">
        <v>9</v>
      </c>
      <c r="H275" s="7">
        <v>0.89400000000000002</v>
      </c>
      <c r="I275" s="42"/>
      <c r="J275" s="42"/>
      <c r="K275" s="42"/>
      <c r="L275" s="42"/>
      <c r="M275" s="42"/>
      <c r="N275" s="42"/>
      <c r="O275" s="42"/>
      <c r="P275" s="4"/>
      <c r="Q275" s="27">
        <f t="shared" si="8"/>
        <v>0</v>
      </c>
      <c r="R275" s="28">
        <f t="shared" si="9"/>
        <v>0</v>
      </c>
    </row>
    <row r="276" spans="2:18" ht="30" hidden="1" customHeight="1" x14ac:dyDescent="0.25">
      <c r="B276" s="17">
        <v>260</v>
      </c>
      <c r="C276" s="5" t="s">
        <v>285</v>
      </c>
      <c r="D276" s="5" t="s">
        <v>285</v>
      </c>
      <c r="E276" s="4" t="e" vm="212">
        <v>#VALUE!</v>
      </c>
      <c r="F276" s="4">
        <v>6000</v>
      </c>
      <c r="G276" s="4" t="s">
        <v>9</v>
      </c>
      <c r="H276" s="7">
        <v>0.45800000000000002</v>
      </c>
      <c r="I276" s="42"/>
      <c r="J276" s="42"/>
      <c r="K276" s="42"/>
      <c r="L276" s="42"/>
      <c r="M276" s="42"/>
      <c r="N276" s="42"/>
      <c r="O276" s="42"/>
      <c r="P276" s="4"/>
      <c r="Q276" s="27">
        <f t="shared" si="8"/>
        <v>0</v>
      </c>
      <c r="R276" s="28">
        <f t="shared" si="9"/>
        <v>0</v>
      </c>
    </row>
    <row r="277" spans="2:18" ht="30" hidden="1" customHeight="1" x14ac:dyDescent="0.25">
      <c r="B277" s="17">
        <v>261</v>
      </c>
      <c r="C277" s="5" t="s">
        <v>286</v>
      </c>
      <c r="D277" s="5" t="s">
        <v>286</v>
      </c>
      <c r="E277" s="4" t="e" vm="213">
        <v>#VALUE!</v>
      </c>
      <c r="F277" s="4">
        <v>6000</v>
      </c>
      <c r="G277" s="4" t="s">
        <v>9</v>
      </c>
      <c r="H277" s="7">
        <v>1.127</v>
      </c>
      <c r="I277" s="42"/>
      <c r="J277" s="42"/>
      <c r="K277" s="42"/>
      <c r="L277" s="42"/>
      <c r="M277" s="42"/>
      <c r="N277" s="42"/>
      <c r="O277" s="42"/>
      <c r="P277" s="4"/>
      <c r="Q277" s="27">
        <f t="shared" si="8"/>
        <v>0</v>
      </c>
      <c r="R277" s="28">
        <f t="shared" si="9"/>
        <v>0</v>
      </c>
    </row>
    <row r="278" spans="2:18" ht="30" hidden="1" customHeight="1" x14ac:dyDescent="0.25">
      <c r="B278" s="17">
        <v>262</v>
      </c>
      <c r="C278" s="5" t="s">
        <v>287</v>
      </c>
      <c r="D278" s="5" t="s">
        <v>287</v>
      </c>
      <c r="E278" s="4" t="e" vm="214">
        <v>#VALUE!</v>
      </c>
      <c r="F278" s="4">
        <v>6000</v>
      </c>
      <c r="G278" s="4" t="s">
        <v>9</v>
      </c>
      <c r="H278" s="7">
        <v>0.45400000000000001</v>
      </c>
      <c r="I278" s="42"/>
      <c r="J278" s="42"/>
      <c r="K278" s="42"/>
      <c r="L278" s="42"/>
      <c r="M278" s="42"/>
      <c r="N278" s="42"/>
      <c r="O278" s="42"/>
      <c r="P278" s="4"/>
      <c r="Q278" s="27">
        <f t="shared" si="8"/>
        <v>0</v>
      </c>
      <c r="R278" s="28">
        <f t="shared" si="9"/>
        <v>0</v>
      </c>
    </row>
    <row r="279" spans="2:18" ht="30" hidden="1" customHeight="1" x14ac:dyDescent="0.25">
      <c r="B279" s="17">
        <v>263</v>
      </c>
      <c r="C279" s="5" t="s">
        <v>288</v>
      </c>
      <c r="D279" s="5" t="s">
        <v>288</v>
      </c>
      <c r="E279" s="4" t="e" vm="215">
        <v>#VALUE!</v>
      </c>
      <c r="F279" s="4">
        <v>6000</v>
      </c>
      <c r="G279" s="4" t="s">
        <v>9</v>
      </c>
      <c r="H279" s="7">
        <v>0.66800000000000004</v>
      </c>
      <c r="I279" s="42"/>
      <c r="J279" s="42"/>
      <c r="K279" s="42"/>
      <c r="L279" s="42"/>
      <c r="M279" s="42"/>
      <c r="N279" s="42"/>
      <c r="O279" s="42"/>
      <c r="P279" s="4"/>
      <c r="Q279" s="27">
        <f t="shared" si="8"/>
        <v>0</v>
      </c>
      <c r="R279" s="28">
        <f t="shared" si="9"/>
        <v>0</v>
      </c>
    </row>
    <row r="280" spans="2:18" ht="30" hidden="1" customHeight="1" x14ac:dyDescent="0.25">
      <c r="B280" s="17">
        <v>264</v>
      </c>
      <c r="C280" s="5" t="s">
        <v>289</v>
      </c>
      <c r="D280" s="5" t="s">
        <v>289</v>
      </c>
      <c r="E280" s="4" t="e" vm="216">
        <v>#VALUE!</v>
      </c>
      <c r="F280" s="4">
        <v>6000</v>
      </c>
      <c r="G280" s="4" t="s">
        <v>9</v>
      </c>
      <c r="H280" s="7">
        <v>0.65300000000000002</v>
      </c>
      <c r="I280" s="42"/>
      <c r="J280" s="42"/>
      <c r="K280" s="42"/>
      <c r="L280" s="42"/>
      <c r="M280" s="42"/>
      <c r="N280" s="42"/>
      <c r="O280" s="42"/>
      <c r="P280" s="4"/>
      <c r="Q280" s="27">
        <f t="shared" si="8"/>
        <v>0</v>
      </c>
      <c r="R280" s="28">
        <f t="shared" si="9"/>
        <v>0</v>
      </c>
    </row>
    <row r="281" spans="2:18" ht="30" hidden="1" customHeight="1" x14ac:dyDescent="0.25">
      <c r="B281" s="17">
        <v>265</v>
      </c>
      <c r="C281" s="5" t="s">
        <v>290</v>
      </c>
      <c r="D281" s="5" t="s">
        <v>290</v>
      </c>
      <c r="E281" s="4" t="e" vm="217">
        <v>#VALUE!</v>
      </c>
      <c r="F281" s="4">
        <v>6000</v>
      </c>
      <c r="G281" s="4" t="s">
        <v>9</v>
      </c>
      <c r="H281" s="7">
        <v>0.61</v>
      </c>
      <c r="I281" s="42"/>
      <c r="J281" s="42"/>
      <c r="K281" s="42"/>
      <c r="L281" s="42"/>
      <c r="M281" s="42"/>
      <c r="N281" s="42"/>
      <c r="O281" s="42"/>
      <c r="P281" s="4"/>
      <c r="Q281" s="27">
        <f t="shared" si="8"/>
        <v>0</v>
      </c>
      <c r="R281" s="28">
        <f t="shared" si="9"/>
        <v>0</v>
      </c>
    </row>
    <row r="282" spans="2:18" ht="30" hidden="1" customHeight="1" x14ac:dyDescent="0.25">
      <c r="B282" s="17">
        <v>266</v>
      </c>
      <c r="C282" s="5" t="s">
        <v>291</v>
      </c>
      <c r="D282" s="5" t="s">
        <v>291</v>
      </c>
      <c r="E282" s="4" t="e" vm="218">
        <v>#VALUE!</v>
      </c>
      <c r="F282" s="4">
        <v>6000</v>
      </c>
      <c r="G282" s="4" t="s">
        <v>9</v>
      </c>
      <c r="H282" s="7">
        <v>0.52900000000000003</v>
      </c>
      <c r="I282" s="42"/>
      <c r="J282" s="42"/>
      <c r="K282" s="42"/>
      <c r="L282" s="42"/>
      <c r="M282" s="42"/>
      <c r="N282" s="42"/>
      <c r="O282" s="42"/>
      <c r="P282" s="4"/>
      <c r="Q282" s="27">
        <f t="shared" si="8"/>
        <v>0</v>
      </c>
      <c r="R282" s="28">
        <f t="shared" si="9"/>
        <v>0</v>
      </c>
    </row>
    <row r="283" spans="2:18" ht="30" hidden="1" customHeight="1" x14ac:dyDescent="0.25">
      <c r="B283" s="17">
        <v>267</v>
      </c>
      <c r="C283" s="5" t="s">
        <v>292</v>
      </c>
      <c r="D283" s="5" t="s">
        <v>292</v>
      </c>
      <c r="E283" s="4" t="e" vm="219">
        <v>#VALUE!</v>
      </c>
      <c r="F283" s="4">
        <v>6000</v>
      </c>
      <c r="G283" s="4" t="s">
        <v>9</v>
      </c>
      <c r="H283" s="7">
        <v>0.48499999999999999</v>
      </c>
      <c r="I283" s="42"/>
      <c r="J283" s="42"/>
      <c r="K283" s="42"/>
      <c r="L283" s="42"/>
      <c r="M283" s="42"/>
      <c r="N283" s="42"/>
      <c r="O283" s="42"/>
      <c r="P283" s="4"/>
      <c r="Q283" s="27">
        <f t="shared" si="8"/>
        <v>0</v>
      </c>
      <c r="R283" s="28">
        <f t="shared" si="9"/>
        <v>0</v>
      </c>
    </row>
    <row r="284" spans="2:18" ht="30" hidden="1" customHeight="1" x14ac:dyDescent="0.25">
      <c r="B284" s="17">
        <v>268</v>
      </c>
      <c r="C284" s="5" t="s">
        <v>293</v>
      </c>
      <c r="D284" s="5" t="s">
        <v>293</v>
      </c>
      <c r="E284" s="4" t="e" vm="220">
        <v>#VALUE!</v>
      </c>
      <c r="F284" s="4">
        <v>6000</v>
      </c>
      <c r="G284" s="4" t="s">
        <v>9</v>
      </c>
      <c r="H284" s="7">
        <v>0.54100000000000004</v>
      </c>
      <c r="I284" s="42"/>
      <c r="J284" s="42"/>
      <c r="K284" s="42"/>
      <c r="L284" s="42"/>
      <c r="M284" s="42"/>
      <c r="N284" s="42"/>
      <c r="O284" s="42"/>
      <c r="P284" s="4"/>
      <c r="Q284" s="27">
        <f t="shared" si="8"/>
        <v>0</v>
      </c>
      <c r="R284" s="28">
        <f t="shared" si="9"/>
        <v>0</v>
      </c>
    </row>
    <row r="285" spans="2:18" ht="30" hidden="1" customHeight="1" x14ac:dyDescent="0.25">
      <c r="B285" s="17">
        <v>269</v>
      </c>
      <c r="C285" s="5" t="s">
        <v>294</v>
      </c>
      <c r="D285" s="5" t="s">
        <v>294</v>
      </c>
      <c r="E285" s="4" t="e" vm="221">
        <v>#VALUE!</v>
      </c>
      <c r="F285" s="4">
        <v>6000</v>
      </c>
      <c r="G285" s="4" t="s">
        <v>9</v>
      </c>
      <c r="H285" s="7">
        <v>0.54400000000000004</v>
      </c>
      <c r="I285" s="42"/>
      <c r="J285" s="42"/>
      <c r="K285" s="42"/>
      <c r="L285" s="42"/>
      <c r="M285" s="42"/>
      <c r="N285" s="42"/>
      <c r="O285" s="42"/>
      <c r="P285" s="4"/>
      <c r="Q285" s="27">
        <f t="shared" si="8"/>
        <v>0</v>
      </c>
      <c r="R285" s="28">
        <f t="shared" si="9"/>
        <v>0</v>
      </c>
    </row>
    <row r="286" spans="2:18" ht="30" hidden="1" customHeight="1" x14ac:dyDescent="0.25">
      <c r="B286" s="17">
        <v>270</v>
      </c>
      <c r="C286" s="5" t="s">
        <v>295</v>
      </c>
      <c r="D286" s="5" t="s">
        <v>295</v>
      </c>
      <c r="E286" s="4" t="e" vm="222">
        <v>#VALUE!</v>
      </c>
      <c r="F286" s="4">
        <v>6000</v>
      </c>
      <c r="G286" s="4" t="s">
        <v>9</v>
      </c>
      <c r="H286" s="7">
        <v>0.76300000000000001</v>
      </c>
      <c r="I286" s="42"/>
      <c r="J286" s="42"/>
      <c r="K286" s="42"/>
      <c r="L286" s="42"/>
      <c r="M286" s="42"/>
      <c r="N286" s="42"/>
      <c r="O286" s="42"/>
      <c r="P286" s="4"/>
      <c r="Q286" s="27">
        <f t="shared" si="8"/>
        <v>0</v>
      </c>
      <c r="R286" s="28">
        <f t="shared" si="9"/>
        <v>0</v>
      </c>
    </row>
    <row r="287" spans="2:18" ht="30" hidden="1" customHeight="1" x14ac:dyDescent="0.25">
      <c r="B287" s="17">
        <v>271</v>
      </c>
      <c r="C287" s="5" t="s">
        <v>296</v>
      </c>
      <c r="D287" s="5" t="s">
        <v>296</v>
      </c>
      <c r="E287" s="4" t="e" vm="223">
        <v>#VALUE!</v>
      </c>
      <c r="F287" s="4">
        <v>6000</v>
      </c>
      <c r="G287" s="4" t="s">
        <v>9</v>
      </c>
      <c r="H287" s="7">
        <v>0.91500000000000004</v>
      </c>
      <c r="I287" s="42"/>
      <c r="J287" s="42"/>
      <c r="K287" s="42"/>
      <c r="L287" s="42"/>
      <c r="M287" s="42"/>
      <c r="N287" s="42"/>
      <c r="O287" s="42"/>
      <c r="P287" s="4"/>
      <c r="Q287" s="27">
        <f t="shared" si="8"/>
        <v>0</v>
      </c>
      <c r="R287" s="28">
        <f t="shared" si="9"/>
        <v>0</v>
      </c>
    </row>
    <row r="288" spans="2:18" ht="30" hidden="1" customHeight="1" x14ac:dyDescent="0.25">
      <c r="B288" s="17">
        <v>272</v>
      </c>
      <c r="C288" s="5" t="s">
        <v>297</v>
      </c>
      <c r="D288" s="38" t="s">
        <v>297</v>
      </c>
      <c r="E288" s="4" t="e" vm="224">
        <v>#VALUE!</v>
      </c>
      <c r="F288" s="4">
        <v>6000</v>
      </c>
      <c r="G288" s="4" t="s">
        <v>9</v>
      </c>
      <c r="H288" s="7"/>
      <c r="I288" s="42"/>
      <c r="J288" s="42"/>
      <c r="K288" s="42"/>
      <c r="L288" s="42"/>
      <c r="M288" s="42"/>
      <c r="N288" s="42"/>
      <c r="O288" s="42"/>
      <c r="P288" s="4"/>
      <c r="Q288" s="27" t="str">
        <f t="shared" si="8"/>
        <v/>
      </c>
      <c r="R288" s="28" t="str">
        <f t="shared" si="9"/>
        <v/>
      </c>
    </row>
    <row r="289" spans="2:18" ht="30" hidden="1" customHeight="1" x14ac:dyDescent="0.25">
      <c r="B289" s="17">
        <v>273</v>
      </c>
      <c r="C289" s="5" t="s">
        <v>298</v>
      </c>
      <c r="D289" s="5" t="s">
        <v>298</v>
      </c>
      <c r="E289" s="4" t="e" vm="225">
        <v>#VALUE!</v>
      </c>
      <c r="F289" s="4">
        <v>6000</v>
      </c>
      <c r="G289" s="4" t="s">
        <v>9</v>
      </c>
      <c r="H289" s="7">
        <v>0.47299999999999998</v>
      </c>
      <c r="I289" s="42"/>
      <c r="J289" s="42"/>
      <c r="K289" s="42"/>
      <c r="L289" s="42"/>
      <c r="M289" s="42"/>
      <c r="N289" s="42"/>
      <c r="O289" s="42"/>
      <c r="P289" s="4"/>
      <c r="Q289" s="27">
        <f t="shared" si="8"/>
        <v>0</v>
      </c>
      <c r="R289" s="28">
        <f t="shared" si="9"/>
        <v>0</v>
      </c>
    </row>
    <row r="290" spans="2:18" ht="30" hidden="1" customHeight="1" x14ac:dyDescent="0.25">
      <c r="B290" s="17">
        <v>274</v>
      </c>
      <c r="C290" s="5" t="s">
        <v>299</v>
      </c>
      <c r="D290" s="38" t="s">
        <v>299</v>
      </c>
      <c r="E290" s="4" t="e" vm="226">
        <v>#VALUE!</v>
      </c>
      <c r="F290" s="4">
        <v>6000</v>
      </c>
      <c r="G290" s="4" t="s">
        <v>9</v>
      </c>
      <c r="H290" s="7"/>
      <c r="I290" s="42"/>
      <c r="J290" s="42"/>
      <c r="K290" s="42"/>
      <c r="L290" s="42"/>
      <c r="M290" s="42"/>
      <c r="N290" s="42"/>
      <c r="O290" s="42"/>
      <c r="P290" s="4"/>
      <c r="Q290" s="27" t="str">
        <f t="shared" si="8"/>
        <v/>
      </c>
      <c r="R290" s="28" t="str">
        <f t="shared" si="9"/>
        <v/>
      </c>
    </row>
    <row r="291" spans="2:18" ht="30" hidden="1" customHeight="1" x14ac:dyDescent="0.25">
      <c r="B291" s="17">
        <v>275</v>
      </c>
      <c r="C291" s="5" t="s">
        <v>300</v>
      </c>
      <c r="D291" s="5" t="s">
        <v>300</v>
      </c>
      <c r="E291" s="4" t="e" vm="227">
        <v>#VALUE!</v>
      </c>
      <c r="F291" s="4">
        <v>6000</v>
      </c>
      <c r="G291" s="4" t="s">
        <v>9</v>
      </c>
      <c r="H291" s="7">
        <v>0.53800000000000003</v>
      </c>
      <c r="I291" s="42"/>
      <c r="J291" s="42"/>
      <c r="K291" s="42"/>
      <c r="L291" s="42"/>
      <c r="M291" s="42"/>
      <c r="N291" s="42"/>
      <c r="O291" s="42"/>
      <c r="P291" s="4"/>
      <c r="Q291" s="27">
        <f t="shared" si="8"/>
        <v>0</v>
      </c>
      <c r="R291" s="28">
        <f t="shared" si="9"/>
        <v>0</v>
      </c>
    </row>
    <row r="292" spans="2:18" ht="30" hidden="1" customHeight="1" x14ac:dyDescent="0.25">
      <c r="B292" s="17">
        <v>276</v>
      </c>
      <c r="C292" s="5" t="s">
        <v>301</v>
      </c>
      <c r="D292" s="38" t="s">
        <v>301</v>
      </c>
      <c r="E292" s="4" t="e" vm="228">
        <v>#VALUE!</v>
      </c>
      <c r="F292" s="4">
        <v>6000</v>
      </c>
      <c r="G292" s="4" t="s">
        <v>9</v>
      </c>
      <c r="H292" s="7"/>
      <c r="I292" s="42"/>
      <c r="J292" s="42"/>
      <c r="K292" s="42"/>
      <c r="L292" s="42"/>
      <c r="M292" s="42"/>
      <c r="N292" s="42"/>
      <c r="O292" s="42"/>
      <c r="P292" s="4"/>
      <c r="Q292" s="27" t="str">
        <f t="shared" si="8"/>
        <v/>
      </c>
      <c r="R292" s="28" t="str">
        <f t="shared" si="9"/>
        <v/>
      </c>
    </row>
    <row r="293" spans="2:18" ht="30" hidden="1" customHeight="1" x14ac:dyDescent="0.25">
      <c r="B293" s="17">
        <v>277</v>
      </c>
      <c r="C293" s="5" t="s">
        <v>302</v>
      </c>
      <c r="D293" s="5" t="s">
        <v>302</v>
      </c>
      <c r="E293" s="4" t="e" vm="229">
        <v>#VALUE!</v>
      </c>
      <c r="F293" s="4">
        <v>6000</v>
      </c>
      <c r="G293" s="4" t="s">
        <v>9</v>
      </c>
      <c r="H293" s="7">
        <v>0.58399999999999996</v>
      </c>
      <c r="I293" s="42"/>
      <c r="J293" s="42"/>
      <c r="K293" s="42"/>
      <c r="L293" s="42"/>
      <c r="M293" s="42"/>
      <c r="N293" s="42"/>
      <c r="O293" s="42"/>
      <c r="P293" s="4"/>
      <c r="Q293" s="27">
        <f t="shared" si="8"/>
        <v>0</v>
      </c>
      <c r="R293" s="28">
        <f t="shared" si="9"/>
        <v>0</v>
      </c>
    </row>
    <row r="294" spans="2:18" ht="30" hidden="1" customHeight="1" x14ac:dyDescent="0.25">
      <c r="B294" s="17">
        <v>278</v>
      </c>
      <c r="C294" s="5" t="s">
        <v>303</v>
      </c>
      <c r="D294" s="5" t="s">
        <v>303</v>
      </c>
      <c r="E294" s="4" t="e" vm="230">
        <v>#VALUE!</v>
      </c>
      <c r="F294" s="4">
        <v>6000</v>
      </c>
      <c r="G294" s="4" t="s">
        <v>9</v>
      </c>
      <c r="H294" s="7">
        <v>0.27600000000000002</v>
      </c>
      <c r="I294" s="42"/>
      <c r="J294" s="42"/>
      <c r="K294" s="42"/>
      <c r="L294" s="42"/>
      <c r="M294" s="42"/>
      <c r="N294" s="42"/>
      <c r="O294" s="42"/>
      <c r="P294" s="4"/>
      <c r="Q294" s="27">
        <f t="shared" si="8"/>
        <v>0</v>
      </c>
      <c r="R294" s="28">
        <f t="shared" si="9"/>
        <v>0</v>
      </c>
    </row>
    <row r="295" spans="2:18" ht="30" hidden="1" customHeight="1" x14ac:dyDescent="0.25">
      <c r="B295" s="17">
        <v>279</v>
      </c>
      <c r="C295" s="5" t="s">
        <v>400</v>
      </c>
      <c r="D295" s="5"/>
      <c r="E295" s="4"/>
      <c r="F295" s="4"/>
      <c r="G295" s="4"/>
      <c r="H295" s="7"/>
      <c r="I295" s="42"/>
      <c r="J295" s="42"/>
      <c r="K295" s="42"/>
      <c r="L295" s="42"/>
      <c r="M295" s="42"/>
      <c r="N295" s="42"/>
      <c r="O295" s="42"/>
      <c r="P295" s="4"/>
      <c r="Q295" s="27" t="str">
        <f t="shared" si="8"/>
        <v/>
      </c>
      <c r="R295" s="28" t="str">
        <f t="shared" si="9"/>
        <v/>
      </c>
    </row>
    <row r="296" spans="2:18" ht="30" hidden="1" customHeight="1" x14ac:dyDescent="0.25">
      <c r="B296" s="17">
        <v>280</v>
      </c>
      <c r="C296" s="5" t="s">
        <v>400</v>
      </c>
      <c r="D296" s="5"/>
      <c r="E296" s="4"/>
      <c r="F296" s="4"/>
      <c r="G296" s="4"/>
      <c r="H296" s="7"/>
      <c r="I296" s="42"/>
      <c r="J296" s="42"/>
      <c r="K296" s="42"/>
      <c r="L296" s="42"/>
      <c r="M296" s="42"/>
      <c r="N296" s="42"/>
      <c r="O296" s="42"/>
      <c r="P296" s="4"/>
      <c r="Q296" s="27" t="str">
        <f t="shared" si="8"/>
        <v/>
      </c>
      <c r="R296" s="28" t="str">
        <f t="shared" si="9"/>
        <v/>
      </c>
    </row>
    <row r="297" spans="2:18" ht="30" hidden="1" customHeight="1" x14ac:dyDescent="0.25">
      <c r="B297" s="17">
        <v>281</v>
      </c>
      <c r="C297" s="5" t="s">
        <v>400</v>
      </c>
      <c r="D297" s="5"/>
      <c r="E297" s="4"/>
      <c r="F297" s="4"/>
      <c r="G297" s="4"/>
      <c r="H297" s="7"/>
      <c r="I297" s="42"/>
      <c r="J297" s="42"/>
      <c r="K297" s="42"/>
      <c r="L297" s="42"/>
      <c r="M297" s="42"/>
      <c r="N297" s="42"/>
      <c r="O297" s="42"/>
      <c r="P297" s="4"/>
      <c r="Q297" s="27" t="str">
        <f t="shared" si="8"/>
        <v/>
      </c>
      <c r="R297" s="28" t="str">
        <f t="shared" si="9"/>
        <v/>
      </c>
    </row>
    <row r="298" spans="2:18" ht="30" hidden="1" customHeight="1" x14ac:dyDescent="0.25">
      <c r="B298" s="17">
        <v>282</v>
      </c>
      <c r="C298" s="5" t="s">
        <v>400</v>
      </c>
      <c r="D298" s="5"/>
      <c r="E298" s="4"/>
      <c r="F298" s="4"/>
      <c r="G298" s="4"/>
      <c r="H298" s="7"/>
      <c r="I298" s="42"/>
      <c r="J298" s="42"/>
      <c r="K298" s="42"/>
      <c r="L298" s="42"/>
      <c r="M298" s="42"/>
      <c r="N298" s="42"/>
      <c r="O298" s="42"/>
      <c r="P298" s="4"/>
      <c r="Q298" s="27" t="str">
        <f t="shared" si="8"/>
        <v/>
      </c>
      <c r="R298" s="28" t="str">
        <f t="shared" si="9"/>
        <v/>
      </c>
    </row>
    <row r="299" spans="2:18" ht="30" hidden="1" customHeight="1" x14ac:dyDescent="0.25">
      <c r="B299" s="17">
        <v>283</v>
      </c>
      <c r="C299" s="5" t="s">
        <v>400</v>
      </c>
      <c r="D299" s="5"/>
      <c r="E299" s="4"/>
      <c r="F299" s="4"/>
      <c r="G299" s="4"/>
      <c r="H299" s="7"/>
      <c r="I299" s="42"/>
      <c r="J299" s="42"/>
      <c r="K299" s="42"/>
      <c r="L299" s="42"/>
      <c r="M299" s="42"/>
      <c r="N299" s="42"/>
      <c r="O299" s="42"/>
      <c r="P299" s="4"/>
      <c r="Q299" s="27" t="str">
        <f t="shared" si="8"/>
        <v/>
      </c>
      <c r="R299" s="28" t="str">
        <f t="shared" si="9"/>
        <v/>
      </c>
    </row>
    <row r="300" spans="2:18" ht="30" hidden="1" customHeight="1" x14ac:dyDescent="0.25">
      <c r="B300" s="17">
        <v>284</v>
      </c>
      <c r="C300" s="5" t="s">
        <v>400</v>
      </c>
      <c r="D300" s="5"/>
      <c r="E300" s="4"/>
      <c r="F300" s="4"/>
      <c r="G300" s="4"/>
      <c r="H300" s="7"/>
      <c r="I300" s="42"/>
      <c r="J300" s="42"/>
      <c r="K300" s="42"/>
      <c r="L300" s="42"/>
      <c r="M300" s="42"/>
      <c r="N300" s="42"/>
      <c r="O300" s="42"/>
      <c r="P300" s="4"/>
      <c r="Q300" s="27" t="str">
        <f t="shared" si="8"/>
        <v/>
      </c>
      <c r="R300" s="28" t="str">
        <f t="shared" si="9"/>
        <v/>
      </c>
    </row>
    <row r="301" spans="2:18" ht="30" hidden="1" customHeight="1" x14ac:dyDescent="0.25">
      <c r="B301" s="17">
        <v>285</v>
      </c>
      <c r="C301" s="5" t="s">
        <v>400</v>
      </c>
      <c r="D301" s="5"/>
      <c r="E301" s="4"/>
      <c r="F301" s="4"/>
      <c r="G301" s="4"/>
      <c r="H301" s="7"/>
      <c r="I301" s="42"/>
      <c r="J301" s="42"/>
      <c r="K301" s="42"/>
      <c r="L301" s="42"/>
      <c r="M301" s="42"/>
      <c r="N301" s="42"/>
      <c r="O301" s="42"/>
      <c r="P301" s="4"/>
      <c r="Q301" s="27" t="str">
        <f t="shared" si="8"/>
        <v/>
      </c>
      <c r="R301" s="28" t="str">
        <f t="shared" si="9"/>
        <v/>
      </c>
    </row>
    <row r="302" spans="2:18" ht="30" hidden="1" customHeight="1" x14ac:dyDescent="0.25">
      <c r="B302" s="17">
        <v>286</v>
      </c>
      <c r="C302" s="5" t="s">
        <v>400</v>
      </c>
      <c r="D302" s="5"/>
      <c r="E302" s="4"/>
      <c r="F302" s="4"/>
      <c r="G302" s="4"/>
      <c r="H302" s="7"/>
      <c r="I302" s="42"/>
      <c r="J302" s="42"/>
      <c r="K302" s="42"/>
      <c r="L302" s="42"/>
      <c r="M302" s="42"/>
      <c r="N302" s="42"/>
      <c r="O302" s="42"/>
      <c r="P302" s="4"/>
      <c r="Q302" s="27" t="str">
        <f t="shared" si="8"/>
        <v/>
      </c>
      <c r="R302" s="28" t="str">
        <f t="shared" si="9"/>
        <v/>
      </c>
    </row>
    <row r="303" spans="2:18" ht="30" hidden="1" customHeight="1" x14ac:dyDescent="0.25">
      <c r="B303" s="17">
        <v>287</v>
      </c>
      <c r="C303" s="5" t="s">
        <v>400</v>
      </c>
      <c r="D303" s="5"/>
      <c r="E303" s="4"/>
      <c r="F303" s="4"/>
      <c r="G303" s="4"/>
      <c r="H303" s="7"/>
      <c r="I303" s="42"/>
      <c r="J303" s="42"/>
      <c r="K303" s="42"/>
      <c r="L303" s="42"/>
      <c r="M303" s="42"/>
      <c r="N303" s="42"/>
      <c r="O303" s="42"/>
      <c r="P303" s="4"/>
      <c r="Q303" s="27" t="str">
        <f t="shared" si="8"/>
        <v/>
      </c>
      <c r="R303" s="28" t="str">
        <f t="shared" si="9"/>
        <v/>
      </c>
    </row>
    <row r="304" spans="2:18" ht="30" hidden="1" customHeight="1" x14ac:dyDescent="0.25">
      <c r="B304" s="17">
        <v>288</v>
      </c>
      <c r="C304" s="5" t="s">
        <v>400</v>
      </c>
      <c r="D304" s="5"/>
      <c r="E304" s="4"/>
      <c r="F304" s="4"/>
      <c r="G304" s="4"/>
      <c r="H304" s="7"/>
      <c r="I304" s="42"/>
      <c r="J304" s="42"/>
      <c r="K304" s="42"/>
      <c r="L304" s="42"/>
      <c r="M304" s="42"/>
      <c r="N304" s="42"/>
      <c r="O304" s="42"/>
      <c r="P304" s="4"/>
      <c r="Q304" s="27" t="str">
        <f t="shared" si="8"/>
        <v/>
      </c>
      <c r="R304" s="28" t="str">
        <f t="shared" si="9"/>
        <v/>
      </c>
    </row>
    <row r="305" spans="2:18" ht="30" hidden="1" customHeight="1" x14ac:dyDescent="0.25">
      <c r="B305" s="17">
        <v>289</v>
      </c>
      <c r="C305" s="5" t="s">
        <v>400</v>
      </c>
      <c r="D305" s="5"/>
      <c r="E305" s="4"/>
      <c r="F305" s="4"/>
      <c r="G305" s="4"/>
      <c r="H305" s="7"/>
      <c r="I305" s="42"/>
      <c r="J305" s="42"/>
      <c r="K305" s="42"/>
      <c r="L305" s="42"/>
      <c r="M305" s="42"/>
      <c r="N305" s="42"/>
      <c r="O305" s="42"/>
      <c r="P305" s="4"/>
      <c r="Q305" s="27" t="str">
        <f t="shared" si="8"/>
        <v/>
      </c>
      <c r="R305" s="28" t="str">
        <f t="shared" si="9"/>
        <v/>
      </c>
    </row>
    <row r="306" spans="2:18" ht="30" hidden="1" customHeight="1" x14ac:dyDescent="0.25">
      <c r="B306" s="17">
        <v>290</v>
      </c>
      <c r="C306" s="5" t="s">
        <v>304</v>
      </c>
      <c r="D306" s="5" t="s">
        <v>304</v>
      </c>
      <c r="E306" s="4" t="e" vm="231">
        <v>#VALUE!</v>
      </c>
      <c r="F306" s="4">
        <v>6000</v>
      </c>
      <c r="G306" s="4" t="s">
        <v>9</v>
      </c>
      <c r="H306" s="7">
        <v>0.96499999999999997</v>
      </c>
      <c r="I306" s="42"/>
      <c r="J306" s="42"/>
      <c r="K306" s="42"/>
      <c r="L306" s="42"/>
      <c r="M306" s="42"/>
      <c r="N306" s="42"/>
      <c r="O306" s="42"/>
      <c r="P306" s="4"/>
      <c r="Q306" s="27">
        <f t="shared" si="8"/>
        <v>0</v>
      </c>
      <c r="R306" s="28">
        <f t="shared" si="9"/>
        <v>0</v>
      </c>
    </row>
    <row r="307" spans="2:18" ht="30" hidden="1" customHeight="1" x14ac:dyDescent="0.25">
      <c r="B307" s="17">
        <v>291</v>
      </c>
      <c r="C307" s="5" t="s">
        <v>305</v>
      </c>
      <c r="D307" s="5" t="s">
        <v>305</v>
      </c>
      <c r="E307" s="4" t="e" vm="232">
        <v>#VALUE!</v>
      </c>
      <c r="F307" s="4">
        <v>6000</v>
      </c>
      <c r="G307" s="4" t="s">
        <v>9</v>
      </c>
      <c r="H307" s="7">
        <v>0.58899999999999997</v>
      </c>
      <c r="I307" s="42"/>
      <c r="J307" s="42"/>
      <c r="K307" s="42"/>
      <c r="L307" s="42"/>
      <c r="M307" s="42"/>
      <c r="N307" s="42"/>
      <c r="O307" s="42"/>
      <c r="P307" s="4"/>
      <c r="Q307" s="27">
        <f t="shared" si="8"/>
        <v>0</v>
      </c>
      <c r="R307" s="28">
        <f t="shared" si="9"/>
        <v>0</v>
      </c>
    </row>
    <row r="308" spans="2:18" ht="30" hidden="1" customHeight="1" x14ac:dyDescent="0.25">
      <c r="B308" s="17">
        <v>292</v>
      </c>
      <c r="C308" s="5" t="s">
        <v>306</v>
      </c>
      <c r="D308" s="5" t="s">
        <v>306</v>
      </c>
      <c r="E308" s="4" t="e" vm="233">
        <v>#VALUE!</v>
      </c>
      <c r="F308" s="4">
        <v>6000</v>
      </c>
      <c r="G308" s="4" t="s">
        <v>9</v>
      </c>
      <c r="H308" s="7">
        <v>1.244</v>
      </c>
      <c r="I308" s="42"/>
      <c r="J308" s="42"/>
      <c r="K308" s="42"/>
      <c r="L308" s="42"/>
      <c r="M308" s="42"/>
      <c r="N308" s="42"/>
      <c r="O308" s="42"/>
      <c r="P308" s="4"/>
      <c r="Q308" s="27">
        <f t="shared" si="8"/>
        <v>0</v>
      </c>
      <c r="R308" s="28">
        <f t="shared" si="9"/>
        <v>0</v>
      </c>
    </row>
    <row r="309" spans="2:18" ht="30" hidden="1" customHeight="1" x14ac:dyDescent="0.25">
      <c r="B309" s="17">
        <v>293</v>
      </c>
      <c r="C309" s="5" t="s">
        <v>307</v>
      </c>
      <c r="D309" s="5" t="s">
        <v>307</v>
      </c>
      <c r="E309" s="4" t="e" vm="234">
        <v>#VALUE!</v>
      </c>
      <c r="F309" s="4">
        <v>6000</v>
      </c>
      <c r="G309" s="4" t="s">
        <v>9</v>
      </c>
      <c r="H309" s="7">
        <v>0.192</v>
      </c>
      <c r="I309" s="42"/>
      <c r="J309" s="42"/>
      <c r="K309" s="42"/>
      <c r="L309" s="42"/>
      <c r="M309" s="42"/>
      <c r="N309" s="42"/>
      <c r="O309" s="42"/>
      <c r="P309" s="4"/>
      <c r="Q309" s="27">
        <f t="shared" si="8"/>
        <v>0</v>
      </c>
      <c r="R309" s="28">
        <f t="shared" si="9"/>
        <v>0</v>
      </c>
    </row>
    <row r="310" spans="2:18" ht="30" hidden="1" customHeight="1" x14ac:dyDescent="0.25">
      <c r="B310" s="17">
        <v>294</v>
      </c>
      <c r="C310" s="5" t="s">
        <v>308</v>
      </c>
      <c r="D310" s="5" t="s">
        <v>308</v>
      </c>
      <c r="E310" s="4" t="e" vm="235">
        <v>#VALUE!</v>
      </c>
      <c r="F310" s="4">
        <v>6000</v>
      </c>
      <c r="G310" s="4" t="s">
        <v>9</v>
      </c>
      <c r="H310" s="7">
        <v>0.48799999999999999</v>
      </c>
      <c r="I310" s="42"/>
      <c r="J310" s="42"/>
      <c r="K310" s="42"/>
      <c r="L310" s="42"/>
      <c r="M310" s="42"/>
      <c r="N310" s="42"/>
      <c r="O310" s="42"/>
      <c r="P310" s="4"/>
      <c r="Q310" s="27">
        <f t="shared" si="8"/>
        <v>0</v>
      </c>
      <c r="R310" s="28">
        <f t="shared" si="9"/>
        <v>0</v>
      </c>
    </row>
    <row r="311" spans="2:18" ht="30" hidden="1" customHeight="1" x14ac:dyDescent="0.25">
      <c r="B311" s="17">
        <v>295</v>
      </c>
      <c r="C311" s="5" t="s">
        <v>309</v>
      </c>
      <c r="D311" s="5" t="s">
        <v>309</v>
      </c>
      <c r="E311" s="4" t="e" vm="236">
        <v>#VALUE!</v>
      </c>
      <c r="F311" s="4">
        <v>6000</v>
      </c>
      <c r="G311" s="4" t="s">
        <v>9</v>
      </c>
      <c r="H311" s="7">
        <v>0.48299999999999998</v>
      </c>
      <c r="I311" s="42"/>
      <c r="J311" s="42"/>
      <c r="K311" s="42"/>
      <c r="L311" s="42"/>
      <c r="M311" s="42"/>
      <c r="N311" s="42"/>
      <c r="O311" s="42"/>
      <c r="P311" s="4"/>
      <c r="Q311" s="27">
        <f t="shared" si="8"/>
        <v>0</v>
      </c>
      <c r="R311" s="28">
        <f t="shared" si="9"/>
        <v>0</v>
      </c>
    </row>
    <row r="312" spans="2:18" ht="30" hidden="1" customHeight="1" x14ac:dyDescent="0.25">
      <c r="B312" s="17">
        <v>296</v>
      </c>
      <c r="C312" s="5" t="s">
        <v>310</v>
      </c>
      <c r="D312" s="5" t="s">
        <v>310</v>
      </c>
      <c r="E312" s="4" t="e" vm="237">
        <v>#VALUE!</v>
      </c>
      <c r="F312" s="4">
        <v>6000</v>
      </c>
      <c r="G312" s="4" t="s">
        <v>9</v>
      </c>
      <c r="H312" s="7">
        <v>1.595</v>
      </c>
      <c r="I312" s="42"/>
      <c r="J312" s="42"/>
      <c r="K312" s="42"/>
      <c r="L312" s="42"/>
      <c r="M312" s="42"/>
      <c r="N312" s="42"/>
      <c r="O312" s="42"/>
      <c r="P312" s="4"/>
      <c r="Q312" s="27">
        <f t="shared" si="8"/>
        <v>0</v>
      </c>
      <c r="R312" s="28">
        <f t="shared" si="9"/>
        <v>0</v>
      </c>
    </row>
    <row r="313" spans="2:18" ht="30" hidden="1" customHeight="1" x14ac:dyDescent="0.25">
      <c r="B313" s="17">
        <v>297</v>
      </c>
      <c r="C313" s="5" t="s">
        <v>311</v>
      </c>
      <c r="D313" s="5" t="s">
        <v>311</v>
      </c>
      <c r="E313" s="4" t="e" vm="238">
        <v>#VALUE!</v>
      </c>
      <c r="F313" s="4">
        <v>6000</v>
      </c>
      <c r="G313" s="4" t="s">
        <v>9</v>
      </c>
      <c r="H313" s="7">
        <v>2.125</v>
      </c>
      <c r="I313" s="42"/>
      <c r="J313" s="42"/>
      <c r="K313" s="42"/>
      <c r="L313" s="42"/>
      <c r="M313" s="42"/>
      <c r="N313" s="42"/>
      <c r="O313" s="42"/>
      <c r="P313" s="4"/>
      <c r="Q313" s="27">
        <f t="shared" si="8"/>
        <v>0</v>
      </c>
      <c r="R313" s="28">
        <f t="shared" si="9"/>
        <v>0</v>
      </c>
    </row>
    <row r="314" spans="2:18" ht="30" hidden="1" customHeight="1" x14ac:dyDescent="0.25">
      <c r="B314" s="17">
        <v>298</v>
      </c>
      <c r="C314" s="5" t="s">
        <v>312</v>
      </c>
      <c r="D314" s="5" t="s">
        <v>312</v>
      </c>
      <c r="E314" s="4" t="e" vm="239">
        <v>#VALUE!</v>
      </c>
      <c r="F314" s="4">
        <v>6000</v>
      </c>
      <c r="G314" s="4" t="s">
        <v>9</v>
      </c>
      <c r="H314" s="7">
        <v>1.169</v>
      </c>
      <c r="I314" s="42"/>
      <c r="J314" s="42"/>
      <c r="K314" s="42"/>
      <c r="L314" s="42"/>
      <c r="M314" s="42"/>
      <c r="N314" s="42"/>
      <c r="O314" s="42"/>
      <c r="P314" s="4"/>
      <c r="Q314" s="27">
        <f t="shared" si="8"/>
        <v>0</v>
      </c>
      <c r="R314" s="28">
        <f t="shared" si="9"/>
        <v>0</v>
      </c>
    </row>
    <row r="315" spans="2:18" ht="30" hidden="1" customHeight="1" x14ac:dyDescent="0.25">
      <c r="B315" s="17">
        <v>299</v>
      </c>
      <c r="C315" s="5" t="s">
        <v>313</v>
      </c>
      <c r="D315" s="5" t="s">
        <v>313</v>
      </c>
      <c r="E315" s="4" t="e" vm="240">
        <v>#VALUE!</v>
      </c>
      <c r="F315" s="4">
        <v>6000</v>
      </c>
      <c r="G315" s="4" t="s">
        <v>9</v>
      </c>
      <c r="H315" s="7">
        <v>0.71699999999999997</v>
      </c>
      <c r="I315" s="42"/>
      <c r="J315" s="42"/>
      <c r="K315" s="42"/>
      <c r="L315" s="42"/>
      <c r="M315" s="42"/>
      <c r="N315" s="42"/>
      <c r="O315" s="42"/>
      <c r="P315" s="4"/>
      <c r="Q315" s="27">
        <f t="shared" si="8"/>
        <v>0</v>
      </c>
      <c r="R315" s="28">
        <f t="shared" si="9"/>
        <v>0</v>
      </c>
    </row>
    <row r="316" spans="2:18" ht="30" hidden="1" customHeight="1" x14ac:dyDescent="0.25">
      <c r="B316" s="17">
        <v>300</v>
      </c>
      <c r="C316" s="5" t="s">
        <v>314</v>
      </c>
      <c r="D316" s="5" t="s">
        <v>314</v>
      </c>
      <c r="E316" s="4" t="e" vm="241">
        <v>#VALUE!</v>
      </c>
      <c r="F316" s="4">
        <v>6000</v>
      </c>
      <c r="G316" s="4" t="s">
        <v>9</v>
      </c>
      <c r="H316" s="7">
        <v>0.68500000000000005</v>
      </c>
      <c r="I316" s="42"/>
      <c r="J316" s="42"/>
      <c r="K316" s="42"/>
      <c r="L316" s="42"/>
      <c r="M316" s="42"/>
      <c r="N316" s="42"/>
      <c r="O316" s="42"/>
      <c r="P316" s="4"/>
      <c r="Q316" s="27">
        <f t="shared" si="8"/>
        <v>0</v>
      </c>
      <c r="R316" s="28">
        <f t="shared" si="9"/>
        <v>0</v>
      </c>
    </row>
    <row r="317" spans="2:18" ht="30" hidden="1" customHeight="1" x14ac:dyDescent="0.25">
      <c r="B317" s="17">
        <v>301</v>
      </c>
      <c r="C317" s="5" t="s">
        <v>315</v>
      </c>
      <c r="D317" s="5" t="s">
        <v>316</v>
      </c>
      <c r="E317" s="4" t="e" vm="242">
        <v>#VALUE!</v>
      </c>
      <c r="F317" s="4">
        <v>6000</v>
      </c>
      <c r="G317" s="4" t="s">
        <v>9</v>
      </c>
      <c r="H317" s="7">
        <v>0.46899999999999997</v>
      </c>
      <c r="I317" s="42"/>
      <c r="J317" s="42"/>
      <c r="K317" s="42"/>
      <c r="L317" s="42"/>
      <c r="M317" s="42"/>
      <c r="N317" s="42"/>
      <c r="O317" s="42"/>
      <c r="P317" s="4"/>
      <c r="Q317" s="27">
        <f t="shared" si="8"/>
        <v>0</v>
      </c>
      <c r="R317" s="28">
        <f t="shared" si="9"/>
        <v>0</v>
      </c>
    </row>
    <row r="318" spans="2:18" ht="30" hidden="1" customHeight="1" x14ac:dyDescent="0.25">
      <c r="B318" s="17">
        <v>302</v>
      </c>
      <c r="C318" s="5" t="s">
        <v>317</v>
      </c>
      <c r="D318" s="5" t="s">
        <v>318</v>
      </c>
      <c r="E318" s="4" t="e" vm="243">
        <v>#VALUE!</v>
      </c>
      <c r="F318" s="4">
        <v>6000</v>
      </c>
      <c r="G318" s="4" t="s">
        <v>9</v>
      </c>
      <c r="H318" s="7">
        <v>0.51600000000000001</v>
      </c>
      <c r="I318" s="42"/>
      <c r="J318" s="42"/>
      <c r="K318" s="42"/>
      <c r="L318" s="42"/>
      <c r="M318" s="42"/>
      <c r="N318" s="42"/>
      <c r="O318" s="42"/>
      <c r="P318" s="4"/>
      <c r="Q318" s="27">
        <f t="shared" si="8"/>
        <v>0</v>
      </c>
      <c r="R318" s="28">
        <f t="shared" si="9"/>
        <v>0</v>
      </c>
    </row>
    <row r="319" spans="2:18" ht="30" hidden="1" customHeight="1" x14ac:dyDescent="0.25">
      <c r="B319" s="17">
        <v>303</v>
      </c>
      <c r="C319" s="5"/>
      <c r="D319" s="5"/>
      <c r="E319" s="4"/>
      <c r="F319" s="4">
        <v>6000</v>
      </c>
      <c r="G319" s="4" t="s">
        <v>9</v>
      </c>
      <c r="H319" s="7">
        <v>0.11799999999999999</v>
      </c>
      <c r="I319" s="42"/>
      <c r="J319" s="42"/>
      <c r="K319" s="42"/>
      <c r="L319" s="42"/>
      <c r="M319" s="42"/>
      <c r="N319" s="42"/>
      <c r="O319" s="42"/>
      <c r="P319" s="4"/>
      <c r="Q319" s="27">
        <f t="shared" si="8"/>
        <v>0</v>
      </c>
      <c r="R319" s="28">
        <f t="shared" si="9"/>
        <v>0</v>
      </c>
    </row>
    <row r="320" spans="2:18" ht="30" hidden="1" customHeight="1" x14ac:dyDescent="0.25">
      <c r="B320" s="17">
        <v>304</v>
      </c>
      <c r="C320" s="5"/>
      <c r="D320" s="5"/>
      <c r="E320" s="4"/>
      <c r="F320" s="4">
        <v>6000</v>
      </c>
      <c r="G320" s="4" t="s">
        <v>9</v>
      </c>
      <c r="H320" s="7">
        <v>7.3999999999999996E-2</v>
      </c>
      <c r="I320" s="42"/>
      <c r="J320" s="42"/>
      <c r="K320" s="42"/>
      <c r="L320" s="42"/>
      <c r="M320" s="42"/>
      <c r="N320" s="42"/>
      <c r="O320" s="42"/>
      <c r="P320" s="4"/>
      <c r="Q320" s="27">
        <f t="shared" si="8"/>
        <v>0</v>
      </c>
      <c r="R320" s="28">
        <f t="shared" si="9"/>
        <v>0</v>
      </c>
    </row>
    <row r="321" spans="2:18" ht="30" hidden="1" customHeight="1" x14ac:dyDescent="0.25">
      <c r="B321" s="17">
        <v>305</v>
      </c>
      <c r="C321" s="5"/>
      <c r="D321" s="5"/>
      <c r="E321" s="4"/>
      <c r="F321" s="4">
        <v>6000</v>
      </c>
      <c r="G321" s="4" t="s">
        <v>9</v>
      </c>
      <c r="H321" s="7">
        <v>0.22900000000000001</v>
      </c>
      <c r="I321" s="42"/>
      <c r="J321" s="42"/>
      <c r="K321" s="42"/>
      <c r="L321" s="42"/>
      <c r="M321" s="42"/>
      <c r="N321" s="42"/>
      <c r="O321" s="42"/>
      <c r="P321" s="4"/>
      <c r="Q321" s="27">
        <f t="shared" si="8"/>
        <v>0</v>
      </c>
      <c r="R321" s="28">
        <f t="shared" si="9"/>
        <v>0</v>
      </c>
    </row>
    <row r="322" spans="2:18" ht="30" hidden="1" customHeight="1" x14ac:dyDescent="0.25">
      <c r="B322" s="17">
        <v>306</v>
      </c>
      <c r="C322" s="5"/>
      <c r="D322" s="5"/>
      <c r="E322" s="4"/>
      <c r="F322" s="4">
        <v>6000</v>
      </c>
      <c r="G322" s="4" t="s">
        <v>9</v>
      </c>
      <c r="H322" s="7">
        <v>9.8000000000000004E-2</v>
      </c>
      <c r="I322" s="42"/>
      <c r="J322" s="42"/>
      <c r="K322" s="42"/>
      <c r="L322" s="42"/>
      <c r="M322" s="42"/>
      <c r="N322" s="42"/>
      <c r="O322" s="42"/>
      <c r="P322" s="4"/>
      <c r="Q322" s="27">
        <f t="shared" si="8"/>
        <v>0</v>
      </c>
      <c r="R322" s="28">
        <f t="shared" si="9"/>
        <v>0</v>
      </c>
    </row>
    <row r="323" spans="2:18" ht="30" hidden="1" customHeight="1" x14ac:dyDescent="0.25">
      <c r="B323" s="17">
        <v>307</v>
      </c>
      <c r="C323" s="5"/>
      <c r="D323" s="5"/>
      <c r="E323" s="4"/>
      <c r="F323" s="4">
        <v>6000</v>
      </c>
      <c r="G323" s="4" t="s">
        <v>9</v>
      </c>
      <c r="H323" s="7">
        <v>0.105</v>
      </c>
      <c r="I323" s="42"/>
      <c r="J323" s="42"/>
      <c r="K323" s="42"/>
      <c r="L323" s="42"/>
      <c r="M323" s="42"/>
      <c r="N323" s="42"/>
      <c r="O323" s="42"/>
      <c r="P323" s="4"/>
      <c r="Q323" s="27">
        <f t="shared" si="8"/>
        <v>0</v>
      </c>
      <c r="R323" s="28">
        <f t="shared" si="9"/>
        <v>0</v>
      </c>
    </row>
    <row r="324" spans="2:18" ht="30" hidden="1" customHeight="1" x14ac:dyDescent="0.25">
      <c r="B324" s="17">
        <v>308</v>
      </c>
      <c r="C324" s="5" t="s">
        <v>319</v>
      </c>
      <c r="D324" s="5" t="s">
        <v>319</v>
      </c>
      <c r="E324" s="4" t="e" vm="244">
        <v>#VALUE!</v>
      </c>
      <c r="F324" s="4">
        <v>6000</v>
      </c>
      <c r="G324" s="4" t="s">
        <v>9</v>
      </c>
      <c r="H324" s="7">
        <v>0.64400000000000002</v>
      </c>
      <c r="I324" s="42"/>
      <c r="J324" s="42"/>
      <c r="K324" s="42"/>
      <c r="L324" s="42"/>
      <c r="M324" s="42"/>
      <c r="N324" s="42"/>
      <c r="O324" s="42"/>
      <c r="P324" s="4"/>
      <c r="Q324" s="27">
        <f t="shared" si="8"/>
        <v>0</v>
      </c>
      <c r="R324" s="28">
        <f t="shared" si="9"/>
        <v>0</v>
      </c>
    </row>
    <row r="325" spans="2:18" ht="30" hidden="1" customHeight="1" x14ac:dyDescent="0.25">
      <c r="B325" s="17">
        <v>309</v>
      </c>
      <c r="C325" s="5" t="s">
        <v>320</v>
      </c>
      <c r="D325" s="5" t="s">
        <v>320</v>
      </c>
      <c r="E325" s="4" t="e" vm="245">
        <v>#VALUE!</v>
      </c>
      <c r="F325" s="4">
        <v>6000</v>
      </c>
      <c r="G325" s="4" t="s">
        <v>9</v>
      </c>
      <c r="H325" s="7">
        <v>0.57499999999999996</v>
      </c>
      <c r="I325" s="42"/>
      <c r="J325" s="42"/>
      <c r="K325" s="42"/>
      <c r="L325" s="42"/>
      <c r="M325" s="42"/>
      <c r="N325" s="42"/>
      <c r="O325" s="42"/>
      <c r="P325" s="4"/>
      <c r="Q325" s="27">
        <f t="shared" si="8"/>
        <v>0</v>
      </c>
      <c r="R325" s="28">
        <f t="shared" si="9"/>
        <v>0</v>
      </c>
    </row>
    <row r="326" spans="2:18" ht="30" hidden="1" customHeight="1" x14ac:dyDescent="0.25">
      <c r="B326" s="17">
        <v>310</v>
      </c>
      <c r="C326" s="5" t="s">
        <v>321</v>
      </c>
      <c r="D326" s="5" t="s">
        <v>321</v>
      </c>
      <c r="E326" s="4" t="e" vm="246">
        <v>#VALUE!</v>
      </c>
      <c r="F326" s="4">
        <v>6000</v>
      </c>
      <c r="G326" s="4" t="s">
        <v>9</v>
      </c>
      <c r="H326" s="7">
        <v>0.6</v>
      </c>
      <c r="I326" s="42"/>
      <c r="J326" s="42"/>
      <c r="K326" s="42"/>
      <c r="L326" s="42"/>
      <c r="M326" s="42"/>
      <c r="N326" s="42"/>
      <c r="O326" s="42"/>
      <c r="P326" s="4"/>
      <c r="Q326" s="27">
        <f t="shared" si="8"/>
        <v>0</v>
      </c>
      <c r="R326" s="28">
        <f t="shared" si="9"/>
        <v>0</v>
      </c>
    </row>
    <row r="327" spans="2:18" ht="30" hidden="1" customHeight="1" x14ac:dyDescent="0.25">
      <c r="B327" s="17"/>
      <c r="C327" s="5"/>
      <c r="D327" s="5"/>
      <c r="E327" s="4"/>
      <c r="F327" s="4"/>
      <c r="G327" s="4"/>
      <c r="H327" s="7"/>
      <c r="I327" s="42"/>
      <c r="J327" s="42"/>
      <c r="K327" s="42"/>
      <c r="L327" s="42"/>
      <c r="M327" s="42"/>
      <c r="N327" s="42"/>
      <c r="O327" s="42"/>
      <c r="P327" s="4"/>
      <c r="Q327" s="27" t="str">
        <f t="shared" si="8"/>
        <v/>
      </c>
      <c r="R327" s="28" t="str">
        <f t="shared" si="9"/>
        <v/>
      </c>
    </row>
    <row r="328" spans="2:18" ht="30" hidden="1" customHeight="1" x14ac:dyDescent="0.25">
      <c r="B328" s="17"/>
      <c r="C328" s="5"/>
      <c r="D328" s="5"/>
      <c r="E328" s="4"/>
      <c r="F328" s="4"/>
      <c r="G328" s="4"/>
      <c r="H328" s="7"/>
      <c r="I328" s="42"/>
      <c r="J328" s="42"/>
      <c r="K328" s="42"/>
      <c r="L328" s="42"/>
      <c r="M328" s="42"/>
      <c r="N328" s="42"/>
      <c r="O328" s="42"/>
      <c r="P328" s="4"/>
      <c r="Q328" s="27" t="str">
        <f t="shared" si="8"/>
        <v/>
      </c>
      <c r="R328" s="28" t="str">
        <f t="shared" si="9"/>
        <v/>
      </c>
    </row>
    <row r="329" spans="2:18" ht="30" hidden="1" customHeight="1" x14ac:dyDescent="0.25">
      <c r="B329" s="17"/>
      <c r="C329" s="5"/>
      <c r="D329" s="5"/>
      <c r="E329" s="4"/>
      <c r="F329" s="4"/>
      <c r="G329" s="4"/>
      <c r="H329" s="7"/>
      <c r="I329" s="42"/>
      <c r="J329" s="42"/>
      <c r="K329" s="42"/>
      <c r="L329" s="42"/>
      <c r="M329" s="42"/>
      <c r="N329" s="42"/>
      <c r="O329" s="42"/>
      <c r="P329" s="4"/>
      <c r="Q329" s="27" t="str">
        <f t="shared" si="8"/>
        <v/>
      </c>
      <c r="R329" s="28" t="str">
        <f t="shared" si="9"/>
        <v/>
      </c>
    </row>
    <row r="330" spans="2:18" ht="30" hidden="1" customHeight="1" x14ac:dyDescent="0.25">
      <c r="B330" s="17">
        <v>314</v>
      </c>
      <c r="C330" s="5" t="s">
        <v>400</v>
      </c>
      <c r="D330" s="5"/>
      <c r="E330" s="4"/>
      <c r="F330" s="4"/>
      <c r="G330" s="4"/>
      <c r="H330" s="7"/>
      <c r="I330" s="42"/>
      <c r="J330" s="42"/>
      <c r="K330" s="42"/>
      <c r="L330" s="42"/>
      <c r="M330" s="42"/>
      <c r="N330" s="42"/>
      <c r="O330" s="42"/>
      <c r="P330" s="4"/>
      <c r="Q330" s="27" t="str">
        <f t="shared" si="8"/>
        <v/>
      </c>
      <c r="R330" s="28" t="str">
        <f t="shared" si="9"/>
        <v/>
      </c>
    </row>
    <row r="331" spans="2:18" ht="30" hidden="1" customHeight="1" x14ac:dyDescent="0.25">
      <c r="B331" s="17">
        <v>315</v>
      </c>
      <c r="C331" s="5" t="s">
        <v>400</v>
      </c>
      <c r="D331" s="5"/>
      <c r="E331" s="4"/>
      <c r="F331" s="4"/>
      <c r="G331" s="4"/>
      <c r="H331" s="7"/>
      <c r="I331" s="42"/>
      <c r="J331" s="42"/>
      <c r="K331" s="42"/>
      <c r="L331" s="42"/>
      <c r="M331" s="42"/>
      <c r="N331" s="42"/>
      <c r="O331" s="42"/>
      <c r="P331" s="4"/>
      <c r="Q331" s="27" t="str">
        <f t="shared" si="8"/>
        <v/>
      </c>
      <c r="R331" s="28" t="str">
        <f t="shared" si="9"/>
        <v/>
      </c>
    </row>
    <row r="332" spans="2:18" ht="30" hidden="1" customHeight="1" x14ac:dyDescent="0.25">
      <c r="B332" s="17">
        <v>316</v>
      </c>
      <c r="C332" s="5" t="s">
        <v>400</v>
      </c>
      <c r="D332" s="5"/>
      <c r="E332" s="4"/>
      <c r="F332" s="4"/>
      <c r="G332" s="4"/>
      <c r="H332" s="7"/>
      <c r="I332" s="42"/>
      <c r="J332" s="42"/>
      <c r="K332" s="42"/>
      <c r="L332" s="42"/>
      <c r="M332" s="42"/>
      <c r="N332" s="42"/>
      <c r="O332" s="42"/>
      <c r="P332" s="4"/>
      <c r="Q332" s="27" t="str">
        <f t="shared" si="8"/>
        <v/>
      </c>
      <c r="R332" s="28" t="str">
        <f t="shared" si="9"/>
        <v/>
      </c>
    </row>
    <row r="333" spans="2:18" ht="30" hidden="1" customHeight="1" x14ac:dyDescent="0.25">
      <c r="B333" s="17">
        <v>317</v>
      </c>
      <c r="C333" s="5" t="s">
        <v>400</v>
      </c>
      <c r="D333" s="5"/>
      <c r="E333" s="4"/>
      <c r="F333" s="4"/>
      <c r="G333" s="4"/>
      <c r="H333" s="7"/>
      <c r="I333" s="42"/>
      <c r="J333" s="42"/>
      <c r="K333" s="42"/>
      <c r="L333" s="42"/>
      <c r="M333" s="42"/>
      <c r="N333" s="42"/>
      <c r="O333" s="42"/>
      <c r="P333" s="4"/>
      <c r="Q333" s="27" t="str">
        <f t="shared" si="8"/>
        <v/>
      </c>
      <c r="R333" s="28" t="str">
        <f t="shared" si="9"/>
        <v/>
      </c>
    </row>
    <row r="334" spans="2:18" ht="30" hidden="1" customHeight="1" x14ac:dyDescent="0.25">
      <c r="B334" s="17">
        <v>318</v>
      </c>
      <c r="C334" s="5" t="s">
        <v>400</v>
      </c>
      <c r="D334" s="5"/>
      <c r="E334" s="4"/>
      <c r="F334" s="4"/>
      <c r="G334" s="4"/>
      <c r="H334" s="7"/>
      <c r="I334" s="42"/>
      <c r="J334" s="42"/>
      <c r="K334" s="42"/>
      <c r="L334" s="42"/>
      <c r="M334" s="42"/>
      <c r="N334" s="42"/>
      <c r="O334" s="42"/>
      <c r="P334" s="4"/>
      <c r="Q334" s="27" t="str">
        <f t="shared" si="8"/>
        <v/>
      </c>
      <c r="R334" s="28" t="str">
        <f t="shared" si="9"/>
        <v/>
      </c>
    </row>
    <row r="335" spans="2:18" ht="30" hidden="1" customHeight="1" x14ac:dyDescent="0.25">
      <c r="B335" s="17">
        <v>319</v>
      </c>
      <c r="C335" s="5" t="s">
        <v>400</v>
      </c>
      <c r="D335" s="5"/>
      <c r="E335" s="4"/>
      <c r="F335" s="4"/>
      <c r="G335" s="4"/>
      <c r="H335" s="7"/>
      <c r="I335" s="42"/>
      <c r="J335" s="42"/>
      <c r="K335" s="42"/>
      <c r="L335" s="42"/>
      <c r="M335" s="42"/>
      <c r="N335" s="42"/>
      <c r="O335" s="42"/>
      <c r="P335" s="4"/>
      <c r="Q335" s="27" t="str">
        <f t="shared" si="8"/>
        <v/>
      </c>
      <c r="R335" s="28" t="str">
        <f t="shared" si="9"/>
        <v/>
      </c>
    </row>
    <row r="336" spans="2:18" ht="30" hidden="1" customHeight="1" x14ac:dyDescent="0.25">
      <c r="B336" s="17">
        <v>320</v>
      </c>
      <c r="C336" s="5" t="s">
        <v>400</v>
      </c>
      <c r="D336" s="5"/>
      <c r="E336" s="4"/>
      <c r="F336" s="4"/>
      <c r="G336" s="4"/>
      <c r="H336" s="7"/>
      <c r="I336" s="42"/>
      <c r="J336" s="42"/>
      <c r="K336" s="42"/>
      <c r="L336" s="42"/>
      <c r="M336" s="42"/>
      <c r="N336" s="42"/>
      <c r="O336" s="42"/>
      <c r="P336" s="4"/>
      <c r="Q336" s="27" t="str">
        <f t="shared" si="8"/>
        <v/>
      </c>
      <c r="R336" s="28" t="str">
        <f t="shared" si="9"/>
        <v/>
      </c>
    </row>
    <row r="337" spans="2:18" ht="30" hidden="1" customHeight="1" x14ac:dyDescent="0.25">
      <c r="B337" s="17">
        <v>321</v>
      </c>
      <c r="C337" s="5" t="s">
        <v>370</v>
      </c>
      <c r="D337" s="5" t="s">
        <v>371</v>
      </c>
      <c r="E337" s="4" t="e" vm="247">
        <v>#VALUE!</v>
      </c>
      <c r="F337" s="4">
        <v>6000</v>
      </c>
      <c r="G337" s="4" t="s">
        <v>9</v>
      </c>
      <c r="H337" s="7">
        <v>0.192</v>
      </c>
      <c r="I337" s="42"/>
      <c r="J337" s="42"/>
      <c r="K337" s="42"/>
      <c r="L337" s="42"/>
      <c r="M337" s="42"/>
      <c r="N337" s="42"/>
      <c r="O337" s="42"/>
      <c r="P337" s="4"/>
      <c r="Q337" s="27">
        <f t="shared" ref="Q337:Q386" si="10">IFERROR(IF(OR(F337=0,H337=0),"",SUM(I337:O337)*F337*H337/1000),0)</f>
        <v>0</v>
      </c>
      <c r="R337" s="28">
        <f t="shared" si="9"/>
        <v>0</v>
      </c>
    </row>
    <row r="338" spans="2:18" ht="30" hidden="1" customHeight="1" x14ac:dyDescent="0.25">
      <c r="B338" s="17">
        <v>322</v>
      </c>
      <c r="C338" s="5" t="s">
        <v>400</v>
      </c>
      <c r="D338" s="5"/>
      <c r="E338" s="4"/>
      <c r="F338" s="4"/>
      <c r="G338" s="4"/>
      <c r="H338" s="7"/>
      <c r="I338" s="42"/>
      <c r="J338" s="42"/>
      <c r="K338" s="42"/>
      <c r="L338" s="42"/>
      <c r="M338" s="42"/>
      <c r="N338" s="42"/>
      <c r="O338" s="42"/>
      <c r="P338" s="4"/>
      <c r="Q338" s="27" t="str">
        <f t="shared" si="10"/>
        <v/>
      </c>
      <c r="R338" s="28" t="str">
        <f t="shared" ref="R338:R386" si="11">Q338</f>
        <v/>
      </c>
    </row>
    <row r="339" spans="2:18" ht="30" hidden="1" customHeight="1" x14ac:dyDescent="0.25">
      <c r="B339" s="17">
        <v>323</v>
      </c>
      <c r="C339" s="5" t="s">
        <v>400</v>
      </c>
      <c r="D339" s="5"/>
      <c r="E339" s="4"/>
      <c r="F339" s="4"/>
      <c r="G339" s="4"/>
      <c r="H339" s="7"/>
      <c r="I339" s="42"/>
      <c r="J339" s="42"/>
      <c r="K339" s="42"/>
      <c r="L339" s="42"/>
      <c r="M339" s="42"/>
      <c r="N339" s="42"/>
      <c r="O339" s="42"/>
      <c r="P339" s="4"/>
      <c r="Q339" s="27" t="str">
        <f t="shared" si="10"/>
        <v/>
      </c>
      <c r="R339" s="28" t="str">
        <f t="shared" si="11"/>
        <v/>
      </c>
    </row>
    <row r="340" spans="2:18" ht="30" hidden="1" customHeight="1" x14ac:dyDescent="0.25">
      <c r="B340" s="17">
        <v>324</v>
      </c>
      <c r="C340" s="5" t="s">
        <v>400</v>
      </c>
      <c r="D340" s="5"/>
      <c r="E340" s="4"/>
      <c r="F340" s="4"/>
      <c r="G340" s="4"/>
      <c r="H340" s="7"/>
      <c r="I340" s="42"/>
      <c r="J340" s="42"/>
      <c r="K340" s="42"/>
      <c r="L340" s="42"/>
      <c r="M340" s="42"/>
      <c r="N340" s="42"/>
      <c r="O340" s="42"/>
      <c r="P340" s="4"/>
      <c r="Q340" s="27" t="str">
        <f t="shared" si="10"/>
        <v/>
      </c>
      <c r="R340" s="28" t="str">
        <f t="shared" si="11"/>
        <v/>
      </c>
    </row>
    <row r="341" spans="2:18" ht="30" hidden="1" customHeight="1" x14ac:dyDescent="0.25">
      <c r="B341" s="17">
        <v>325</v>
      </c>
      <c r="C341" s="5" t="s">
        <v>322</v>
      </c>
      <c r="D341" s="5" t="s">
        <v>323</v>
      </c>
      <c r="E341" s="4" t="e" vm="248">
        <v>#VALUE!</v>
      </c>
      <c r="F341" s="4">
        <v>6000</v>
      </c>
      <c r="G341" s="4" t="s">
        <v>9</v>
      </c>
      <c r="H341" s="7">
        <v>0.17100000000000001</v>
      </c>
      <c r="I341" s="42"/>
      <c r="J341" s="42"/>
      <c r="K341" s="42"/>
      <c r="L341" s="42"/>
      <c r="M341" s="42"/>
      <c r="N341" s="42"/>
      <c r="O341" s="42"/>
      <c r="P341" s="4"/>
      <c r="Q341" s="27">
        <f t="shared" si="10"/>
        <v>0</v>
      </c>
      <c r="R341" s="28">
        <f t="shared" si="11"/>
        <v>0</v>
      </c>
    </row>
    <row r="342" spans="2:18" ht="30" hidden="1" customHeight="1" x14ac:dyDescent="0.25">
      <c r="B342" s="17">
        <v>326</v>
      </c>
      <c r="C342" s="5" t="s">
        <v>400</v>
      </c>
      <c r="D342" s="5"/>
      <c r="E342" s="4"/>
      <c r="F342" s="4"/>
      <c r="G342" s="4"/>
      <c r="H342" s="7"/>
      <c r="I342" s="42"/>
      <c r="J342" s="42"/>
      <c r="K342" s="42"/>
      <c r="L342" s="42"/>
      <c r="M342" s="42"/>
      <c r="N342" s="42"/>
      <c r="O342" s="42"/>
      <c r="P342" s="4"/>
      <c r="Q342" s="27" t="str">
        <f t="shared" si="10"/>
        <v/>
      </c>
      <c r="R342" s="28" t="str">
        <f t="shared" si="11"/>
        <v/>
      </c>
    </row>
    <row r="343" spans="2:18" ht="30" hidden="1" customHeight="1" x14ac:dyDescent="0.25">
      <c r="B343" s="17">
        <v>327</v>
      </c>
      <c r="C343" s="5" t="s">
        <v>400</v>
      </c>
      <c r="D343" s="5"/>
      <c r="E343" s="4"/>
      <c r="F343" s="4"/>
      <c r="G343" s="4"/>
      <c r="H343" s="7"/>
      <c r="I343" s="42"/>
      <c r="J343" s="42"/>
      <c r="K343" s="42"/>
      <c r="L343" s="42"/>
      <c r="M343" s="42"/>
      <c r="N343" s="42"/>
      <c r="O343" s="42"/>
      <c r="P343" s="4"/>
      <c r="Q343" s="27" t="str">
        <f t="shared" si="10"/>
        <v/>
      </c>
      <c r="R343" s="28" t="str">
        <f t="shared" si="11"/>
        <v/>
      </c>
    </row>
    <row r="344" spans="2:18" ht="30" hidden="1" customHeight="1" x14ac:dyDescent="0.25">
      <c r="B344" s="17">
        <v>328</v>
      </c>
      <c r="C344" s="5" t="s">
        <v>400</v>
      </c>
      <c r="D344" s="5"/>
      <c r="E344" s="4"/>
      <c r="F344" s="4"/>
      <c r="G344" s="4"/>
      <c r="H344" s="7"/>
      <c r="I344" s="42"/>
      <c r="J344" s="42"/>
      <c r="K344" s="42"/>
      <c r="L344" s="42"/>
      <c r="M344" s="42"/>
      <c r="N344" s="42"/>
      <c r="O344" s="42"/>
      <c r="P344" s="4"/>
      <c r="Q344" s="27" t="str">
        <f t="shared" si="10"/>
        <v/>
      </c>
      <c r="R344" s="28" t="str">
        <f t="shared" si="11"/>
        <v/>
      </c>
    </row>
    <row r="345" spans="2:18" ht="30" hidden="1" customHeight="1" x14ac:dyDescent="0.25">
      <c r="B345" s="17">
        <v>329</v>
      </c>
      <c r="C345" s="5" t="s">
        <v>400</v>
      </c>
      <c r="D345" s="5"/>
      <c r="E345" s="4"/>
      <c r="F345" s="4"/>
      <c r="G345" s="4"/>
      <c r="H345" s="7"/>
      <c r="I345" s="42"/>
      <c r="J345" s="42"/>
      <c r="K345" s="42"/>
      <c r="L345" s="42"/>
      <c r="M345" s="42"/>
      <c r="N345" s="42"/>
      <c r="O345" s="42"/>
      <c r="P345" s="4"/>
      <c r="Q345" s="27" t="str">
        <f t="shared" si="10"/>
        <v/>
      </c>
      <c r="R345" s="28" t="str">
        <f t="shared" si="11"/>
        <v/>
      </c>
    </row>
    <row r="346" spans="2:18" ht="30" hidden="1" customHeight="1" x14ac:dyDescent="0.25">
      <c r="B346" s="17">
        <v>330</v>
      </c>
      <c r="C346" s="5" t="s">
        <v>400</v>
      </c>
      <c r="D346" s="5"/>
      <c r="E346" s="4"/>
      <c r="F346" s="4"/>
      <c r="G346" s="4"/>
      <c r="H346" s="7"/>
      <c r="I346" s="42"/>
      <c r="J346" s="42"/>
      <c r="K346" s="42"/>
      <c r="L346" s="42"/>
      <c r="M346" s="42"/>
      <c r="N346" s="42"/>
      <c r="O346" s="42"/>
      <c r="P346" s="4"/>
      <c r="Q346" s="27" t="str">
        <f t="shared" si="10"/>
        <v/>
      </c>
      <c r="R346" s="28" t="str">
        <f t="shared" si="11"/>
        <v/>
      </c>
    </row>
    <row r="347" spans="2:18" ht="30" hidden="1" customHeight="1" x14ac:dyDescent="0.25">
      <c r="B347" s="17">
        <v>331</v>
      </c>
      <c r="C347" s="5" t="s">
        <v>400</v>
      </c>
      <c r="D347" s="5"/>
      <c r="E347" s="4"/>
      <c r="F347" s="4"/>
      <c r="G347" s="4"/>
      <c r="H347" s="7"/>
      <c r="I347" s="42"/>
      <c r="J347" s="42"/>
      <c r="K347" s="42"/>
      <c r="L347" s="42"/>
      <c r="M347" s="42"/>
      <c r="N347" s="42"/>
      <c r="O347" s="42"/>
      <c r="P347" s="4"/>
      <c r="Q347" s="27" t="str">
        <f t="shared" si="10"/>
        <v/>
      </c>
      <c r="R347" s="28" t="str">
        <f t="shared" si="11"/>
        <v/>
      </c>
    </row>
    <row r="348" spans="2:18" ht="30" hidden="1" customHeight="1" x14ac:dyDescent="0.25">
      <c r="B348" s="17">
        <v>332</v>
      </c>
      <c r="C348" s="5" t="s">
        <v>400</v>
      </c>
      <c r="D348" s="5"/>
      <c r="E348" s="4"/>
      <c r="F348" s="4"/>
      <c r="G348" s="4"/>
      <c r="H348" s="7"/>
      <c r="I348" s="42"/>
      <c r="J348" s="42"/>
      <c r="K348" s="42"/>
      <c r="L348" s="42"/>
      <c r="M348" s="42"/>
      <c r="N348" s="42"/>
      <c r="O348" s="42"/>
      <c r="P348" s="4"/>
      <c r="Q348" s="27" t="str">
        <f t="shared" si="10"/>
        <v/>
      </c>
      <c r="R348" s="28" t="str">
        <f t="shared" si="11"/>
        <v/>
      </c>
    </row>
    <row r="349" spans="2:18" ht="30" hidden="1" customHeight="1" x14ac:dyDescent="0.25">
      <c r="B349" s="17">
        <v>333</v>
      </c>
      <c r="C349" s="5" t="s">
        <v>400</v>
      </c>
      <c r="D349" s="5"/>
      <c r="E349" s="4"/>
      <c r="F349" s="4"/>
      <c r="G349" s="4"/>
      <c r="H349" s="7"/>
      <c r="I349" s="42"/>
      <c r="J349" s="42"/>
      <c r="K349" s="42"/>
      <c r="L349" s="42"/>
      <c r="M349" s="42"/>
      <c r="N349" s="42"/>
      <c r="O349" s="42"/>
      <c r="P349" s="4"/>
      <c r="Q349" s="27" t="str">
        <f t="shared" si="10"/>
        <v/>
      </c>
      <c r="R349" s="28" t="str">
        <f t="shared" si="11"/>
        <v/>
      </c>
    </row>
    <row r="350" spans="2:18" ht="30" hidden="1" customHeight="1" x14ac:dyDescent="0.25">
      <c r="B350" s="17">
        <v>334</v>
      </c>
      <c r="C350" s="5" t="s">
        <v>400</v>
      </c>
      <c r="D350" s="5"/>
      <c r="E350" s="4"/>
      <c r="F350" s="6"/>
      <c r="G350" s="4"/>
      <c r="H350" s="7"/>
      <c r="I350" s="42"/>
      <c r="J350" s="42"/>
      <c r="K350" s="42"/>
      <c r="L350" s="42"/>
      <c r="M350" s="42"/>
      <c r="N350" s="42"/>
      <c r="O350" s="42"/>
      <c r="P350" s="4"/>
      <c r="Q350" s="27" t="str">
        <f t="shared" si="10"/>
        <v/>
      </c>
      <c r="R350" s="28" t="str">
        <f t="shared" si="11"/>
        <v/>
      </c>
    </row>
    <row r="351" spans="2:18" ht="30" hidden="1" customHeight="1" x14ac:dyDescent="0.25">
      <c r="B351" s="17">
        <v>335</v>
      </c>
      <c r="C351" s="5" t="s">
        <v>400</v>
      </c>
      <c r="D351" s="5"/>
      <c r="E351" s="4"/>
      <c r="F351" s="6"/>
      <c r="G351" s="4"/>
      <c r="H351" s="7"/>
      <c r="I351" s="42"/>
      <c r="J351" s="42"/>
      <c r="K351" s="42"/>
      <c r="L351" s="42"/>
      <c r="M351" s="42"/>
      <c r="N351" s="42"/>
      <c r="O351" s="42"/>
      <c r="P351" s="4"/>
      <c r="Q351" s="27" t="str">
        <f t="shared" si="10"/>
        <v/>
      </c>
      <c r="R351" s="28" t="str">
        <f t="shared" si="11"/>
        <v/>
      </c>
    </row>
    <row r="352" spans="2:18" ht="30" hidden="1" customHeight="1" x14ac:dyDescent="0.25">
      <c r="B352" s="17">
        <v>336</v>
      </c>
      <c r="C352" s="5" t="s">
        <v>400</v>
      </c>
      <c r="D352" s="5"/>
      <c r="E352" s="4"/>
      <c r="F352" s="6"/>
      <c r="G352" s="4"/>
      <c r="H352" s="7"/>
      <c r="I352" s="42"/>
      <c r="J352" s="42"/>
      <c r="K352" s="42"/>
      <c r="L352" s="42"/>
      <c r="M352" s="42"/>
      <c r="N352" s="42"/>
      <c r="O352" s="42"/>
      <c r="P352" s="4"/>
      <c r="Q352" s="27" t="str">
        <f t="shared" si="10"/>
        <v/>
      </c>
      <c r="R352" s="28" t="str">
        <f t="shared" si="11"/>
        <v/>
      </c>
    </row>
    <row r="353" spans="2:18" ht="30" hidden="1" customHeight="1" x14ac:dyDescent="0.25">
      <c r="B353" s="17">
        <v>337</v>
      </c>
      <c r="C353" s="5" t="s">
        <v>400</v>
      </c>
      <c r="D353" s="5"/>
      <c r="E353" s="4"/>
      <c r="F353" s="6"/>
      <c r="G353" s="4"/>
      <c r="H353" s="7"/>
      <c r="I353" s="42"/>
      <c r="J353" s="42"/>
      <c r="K353" s="42"/>
      <c r="L353" s="42"/>
      <c r="M353" s="42"/>
      <c r="N353" s="42"/>
      <c r="O353" s="42"/>
      <c r="P353" s="4"/>
      <c r="Q353" s="27" t="str">
        <f t="shared" si="10"/>
        <v/>
      </c>
      <c r="R353" s="28" t="str">
        <f t="shared" si="11"/>
        <v/>
      </c>
    </row>
    <row r="354" spans="2:18" ht="30" hidden="1" customHeight="1" x14ac:dyDescent="0.25">
      <c r="B354" s="17">
        <v>338</v>
      </c>
      <c r="C354" s="5" t="s">
        <v>400</v>
      </c>
      <c r="D354" s="5"/>
      <c r="E354" s="4"/>
      <c r="F354" s="6"/>
      <c r="G354" s="4"/>
      <c r="H354" s="7"/>
      <c r="I354" s="42"/>
      <c r="J354" s="42"/>
      <c r="K354" s="42"/>
      <c r="L354" s="42"/>
      <c r="M354" s="42"/>
      <c r="N354" s="42"/>
      <c r="O354" s="42"/>
      <c r="P354" s="4"/>
      <c r="Q354" s="27" t="str">
        <f t="shared" si="10"/>
        <v/>
      </c>
      <c r="R354" s="28" t="str">
        <f t="shared" si="11"/>
        <v/>
      </c>
    </row>
    <row r="355" spans="2:18" ht="30" hidden="1" customHeight="1" x14ac:dyDescent="0.25">
      <c r="B355" s="17">
        <v>339</v>
      </c>
      <c r="C355" s="5" t="s">
        <v>400</v>
      </c>
      <c r="D355" s="5"/>
      <c r="E355" s="4"/>
      <c r="F355" s="6"/>
      <c r="G355" s="4"/>
      <c r="H355" s="7"/>
      <c r="I355" s="42"/>
      <c r="J355" s="42"/>
      <c r="K355" s="42"/>
      <c r="L355" s="42"/>
      <c r="M355" s="42"/>
      <c r="N355" s="42"/>
      <c r="O355" s="42"/>
      <c r="P355" s="4"/>
      <c r="Q355" s="27" t="str">
        <f t="shared" si="10"/>
        <v/>
      </c>
      <c r="R355" s="28" t="str">
        <f t="shared" si="11"/>
        <v/>
      </c>
    </row>
    <row r="356" spans="2:18" ht="30" hidden="1" customHeight="1" x14ac:dyDescent="0.25">
      <c r="B356" s="17">
        <v>340</v>
      </c>
      <c r="C356" s="5" t="s">
        <v>400</v>
      </c>
      <c r="D356" s="5"/>
      <c r="E356" s="4"/>
      <c r="F356" s="6"/>
      <c r="G356" s="4"/>
      <c r="H356" s="7"/>
      <c r="I356" s="42"/>
      <c r="J356" s="42"/>
      <c r="K356" s="42"/>
      <c r="L356" s="42"/>
      <c r="M356" s="42"/>
      <c r="N356" s="42"/>
      <c r="O356" s="42"/>
      <c r="P356" s="4"/>
      <c r="Q356" s="27" t="str">
        <f t="shared" si="10"/>
        <v/>
      </c>
      <c r="R356" s="28" t="str">
        <f t="shared" si="11"/>
        <v/>
      </c>
    </row>
    <row r="357" spans="2:18" ht="30" hidden="1" customHeight="1" x14ac:dyDescent="0.25">
      <c r="B357" s="17">
        <v>341</v>
      </c>
      <c r="C357" s="5" t="s">
        <v>400</v>
      </c>
      <c r="D357" s="5"/>
      <c r="E357" s="4"/>
      <c r="F357" s="6"/>
      <c r="G357" s="4"/>
      <c r="H357" s="7"/>
      <c r="I357" s="42"/>
      <c r="J357" s="42"/>
      <c r="K357" s="42"/>
      <c r="L357" s="42"/>
      <c r="M357" s="42"/>
      <c r="N357" s="42"/>
      <c r="O357" s="42"/>
      <c r="P357" s="4"/>
      <c r="Q357" s="27" t="str">
        <f t="shared" si="10"/>
        <v/>
      </c>
      <c r="R357" s="28" t="str">
        <f t="shared" si="11"/>
        <v/>
      </c>
    </row>
    <row r="358" spans="2:18" ht="30" hidden="1" customHeight="1" x14ac:dyDescent="0.25">
      <c r="B358" s="17">
        <v>342</v>
      </c>
      <c r="C358" s="5" t="s">
        <v>400</v>
      </c>
      <c r="D358" s="5"/>
      <c r="E358" s="4"/>
      <c r="F358" s="6"/>
      <c r="G358" s="4"/>
      <c r="H358" s="7"/>
      <c r="I358" s="42"/>
      <c r="J358" s="42"/>
      <c r="K358" s="42"/>
      <c r="L358" s="42"/>
      <c r="M358" s="42"/>
      <c r="N358" s="42"/>
      <c r="O358" s="42"/>
      <c r="P358" s="4"/>
      <c r="Q358" s="27" t="str">
        <f t="shared" si="10"/>
        <v/>
      </c>
      <c r="R358" s="28" t="str">
        <f t="shared" si="11"/>
        <v/>
      </c>
    </row>
    <row r="359" spans="2:18" ht="30" hidden="1" customHeight="1" x14ac:dyDescent="0.25">
      <c r="B359" s="17">
        <v>343</v>
      </c>
      <c r="C359" s="5" t="s">
        <v>400</v>
      </c>
      <c r="D359" s="5"/>
      <c r="E359" s="4"/>
      <c r="F359" s="6"/>
      <c r="G359" s="4"/>
      <c r="H359" s="7"/>
      <c r="I359" s="42"/>
      <c r="J359" s="42"/>
      <c r="K359" s="42"/>
      <c r="L359" s="42"/>
      <c r="M359" s="42"/>
      <c r="N359" s="42"/>
      <c r="O359" s="42"/>
      <c r="P359" s="4"/>
      <c r="Q359" s="27" t="str">
        <f t="shared" si="10"/>
        <v/>
      </c>
      <c r="R359" s="28" t="str">
        <f t="shared" si="11"/>
        <v/>
      </c>
    </row>
    <row r="360" spans="2:18" ht="30" hidden="1" customHeight="1" x14ac:dyDescent="0.25">
      <c r="B360" s="17">
        <v>344</v>
      </c>
      <c r="C360" s="5" t="s">
        <v>400</v>
      </c>
      <c r="D360" s="5"/>
      <c r="E360" s="4"/>
      <c r="F360" s="6"/>
      <c r="G360" s="4"/>
      <c r="H360" s="7"/>
      <c r="I360" s="42"/>
      <c r="J360" s="42"/>
      <c r="K360" s="42"/>
      <c r="L360" s="42"/>
      <c r="M360" s="42"/>
      <c r="N360" s="42"/>
      <c r="O360" s="42"/>
      <c r="P360" s="4"/>
      <c r="Q360" s="27" t="str">
        <f t="shared" si="10"/>
        <v/>
      </c>
      <c r="R360" s="28" t="str">
        <f t="shared" si="11"/>
        <v/>
      </c>
    </row>
    <row r="361" spans="2:18" ht="30" hidden="1" customHeight="1" x14ac:dyDescent="0.25">
      <c r="B361" s="17">
        <v>345</v>
      </c>
      <c r="C361" s="5" t="s">
        <v>400</v>
      </c>
      <c r="D361" s="5"/>
      <c r="E361" s="4"/>
      <c r="F361" s="6"/>
      <c r="G361" s="4"/>
      <c r="H361" s="7"/>
      <c r="I361" s="42"/>
      <c r="J361" s="42"/>
      <c r="K361" s="42"/>
      <c r="L361" s="42"/>
      <c r="M361" s="42"/>
      <c r="N361" s="42"/>
      <c r="O361" s="42"/>
      <c r="P361" s="4"/>
      <c r="Q361" s="27" t="str">
        <f t="shared" si="10"/>
        <v/>
      </c>
      <c r="R361" s="28" t="str">
        <f t="shared" si="11"/>
        <v/>
      </c>
    </row>
    <row r="362" spans="2:18" ht="30" hidden="1" customHeight="1" x14ac:dyDescent="0.25">
      <c r="B362" s="17">
        <v>346</v>
      </c>
      <c r="C362" s="5" t="s">
        <v>400</v>
      </c>
      <c r="D362" s="5"/>
      <c r="E362" s="4"/>
      <c r="F362" s="6"/>
      <c r="G362" s="4"/>
      <c r="H362" s="7"/>
      <c r="I362" s="42"/>
      <c r="J362" s="42"/>
      <c r="K362" s="42"/>
      <c r="L362" s="42"/>
      <c r="M362" s="42"/>
      <c r="N362" s="42"/>
      <c r="O362" s="42"/>
      <c r="P362" s="4"/>
      <c r="Q362" s="27" t="str">
        <f t="shared" si="10"/>
        <v/>
      </c>
      <c r="R362" s="28" t="str">
        <f t="shared" si="11"/>
        <v/>
      </c>
    </row>
    <row r="363" spans="2:18" ht="30" hidden="1" customHeight="1" x14ac:dyDescent="0.25">
      <c r="B363" s="17">
        <v>347</v>
      </c>
      <c r="C363" s="5" t="s">
        <v>400</v>
      </c>
      <c r="D363" s="5"/>
      <c r="E363" s="4"/>
      <c r="F363" s="6"/>
      <c r="G363" s="4"/>
      <c r="H363" s="7"/>
      <c r="I363" s="42"/>
      <c r="J363" s="42"/>
      <c r="K363" s="42"/>
      <c r="L363" s="42"/>
      <c r="M363" s="42"/>
      <c r="N363" s="42"/>
      <c r="O363" s="42"/>
      <c r="P363" s="4"/>
      <c r="Q363" s="27" t="str">
        <f t="shared" si="10"/>
        <v/>
      </c>
      <c r="R363" s="28" t="str">
        <f t="shared" si="11"/>
        <v/>
      </c>
    </row>
    <row r="364" spans="2:18" ht="30" hidden="1" customHeight="1" x14ac:dyDescent="0.25">
      <c r="B364" s="17">
        <v>348</v>
      </c>
      <c r="C364" s="5" t="s">
        <v>400</v>
      </c>
      <c r="D364" s="5"/>
      <c r="E364" s="4"/>
      <c r="F364" s="6"/>
      <c r="G364" s="4"/>
      <c r="H364" s="7"/>
      <c r="I364" s="42"/>
      <c r="J364" s="42"/>
      <c r="K364" s="42"/>
      <c r="L364" s="42"/>
      <c r="M364" s="42"/>
      <c r="N364" s="42"/>
      <c r="O364" s="42"/>
      <c r="P364" s="4"/>
      <c r="Q364" s="27" t="str">
        <f t="shared" si="10"/>
        <v/>
      </c>
      <c r="R364" s="28" t="str">
        <f t="shared" si="11"/>
        <v/>
      </c>
    </row>
    <row r="365" spans="2:18" ht="30" hidden="1" customHeight="1" x14ac:dyDescent="0.25">
      <c r="B365" s="17">
        <v>349</v>
      </c>
      <c r="C365" s="5" t="s">
        <v>400</v>
      </c>
      <c r="D365" s="5"/>
      <c r="E365" s="4"/>
      <c r="F365" s="6"/>
      <c r="G365" s="4"/>
      <c r="H365" s="7"/>
      <c r="I365" s="42"/>
      <c r="J365" s="42"/>
      <c r="K365" s="42"/>
      <c r="L365" s="42"/>
      <c r="M365" s="42"/>
      <c r="N365" s="42"/>
      <c r="O365" s="42"/>
      <c r="P365" s="4"/>
      <c r="Q365" s="27" t="str">
        <f t="shared" si="10"/>
        <v/>
      </c>
      <c r="R365" s="28" t="str">
        <f t="shared" si="11"/>
        <v/>
      </c>
    </row>
    <row r="366" spans="2:18" ht="30" hidden="1" customHeight="1" x14ac:dyDescent="0.25">
      <c r="B366" s="17">
        <v>350</v>
      </c>
      <c r="C366" s="5" t="s">
        <v>400</v>
      </c>
      <c r="D366" s="5"/>
      <c r="E366" s="4"/>
      <c r="F366" s="6"/>
      <c r="G366" s="4"/>
      <c r="H366" s="7"/>
      <c r="I366" s="42"/>
      <c r="J366" s="42"/>
      <c r="K366" s="42"/>
      <c r="L366" s="42"/>
      <c r="M366" s="42"/>
      <c r="N366" s="42"/>
      <c r="O366" s="42"/>
      <c r="P366" s="4"/>
      <c r="Q366" s="27" t="str">
        <f t="shared" si="10"/>
        <v/>
      </c>
      <c r="R366" s="28" t="str">
        <f t="shared" si="11"/>
        <v/>
      </c>
    </row>
    <row r="367" spans="2:18" ht="30" hidden="1" customHeight="1" x14ac:dyDescent="0.25">
      <c r="B367" s="17">
        <v>351</v>
      </c>
      <c r="C367" s="5" t="s">
        <v>400</v>
      </c>
      <c r="D367" s="5"/>
      <c r="E367" s="4"/>
      <c r="F367" s="6"/>
      <c r="G367" s="4"/>
      <c r="H367" s="7"/>
      <c r="I367" s="42"/>
      <c r="J367" s="42"/>
      <c r="K367" s="42"/>
      <c r="L367" s="42"/>
      <c r="M367" s="42"/>
      <c r="N367" s="42"/>
      <c r="O367" s="42"/>
      <c r="P367" s="4"/>
      <c r="Q367" s="27" t="str">
        <f t="shared" si="10"/>
        <v/>
      </c>
      <c r="R367" s="28" t="str">
        <f t="shared" si="11"/>
        <v/>
      </c>
    </row>
    <row r="368" spans="2:18" ht="30" hidden="1" customHeight="1" x14ac:dyDescent="0.25">
      <c r="B368" s="17">
        <v>352</v>
      </c>
      <c r="C368" s="5" t="s">
        <v>400</v>
      </c>
      <c r="D368" s="5"/>
      <c r="E368" s="4"/>
      <c r="F368" s="6"/>
      <c r="G368" s="4"/>
      <c r="H368" s="7"/>
      <c r="I368" s="42"/>
      <c r="J368" s="42"/>
      <c r="K368" s="42"/>
      <c r="L368" s="42"/>
      <c r="M368" s="42"/>
      <c r="N368" s="42"/>
      <c r="O368" s="42"/>
      <c r="P368" s="4"/>
      <c r="Q368" s="27" t="str">
        <f t="shared" si="10"/>
        <v/>
      </c>
      <c r="R368" s="28" t="str">
        <f t="shared" si="11"/>
        <v/>
      </c>
    </row>
    <row r="369" spans="2:18" ht="30" hidden="1" customHeight="1" x14ac:dyDescent="0.25">
      <c r="B369" s="17">
        <v>353</v>
      </c>
      <c r="C369" s="5" t="s">
        <v>400</v>
      </c>
      <c r="D369" s="5"/>
      <c r="E369" s="4"/>
      <c r="F369" s="6"/>
      <c r="G369" s="4"/>
      <c r="H369" s="7"/>
      <c r="I369" s="42"/>
      <c r="J369" s="42"/>
      <c r="K369" s="42"/>
      <c r="L369" s="42"/>
      <c r="M369" s="42"/>
      <c r="N369" s="42"/>
      <c r="O369" s="42"/>
      <c r="P369" s="4"/>
      <c r="Q369" s="27" t="str">
        <f t="shared" si="10"/>
        <v/>
      </c>
      <c r="R369" s="28" t="str">
        <f t="shared" si="11"/>
        <v/>
      </c>
    </row>
    <row r="370" spans="2:18" ht="30" hidden="1" customHeight="1" x14ac:dyDescent="0.25">
      <c r="B370" s="17">
        <v>354</v>
      </c>
      <c r="C370" s="5" t="s">
        <v>400</v>
      </c>
      <c r="D370" s="5"/>
      <c r="E370" s="4"/>
      <c r="F370" s="6"/>
      <c r="G370" s="4"/>
      <c r="H370" s="7"/>
      <c r="I370" s="42"/>
      <c r="J370" s="42"/>
      <c r="K370" s="42"/>
      <c r="L370" s="42"/>
      <c r="M370" s="42"/>
      <c r="N370" s="42"/>
      <c r="O370" s="42"/>
      <c r="P370" s="4"/>
      <c r="Q370" s="27" t="str">
        <f t="shared" si="10"/>
        <v/>
      </c>
      <c r="R370" s="28" t="str">
        <f t="shared" si="11"/>
        <v/>
      </c>
    </row>
    <row r="371" spans="2:18" ht="30" hidden="1" customHeight="1" x14ac:dyDescent="0.25">
      <c r="B371" s="17">
        <v>355</v>
      </c>
      <c r="C371" s="5" t="s">
        <v>400</v>
      </c>
      <c r="D371" s="5"/>
      <c r="E371" s="4"/>
      <c r="F371" s="6"/>
      <c r="G371" s="4"/>
      <c r="H371" s="7"/>
      <c r="I371" s="42"/>
      <c r="J371" s="42"/>
      <c r="K371" s="42"/>
      <c r="L371" s="42"/>
      <c r="M371" s="42"/>
      <c r="N371" s="42"/>
      <c r="O371" s="42"/>
      <c r="P371" s="4"/>
      <c r="Q371" s="27" t="str">
        <f t="shared" si="10"/>
        <v/>
      </c>
      <c r="R371" s="28" t="str">
        <f t="shared" si="11"/>
        <v/>
      </c>
    </row>
    <row r="372" spans="2:18" ht="30" hidden="1" customHeight="1" x14ac:dyDescent="0.25">
      <c r="B372" s="17">
        <v>356</v>
      </c>
      <c r="C372" s="5" t="s">
        <v>400</v>
      </c>
      <c r="D372" s="5"/>
      <c r="E372" s="4"/>
      <c r="F372" s="6"/>
      <c r="G372" s="4"/>
      <c r="H372" s="7"/>
      <c r="I372" s="42"/>
      <c r="J372" s="42"/>
      <c r="K372" s="42"/>
      <c r="L372" s="42"/>
      <c r="M372" s="42"/>
      <c r="N372" s="42"/>
      <c r="O372" s="42"/>
      <c r="P372" s="4"/>
      <c r="Q372" s="27" t="str">
        <f t="shared" si="10"/>
        <v/>
      </c>
      <c r="R372" s="28" t="str">
        <f t="shared" si="11"/>
        <v/>
      </c>
    </row>
    <row r="373" spans="2:18" ht="30" hidden="1" customHeight="1" x14ac:dyDescent="0.25">
      <c r="B373" s="17">
        <v>357</v>
      </c>
      <c r="C373" s="5" t="s">
        <v>400</v>
      </c>
      <c r="D373" s="5"/>
      <c r="E373" s="4"/>
      <c r="F373" s="6"/>
      <c r="G373" s="4"/>
      <c r="H373" s="7"/>
      <c r="I373" s="42"/>
      <c r="J373" s="42"/>
      <c r="K373" s="42"/>
      <c r="L373" s="42"/>
      <c r="M373" s="42"/>
      <c r="N373" s="42"/>
      <c r="O373" s="42"/>
      <c r="P373" s="4"/>
      <c r="Q373" s="27" t="str">
        <f t="shared" si="10"/>
        <v/>
      </c>
      <c r="R373" s="28" t="str">
        <f t="shared" si="11"/>
        <v/>
      </c>
    </row>
    <row r="374" spans="2:18" ht="30" hidden="1" customHeight="1" x14ac:dyDescent="0.25">
      <c r="B374" s="17">
        <v>358</v>
      </c>
      <c r="C374" s="5" t="s">
        <v>400</v>
      </c>
      <c r="D374" s="5"/>
      <c r="E374" s="4"/>
      <c r="F374" s="6"/>
      <c r="G374" s="4"/>
      <c r="H374" s="7"/>
      <c r="I374" s="42"/>
      <c r="J374" s="42"/>
      <c r="K374" s="42"/>
      <c r="L374" s="42"/>
      <c r="M374" s="42"/>
      <c r="N374" s="42"/>
      <c r="O374" s="42"/>
      <c r="P374" s="4"/>
      <c r="Q374" s="27" t="str">
        <f t="shared" si="10"/>
        <v/>
      </c>
      <c r="R374" s="28" t="str">
        <f t="shared" si="11"/>
        <v/>
      </c>
    </row>
    <row r="375" spans="2:18" ht="30" hidden="1" customHeight="1" x14ac:dyDescent="0.25">
      <c r="B375" s="17">
        <v>359</v>
      </c>
      <c r="C375" s="5" t="s">
        <v>400</v>
      </c>
      <c r="D375" s="5"/>
      <c r="E375" s="4"/>
      <c r="F375" s="6"/>
      <c r="G375" s="4"/>
      <c r="H375" s="7"/>
      <c r="I375" s="42"/>
      <c r="J375" s="42"/>
      <c r="K375" s="42"/>
      <c r="L375" s="42"/>
      <c r="M375" s="42"/>
      <c r="N375" s="42"/>
      <c r="O375" s="42"/>
      <c r="P375" s="4"/>
      <c r="Q375" s="27" t="str">
        <f t="shared" si="10"/>
        <v/>
      </c>
      <c r="R375" s="28" t="str">
        <f t="shared" si="11"/>
        <v/>
      </c>
    </row>
    <row r="376" spans="2:18" ht="30" hidden="1" customHeight="1" x14ac:dyDescent="0.25">
      <c r="B376" s="17">
        <v>360</v>
      </c>
      <c r="C376" s="5" t="s">
        <v>400</v>
      </c>
      <c r="D376" s="5"/>
      <c r="E376" s="4"/>
      <c r="F376" s="6"/>
      <c r="G376" s="4"/>
      <c r="H376" s="7"/>
      <c r="I376" s="42"/>
      <c r="J376" s="42"/>
      <c r="K376" s="42"/>
      <c r="L376" s="42"/>
      <c r="M376" s="42"/>
      <c r="N376" s="42"/>
      <c r="O376" s="42"/>
      <c r="P376" s="4"/>
      <c r="Q376" s="27" t="str">
        <f t="shared" si="10"/>
        <v/>
      </c>
      <c r="R376" s="28" t="str">
        <f t="shared" si="11"/>
        <v/>
      </c>
    </row>
    <row r="377" spans="2:18" ht="30" hidden="1" customHeight="1" x14ac:dyDescent="0.25">
      <c r="B377" s="17">
        <v>361</v>
      </c>
      <c r="C377" s="5" t="s">
        <v>400</v>
      </c>
      <c r="D377" s="5"/>
      <c r="E377" s="4"/>
      <c r="F377" s="6"/>
      <c r="G377" s="4"/>
      <c r="H377" s="7"/>
      <c r="I377" s="42"/>
      <c r="J377" s="42"/>
      <c r="K377" s="42"/>
      <c r="L377" s="42"/>
      <c r="M377" s="42"/>
      <c r="N377" s="42"/>
      <c r="O377" s="42"/>
      <c r="P377" s="4"/>
      <c r="Q377" s="27" t="str">
        <f t="shared" si="10"/>
        <v/>
      </c>
      <c r="R377" s="28" t="str">
        <f t="shared" si="11"/>
        <v/>
      </c>
    </row>
    <row r="378" spans="2:18" ht="30" hidden="1" customHeight="1" x14ac:dyDescent="0.25">
      <c r="B378" s="17">
        <v>362</v>
      </c>
      <c r="C378" s="5" t="s">
        <v>400</v>
      </c>
      <c r="D378" s="5"/>
      <c r="E378" s="4"/>
      <c r="F378" s="6"/>
      <c r="G378" s="4"/>
      <c r="H378" s="7"/>
      <c r="I378" s="42"/>
      <c r="J378" s="42"/>
      <c r="K378" s="42"/>
      <c r="L378" s="42"/>
      <c r="M378" s="42"/>
      <c r="N378" s="42"/>
      <c r="O378" s="42"/>
      <c r="P378" s="4"/>
      <c r="Q378" s="27" t="str">
        <f t="shared" si="10"/>
        <v/>
      </c>
      <c r="R378" s="28" t="str">
        <f t="shared" si="11"/>
        <v/>
      </c>
    </row>
    <row r="379" spans="2:18" ht="30" hidden="1" customHeight="1" x14ac:dyDescent="0.25">
      <c r="B379" s="17">
        <v>363</v>
      </c>
      <c r="C379" s="5" t="s">
        <v>400</v>
      </c>
      <c r="D379" s="5"/>
      <c r="E379" s="4"/>
      <c r="F379" s="6"/>
      <c r="G379" s="4"/>
      <c r="H379" s="7"/>
      <c r="I379" s="42"/>
      <c r="J379" s="42"/>
      <c r="K379" s="42"/>
      <c r="L379" s="42"/>
      <c r="M379" s="42"/>
      <c r="N379" s="42"/>
      <c r="O379" s="42"/>
      <c r="P379" s="4"/>
      <c r="Q379" s="27" t="str">
        <f t="shared" si="10"/>
        <v/>
      </c>
      <c r="R379" s="28" t="str">
        <f t="shared" si="11"/>
        <v/>
      </c>
    </row>
    <row r="380" spans="2:18" ht="30" hidden="1" customHeight="1" x14ac:dyDescent="0.25">
      <c r="B380" s="17">
        <v>364</v>
      </c>
      <c r="C380" s="5" t="s">
        <v>400</v>
      </c>
      <c r="D380" s="5"/>
      <c r="E380" s="4"/>
      <c r="F380" s="6"/>
      <c r="G380" s="4"/>
      <c r="H380" s="7"/>
      <c r="I380" s="42"/>
      <c r="J380" s="42"/>
      <c r="K380" s="42"/>
      <c r="L380" s="42"/>
      <c r="M380" s="42"/>
      <c r="N380" s="42"/>
      <c r="O380" s="42"/>
      <c r="P380" s="4"/>
      <c r="Q380" s="27" t="str">
        <f t="shared" si="10"/>
        <v/>
      </c>
      <c r="R380" s="28" t="str">
        <f t="shared" si="11"/>
        <v/>
      </c>
    </row>
    <row r="381" spans="2:18" ht="30" hidden="1" customHeight="1" x14ac:dyDescent="0.25">
      <c r="B381" s="17">
        <v>365</v>
      </c>
      <c r="C381" s="5" t="s">
        <v>400</v>
      </c>
      <c r="D381" s="5"/>
      <c r="E381" s="4"/>
      <c r="F381" s="6"/>
      <c r="G381" s="4"/>
      <c r="H381" s="7"/>
      <c r="I381" s="42"/>
      <c r="J381" s="42"/>
      <c r="K381" s="42"/>
      <c r="L381" s="42"/>
      <c r="M381" s="42"/>
      <c r="N381" s="42"/>
      <c r="O381" s="42"/>
      <c r="P381" s="4"/>
      <c r="Q381" s="27" t="str">
        <f t="shared" si="10"/>
        <v/>
      </c>
      <c r="R381" s="28" t="str">
        <f t="shared" si="11"/>
        <v/>
      </c>
    </row>
    <row r="382" spans="2:18" ht="30" hidden="1" customHeight="1" x14ac:dyDescent="0.25">
      <c r="B382" s="17">
        <v>366</v>
      </c>
      <c r="C382" s="5" t="s">
        <v>400</v>
      </c>
      <c r="D382" s="5"/>
      <c r="E382" s="4"/>
      <c r="F382" s="6"/>
      <c r="G382" s="4"/>
      <c r="H382" s="7"/>
      <c r="I382" s="42"/>
      <c r="J382" s="42"/>
      <c r="K382" s="42"/>
      <c r="L382" s="42"/>
      <c r="M382" s="42"/>
      <c r="N382" s="42"/>
      <c r="O382" s="42"/>
      <c r="P382" s="4"/>
      <c r="Q382" s="27" t="str">
        <f t="shared" si="10"/>
        <v/>
      </c>
      <c r="R382" s="28" t="str">
        <f t="shared" si="11"/>
        <v/>
      </c>
    </row>
    <row r="383" spans="2:18" ht="30" hidden="1" customHeight="1" x14ac:dyDescent="0.25">
      <c r="B383" s="17">
        <v>367</v>
      </c>
      <c r="C383" s="5" t="s">
        <v>400</v>
      </c>
      <c r="D383" s="5"/>
      <c r="E383" s="4"/>
      <c r="F383" s="6"/>
      <c r="G383" s="4"/>
      <c r="H383" s="7"/>
      <c r="I383" s="42"/>
      <c r="J383" s="42"/>
      <c r="K383" s="42"/>
      <c r="L383" s="42"/>
      <c r="M383" s="42"/>
      <c r="N383" s="42"/>
      <c r="O383" s="42"/>
      <c r="P383" s="4"/>
      <c r="Q383" s="27" t="str">
        <f t="shared" si="10"/>
        <v/>
      </c>
      <c r="R383" s="28" t="str">
        <f t="shared" si="11"/>
        <v/>
      </c>
    </row>
    <row r="384" spans="2:18" ht="30" hidden="1" customHeight="1" x14ac:dyDescent="0.25">
      <c r="B384" s="17">
        <v>368</v>
      </c>
      <c r="C384" s="5" t="s">
        <v>400</v>
      </c>
      <c r="D384" s="5"/>
      <c r="E384" s="4"/>
      <c r="F384" s="6"/>
      <c r="G384" s="4"/>
      <c r="H384" s="7"/>
      <c r="I384" s="42"/>
      <c r="J384" s="42"/>
      <c r="K384" s="42"/>
      <c r="L384" s="42"/>
      <c r="M384" s="42"/>
      <c r="N384" s="42"/>
      <c r="O384" s="42"/>
      <c r="P384" s="4"/>
      <c r="Q384" s="27" t="str">
        <f t="shared" si="10"/>
        <v/>
      </c>
      <c r="R384" s="28" t="str">
        <f t="shared" si="11"/>
        <v/>
      </c>
    </row>
    <row r="385" spans="2:18" ht="30" hidden="1" customHeight="1" x14ac:dyDescent="0.25">
      <c r="B385" s="17">
        <v>369</v>
      </c>
      <c r="C385" s="5" t="s">
        <v>400</v>
      </c>
      <c r="D385" s="5"/>
      <c r="E385" s="4"/>
      <c r="F385" s="6"/>
      <c r="G385" s="4"/>
      <c r="H385" s="7"/>
      <c r="I385" s="42"/>
      <c r="J385" s="42"/>
      <c r="K385" s="42"/>
      <c r="L385" s="42"/>
      <c r="M385" s="42"/>
      <c r="N385" s="42"/>
      <c r="O385" s="42"/>
      <c r="P385" s="4"/>
      <c r="Q385" s="27" t="str">
        <f t="shared" si="10"/>
        <v/>
      </c>
      <c r="R385" s="28" t="str">
        <f t="shared" si="11"/>
        <v/>
      </c>
    </row>
    <row r="386" spans="2:18" ht="30" hidden="1" customHeight="1" x14ac:dyDescent="0.25">
      <c r="B386" s="17">
        <v>370</v>
      </c>
      <c r="C386" s="5" t="s">
        <v>400</v>
      </c>
      <c r="D386" s="5"/>
      <c r="E386" s="4"/>
      <c r="F386" s="6"/>
      <c r="G386" s="4"/>
      <c r="H386" s="7"/>
      <c r="I386" s="42"/>
      <c r="J386" s="42"/>
      <c r="K386" s="42"/>
      <c r="L386" s="42"/>
      <c r="M386" s="42"/>
      <c r="N386" s="42"/>
      <c r="O386" s="42"/>
      <c r="P386" s="4"/>
      <c r="Q386" s="27" t="str">
        <f t="shared" si="10"/>
        <v/>
      </c>
      <c r="R386" s="28" t="str">
        <f t="shared" si="11"/>
        <v/>
      </c>
    </row>
    <row r="387" spans="2:18" ht="30" customHeight="1" x14ac:dyDescent="0.25">
      <c r="C387" s="45" t="s">
        <v>373</v>
      </c>
      <c r="H387" s="22" t="s">
        <v>324</v>
      </c>
      <c r="I387" s="23">
        <f>SUBTOTAL(9,I17:I386)</f>
        <v>0</v>
      </c>
      <c r="J387" s="23">
        <f>SUBTOTAL(9,J17:J386)</f>
        <v>4610</v>
      </c>
      <c r="K387" s="23">
        <f t="shared" ref="K387:P387" si="12">SUBTOTAL(9,K17:K386)</f>
        <v>21590</v>
      </c>
      <c r="L387" s="23">
        <f t="shared" si="12"/>
        <v>0</v>
      </c>
      <c r="M387" s="23">
        <f t="shared" si="12"/>
        <v>3350</v>
      </c>
      <c r="N387" s="23">
        <f t="shared" si="12"/>
        <v>0</v>
      </c>
      <c r="O387" s="23">
        <f t="shared" si="12"/>
        <v>0</v>
      </c>
      <c r="P387" s="23">
        <f t="shared" si="12"/>
        <v>0</v>
      </c>
      <c r="Q387" s="8">
        <f>SUM($R:$R)</f>
        <v>55835.819999999985</v>
      </c>
    </row>
    <row r="388" spans="2:18" ht="7.5" customHeight="1" x14ac:dyDescent="0.25"/>
    <row r="389" spans="2:18" ht="30" customHeight="1" x14ac:dyDescent="0.25"/>
    <row r="390" spans="2:18" ht="30" customHeight="1" x14ac:dyDescent="0.25"/>
    <row r="391" spans="2:18" ht="30" customHeight="1" x14ac:dyDescent="0.25"/>
    <row r="392" spans="2:18" ht="30" customHeight="1" x14ac:dyDescent="0.25"/>
    <row r="393" spans="2:18" ht="30" customHeight="1" x14ac:dyDescent="0.25"/>
    <row r="394" spans="2:18" ht="30" customHeight="1" x14ac:dyDescent="0.25"/>
    <row r="395" spans="2:18" ht="30" customHeight="1" x14ac:dyDescent="0.25"/>
  </sheetData>
  <sheetProtection sort="0" autoFilter="0"/>
  <autoFilter ref="B16:Q386" xr:uid="{416F08CB-B7DF-4FF2-B021-D22CC8BE1CC1}">
    <filterColumn colId="15">
      <filters>
        <filter val="1.118,400"/>
        <filter val="1.302,000"/>
        <filter val="1.397,640"/>
        <filter val="1.474,200"/>
        <filter val="1.584,000"/>
        <filter val="1.773,360"/>
        <filter val="121,800"/>
        <filter val="126,720"/>
        <filter val="148,320"/>
        <filter val="166,500"/>
        <filter val="180,000"/>
        <filter val="185,400"/>
        <filter val="195,600"/>
        <filter val="202,800"/>
        <filter val="225,600"/>
        <filter val="243,840"/>
        <filter val="257,400"/>
        <filter val="3.286,800"/>
        <filter val="3.312,000"/>
        <filter val="3.775,200"/>
        <filter val="307,320"/>
        <filter val="324,000"/>
        <filter val="414,000"/>
        <filter val="416,700"/>
        <filter val="429,300"/>
        <filter val="439,200"/>
        <filter val="456,960"/>
        <filter val="5.979,600"/>
        <filter val="525,000"/>
        <filter val="575,640"/>
        <filter val="585,600"/>
        <filter val="588,000"/>
        <filter val="65,400"/>
        <filter val="705,600"/>
        <filter val="770,400"/>
        <filter val="774,000"/>
        <filter val="8.170,800"/>
        <filter val="8.500,800"/>
        <filter val="81,900"/>
        <filter val="83,040"/>
        <filter val="866,700"/>
        <filter val="874,800"/>
        <filter val="924,480"/>
        <filter val="930,000"/>
        <filter val="969,000"/>
      </filters>
    </filterColumn>
  </autoFilter>
  <mergeCells count="25">
    <mergeCell ref="E15:H15"/>
    <mergeCell ref="P9:Q9"/>
    <mergeCell ref="B11:Q11"/>
    <mergeCell ref="M5:O5"/>
    <mergeCell ref="B8:B9"/>
    <mergeCell ref="G8:H8"/>
    <mergeCell ref="G9:H9"/>
    <mergeCell ref="E8:F8"/>
    <mergeCell ref="E9:F9"/>
    <mergeCell ref="I6:O7"/>
    <mergeCell ref="B15:D15"/>
    <mergeCell ref="E5:F5"/>
    <mergeCell ref="I15:O15"/>
    <mergeCell ref="P15:Q15"/>
    <mergeCell ref="L2:M2"/>
    <mergeCell ref="C2:G2"/>
    <mergeCell ref="E3:G3"/>
    <mergeCell ref="I2:K2"/>
    <mergeCell ref="N2:Q2"/>
    <mergeCell ref="I3:Q3"/>
    <mergeCell ref="C4:F4"/>
    <mergeCell ref="H4:K4"/>
    <mergeCell ref="M4:Q4"/>
    <mergeCell ref="H5:K5"/>
    <mergeCell ref="P8:Q8"/>
  </mergeCells>
  <phoneticPr fontId="10" type="noConversion"/>
  <conditionalFormatting sqref="B11:Q11">
    <cfRule type="cellIs" dxfId="2" priority="1" operator="equal">
      <formula>"Seu pedido esta OK"</formula>
    </cfRule>
    <cfRule type="cellIs" dxfId="1" priority="2" operator="equal">
      <formula>"Preencha seu pedido"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1D32DBB-3135-494F-88B4-BC2502414465}">
          <x14:formula1>
            <xm:f>Catalogue!$A:$A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DB6A-5ABD-4573-9A3A-62312B5EE13D}">
  <sheetPr filterMode="1">
    <tabColor rgb="FFFF0000"/>
  </sheetPr>
  <dimension ref="A1:N2544"/>
  <sheetViews>
    <sheetView showGridLines="0" zoomScale="85" zoomScaleNormal="85" workbookViewId="0">
      <pane ySplit="5" topLeftCell="A2559" activePane="bottomLeft" state="frozen"/>
      <selection pane="bottomLeft" activeCell="B5" sqref="B5:L1605"/>
    </sheetView>
  </sheetViews>
  <sheetFormatPr defaultColWidth="0" defaultRowHeight="15" x14ac:dyDescent="0.25"/>
  <cols>
    <col min="1" max="1" width="1.42578125" style="2" customWidth="1"/>
    <col min="2" max="2" width="7.140625" style="2" customWidth="1"/>
    <col min="3" max="3" width="68.5703125" style="2" customWidth="1"/>
    <col min="4" max="4" width="16.5703125" style="2" customWidth="1"/>
    <col min="5" max="5" width="9.5703125" style="2" customWidth="1"/>
    <col min="6" max="6" width="11" style="2" customWidth="1"/>
    <col min="7" max="9" width="12.85546875" style="2" customWidth="1"/>
    <col min="10" max="10" width="28.5703125" style="2" customWidth="1"/>
    <col min="11" max="11" width="10" style="2" customWidth="1"/>
    <col min="12" max="12" width="16.42578125" style="2" customWidth="1"/>
    <col min="13" max="13" width="1.42578125" style="2" customWidth="1"/>
    <col min="14" max="14" width="0" style="2" hidden="1" customWidth="1"/>
    <col min="15" max="16384" width="9.140625" style="2" hidden="1"/>
  </cols>
  <sheetData>
    <row r="1" spans="2:12" ht="7.5" customHeight="1" x14ac:dyDescent="0.25"/>
    <row r="2" spans="2:12" ht="11.25" customHeight="1" x14ac:dyDescent="0.25">
      <c r="B2" s="76" t="e" vm="1">
        <v>#VALUE!</v>
      </c>
      <c r="C2" s="80" t="s">
        <v>325</v>
      </c>
      <c r="D2" s="81"/>
      <c r="E2" s="82" t="s">
        <v>326</v>
      </c>
      <c r="F2" s="83"/>
      <c r="G2" s="84"/>
      <c r="H2" s="83" t="s">
        <v>327</v>
      </c>
      <c r="I2" s="84"/>
      <c r="J2" s="52" t="s">
        <v>328</v>
      </c>
      <c r="K2" s="53"/>
      <c r="L2" s="33" t="s">
        <v>329</v>
      </c>
    </row>
    <row r="3" spans="2:12" ht="26.25" customHeight="1" x14ac:dyDescent="0.25">
      <c r="B3" s="77"/>
      <c r="C3" s="78" t="str">
        <f>IF(Order!C9="","",Order!C9)</f>
        <v/>
      </c>
      <c r="D3" s="79"/>
      <c r="E3" s="85">
        <f>Order!G9</f>
        <v>0.25387896156983109</v>
      </c>
      <c r="F3" s="86"/>
      <c r="G3" s="79"/>
      <c r="H3" s="87">
        <f>SUM(I6:I2544)</f>
        <v>29550</v>
      </c>
      <c r="I3" s="88"/>
      <c r="J3" s="69">
        <f>Order!E9</f>
        <v>0</v>
      </c>
      <c r="K3" s="70"/>
      <c r="L3" s="37">
        <f>SUM(L6:L30544)</f>
        <v>55835.820000000014</v>
      </c>
    </row>
    <row r="4" spans="2:12" ht="7.5" customHeight="1" x14ac:dyDescent="0.25"/>
    <row r="5" spans="2:12" s="34" customFormat="1" ht="30" x14ac:dyDescent="0.25">
      <c r="B5" s="35" t="s">
        <v>7</v>
      </c>
      <c r="C5" s="35" t="s">
        <v>330</v>
      </c>
      <c r="D5" s="35" t="s">
        <v>331</v>
      </c>
      <c r="E5" s="35" t="s">
        <v>332</v>
      </c>
      <c r="F5" s="35" t="s">
        <v>333</v>
      </c>
      <c r="G5" s="35" t="s">
        <v>334</v>
      </c>
      <c r="H5" s="35" t="s">
        <v>335</v>
      </c>
      <c r="I5" s="35" t="s">
        <v>336</v>
      </c>
      <c r="J5" s="35" t="s">
        <v>337</v>
      </c>
      <c r="K5" s="35" t="s">
        <v>338</v>
      </c>
      <c r="L5" s="35" t="s">
        <v>339</v>
      </c>
    </row>
    <row r="6" spans="2:12" s="1" customFormat="1" ht="23.25" hidden="1" customHeight="1" x14ac:dyDescent="0.25">
      <c r="B6" s="4">
        <v>1</v>
      </c>
      <c r="C6" s="36" t="str">
        <f>IF(Order!$C$17="","",Order!$C$17)</f>
        <v>BC 1/2X1/8 (Flat bar 1/2 X 1/8" )</v>
      </c>
      <c r="D6" s="36" t="str">
        <f>IF($C6="","",_xlfn.XLOOKUP($C6,Order!$C:$C,Order!$D:$D,"",0,1))</f>
        <v>BC1/2X1/8</v>
      </c>
      <c r="E6" s="4" t="e" vm="249">
        <f>IF($C6="","",_xlfn.XLOOKUP($C6,Order!$C:$C,Order!$E:$E,"",0,1))</f>
        <v>#VALUE!</v>
      </c>
      <c r="F6" s="4">
        <f>IF($C6="","",_xlfn.XLOOKUP($C6,Order!$C:$C,Order!$F:$F,"",0,1))</f>
        <v>6000</v>
      </c>
      <c r="G6" s="4" t="str">
        <f>IF($C6="","",_xlfn.XLOOKUP($C6,Order!$C:$C,Order!$G:$G,"",0,1))</f>
        <v>6063T5</v>
      </c>
      <c r="H6" s="4">
        <f>IF($C6="","",_xlfn.XLOOKUP($C6,Order!$C:$C,Order!$H:$H,"",0,1))</f>
        <v>0.11</v>
      </c>
      <c r="I6" s="36">
        <f>IF($C6="","",_xlfn.XLOOKUP($C6,Order!$C:$C,Order!$I:$I,"",0,1))</f>
        <v>0</v>
      </c>
      <c r="J6" s="4" t="str">
        <f>IF(C6="","",Order!$I$16)</f>
        <v>MILL FINISH</v>
      </c>
      <c r="K6" s="36">
        <f>IF($C6="","",_xlfn.XLOOKUP($C6,Order!$C:$C,Order!$P:$P,"",0,1))</f>
        <v>0</v>
      </c>
      <c r="L6" s="4">
        <f>IF(C6="","",F6/1000*H6*I6)</f>
        <v>0</v>
      </c>
    </row>
    <row r="7" spans="2:12" s="1" customFormat="1" ht="23.25" hidden="1" customHeight="1" x14ac:dyDescent="0.25">
      <c r="B7" s="4">
        <v>2</v>
      </c>
      <c r="C7" s="36" t="str">
        <f>IF(Order!$C$18="","",Order!$C$18)</f>
        <v>BC 1X1/8 (Flat bar 1 X 1/8")</v>
      </c>
      <c r="D7" s="36" t="str">
        <f>IF($C7="","",_xlfn.XLOOKUP($C7,Order!$C:$C,Order!$D:$D,"",0,1))</f>
        <v>BC1X1/8</v>
      </c>
      <c r="E7" s="4" t="e" vm="250">
        <f>IF($C7="","",_xlfn.XLOOKUP($C7,Order!$C:$C,Order!$E:$E,"",0,1))</f>
        <v>#VALUE!</v>
      </c>
      <c r="F7" s="4">
        <f>IF($C7="","",_xlfn.XLOOKUP($C7,Order!$C:$C,Order!$F:$F,"",0,1))</f>
        <v>6000</v>
      </c>
      <c r="G7" s="4" t="str">
        <f>IF($C7="","",_xlfn.XLOOKUP($C7,Order!$C:$C,Order!$G:$G,"",0,1))</f>
        <v>6063T5</v>
      </c>
      <c r="H7" s="4">
        <f>IF($C7="","",_xlfn.XLOOKUP($C7,Order!$C:$C,Order!$H:$H,"",0,1))</f>
        <v>0.221</v>
      </c>
      <c r="I7" s="36">
        <f>IF($C7="","",_xlfn.XLOOKUP($C7,Order!$C:$C,Order!$I:$I,"",0,1))</f>
        <v>0</v>
      </c>
      <c r="J7" s="4" t="str">
        <f>IF(C7="","",Order!$I$16)</f>
        <v>MILL FINISH</v>
      </c>
      <c r="K7" s="36">
        <f>IF($C7="","",_xlfn.XLOOKUP($C7,Order!$C:$C,Order!$P:$P,"",0,1))</f>
        <v>0</v>
      </c>
      <c r="L7" s="4">
        <f t="shared" ref="L7:L70" si="0">IF(C7="","",F7/1000*H7*I7)</f>
        <v>0</v>
      </c>
    </row>
    <row r="8" spans="2:12" ht="23.25" hidden="1" customHeight="1" x14ac:dyDescent="0.25">
      <c r="B8" s="4">
        <v>3</v>
      </c>
      <c r="C8" s="36" t="str">
        <f>IF(Order!$C$19="","",Order!$C$19)</f>
        <v>TR3/8 (Round tube 3/8" with 0.80 mm tickness)</v>
      </c>
      <c r="D8" s="36" t="str">
        <f>IF($C8="","",_xlfn.XLOOKUP($C8,Order!$C:$C,Order!$D:$D,"",0,1))</f>
        <v>TR3/8</v>
      </c>
      <c r="E8" s="4" t="e" vm="251">
        <f>IF($C8="","",_xlfn.XLOOKUP($C8,Order!$C:$C,Order!$E:$E,"",0,1))</f>
        <v>#VALUE!</v>
      </c>
      <c r="F8" s="4">
        <f>IF($C8="","",_xlfn.XLOOKUP($C8,Order!$C:$C,Order!$F:$F,"",0,1))</f>
        <v>6000</v>
      </c>
      <c r="G8" s="4" t="str">
        <f>IF($C8="","",_xlfn.XLOOKUP($C8,Order!$C:$C,Order!$G:$G,"",0,1))</f>
        <v>6063T5</v>
      </c>
      <c r="H8" s="4">
        <f>IF($C8="","",_xlfn.XLOOKUP($C8,Order!$C:$C,Order!$H:$H,"",0,1))</f>
        <v>0.06</v>
      </c>
      <c r="I8" s="36">
        <f>IF($C8="","",_xlfn.XLOOKUP($C8,Order!$C:$C,Order!$I:$I,"",0,1))</f>
        <v>0</v>
      </c>
      <c r="J8" s="4" t="str">
        <f>IF(C8="","",Order!$I$16)</f>
        <v>MILL FINISH</v>
      </c>
      <c r="K8" s="36">
        <f>IF($C8="","",_xlfn.XLOOKUP($C8,Order!$C:$C,Order!$P:$P,"",0,1))</f>
        <v>0</v>
      </c>
      <c r="L8" s="4">
        <f t="shared" si="0"/>
        <v>0</v>
      </c>
    </row>
    <row r="9" spans="2:12" ht="23.25" hidden="1" customHeight="1" x14ac:dyDescent="0.25">
      <c r="B9" s="4">
        <v>4</v>
      </c>
      <c r="C9" s="36" t="str">
        <f>IF(Order!$C$20="","",Order!$C$20)</f>
        <v>TR1/2 (Round tube 1/2 with 0.90 mm tickness)</v>
      </c>
      <c r="D9" s="36" t="str">
        <f>IF($C9="","",_xlfn.XLOOKUP($C9,Order!$C:$C,Order!$D:$D,"",0,1))</f>
        <v>TR12</v>
      </c>
      <c r="E9" s="4" t="e" vm="251">
        <f>IF($C9="","",_xlfn.XLOOKUP($C9,Order!$C:$C,Order!$E:$E,"",0,1))</f>
        <v>#VALUE!</v>
      </c>
      <c r="F9" s="4">
        <f>IF($C9="","",_xlfn.XLOOKUP($C9,Order!$C:$C,Order!$F:$F,"",0,1))</f>
        <v>6000</v>
      </c>
      <c r="G9" s="4" t="str">
        <f>IF($C9="","",_xlfn.XLOOKUP($C9,Order!$C:$C,Order!$G:$G,"",0,1))</f>
        <v>6063T5</v>
      </c>
      <c r="H9" s="4">
        <f>IF($C9="","",_xlfn.XLOOKUP($C9,Order!$C:$C,Order!$H:$H,"",0,1))</f>
        <v>9.0999999999999998E-2</v>
      </c>
      <c r="I9" s="36">
        <f>IF($C9="","",_xlfn.XLOOKUP($C9,Order!$C:$C,Order!$I:$I,"",0,1))</f>
        <v>0</v>
      </c>
      <c r="J9" s="4" t="str">
        <f>IF(C9="","",Order!$I$16)</f>
        <v>MILL FINISH</v>
      </c>
      <c r="K9" s="36">
        <f>IF($C9="","",_xlfn.XLOOKUP($C9,Order!$C:$C,Order!$P:$P,"",0,1))</f>
        <v>0</v>
      </c>
      <c r="L9" s="4">
        <f t="shared" si="0"/>
        <v>0</v>
      </c>
    </row>
    <row r="10" spans="2:12" ht="23.25" hidden="1" customHeight="1" x14ac:dyDescent="0.25">
      <c r="B10" s="4">
        <v>5</v>
      </c>
      <c r="C10" s="36" t="str">
        <f>IF(Order!$C$21="","",Order!$C$21)</f>
        <v>TR 5/8 (Round tube 5/8" with 0.80 mm thickness)</v>
      </c>
      <c r="D10" s="36" t="str">
        <f>IF($C10="","",_xlfn.XLOOKUP($C10,Order!$C:$C,Order!$D:$D,"",0,1))</f>
        <v>TR58</v>
      </c>
      <c r="E10" s="4" t="e" vm="251">
        <f>IF($C10="","",_xlfn.XLOOKUP($C10,Order!$C:$C,Order!$E:$E,"",0,1))</f>
        <v>#VALUE!</v>
      </c>
      <c r="F10" s="4">
        <f>IF($C10="","",_xlfn.XLOOKUP($C10,Order!$C:$C,Order!$F:$F,"",0,1))</f>
        <v>6000</v>
      </c>
      <c r="G10" s="4" t="str">
        <f>IF($C10="","",_xlfn.XLOOKUP($C10,Order!$C:$C,Order!$G:$G,"",0,1))</f>
        <v>6063T5</v>
      </c>
      <c r="H10" s="4">
        <f>IF($C10="","",_xlfn.XLOOKUP($C10,Order!$C:$C,Order!$H:$H,"",0,1))</f>
        <v>0.10299999999999999</v>
      </c>
      <c r="I10" s="36">
        <f>IF($C10="","",_xlfn.XLOOKUP($C10,Order!$C:$C,Order!$I:$I,"",0,1))</f>
        <v>0</v>
      </c>
      <c r="J10" s="4" t="str">
        <f>IF(C10="","",Order!$I$16)</f>
        <v>MILL FINISH</v>
      </c>
      <c r="K10" s="36">
        <f>IF($C10="","",_xlfn.XLOOKUP($C10,Order!$C:$C,Order!$P:$P,"",0,1))</f>
        <v>0</v>
      </c>
      <c r="L10" s="4">
        <f t="shared" si="0"/>
        <v>0</v>
      </c>
    </row>
    <row r="11" spans="2:12" ht="23.25" hidden="1" customHeight="1" x14ac:dyDescent="0.25">
      <c r="B11" s="4">
        <v>6</v>
      </c>
      <c r="C11" s="36" t="str">
        <f>IF(Order!$C$22="","",Order!$C$22)</f>
        <v>TR3/4A (Round tube 3/4" with 0.80 mm thickness)</v>
      </c>
      <c r="D11" s="36" t="str">
        <f>IF($C11="","",_xlfn.XLOOKUP($C11,Order!$C:$C,Order!$D:$D,"",0,1))</f>
        <v>TR34A</v>
      </c>
      <c r="E11" s="4" t="e" vm="251">
        <f>IF($C11="","",_xlfn.XLOOKUP($C11,Order!$C:$C,Order!$E:$E,"",0,1))</f>
        <v>#VALUE!</v>
      </c>
      <c r="F11" s="4">
        <f>IF($C11="","",_xlfn.XLOOKUP($C11,Order!$C:$C,Order!$F:$F,"",0,1))</f>
        <v>6000</v>
      </c>
      <c r="G11" s="4" t="str">
        <f>IF($C11="","",_xlfn.XLOOKUP($C11,Order!$C:$C,Order!$G:$G,"",0,1))</f>
        <v>6063T5</v>
      </c>
      <c r="H11" s="4">
        <f>IF($C11="","",_xlfn.XLOOKUP($C11,Order!$C:$C,Order!$H:$H,"",0,1))</f>
        <v>0.125</v>
      </c>
      <c r="I11" s="36">
        <f>IF($C11="","",_xlfn.XLOOKUP($C11,Order!$C:$C,Order!$I:$I,"",0,1))</f>
        <v>0</v>
      </c>
      <c r="J11" s="4" t="str">
        <f>IF(C11="","",Order!$I$16)</f>
        <v>MILL FINISH</v>
      </c>
      <c r="K11" s="36">
        <f>IF($C11="","",_xlfn.XLOOKUP($C11,Order!$C:$C,Order!$P:$P,"",0,1))</f>
        <v>0</v>
      </c>
      <c r="L11" s="4">
        <f t="shared" si="0"/>
        <v>0</v>
      </c>
    </row>
    <row r="12" spans="2:12" ht="23.25" hidden="1" customHeight="1" x14ac:dyDescent="0.25">
      <c r="B12" s="4">
        <v>7</v>
      </c>
      <c r="C12" s="36" t="str">
        <f>IF(Order!$C$23="","",Order!$C$23)</f>
        <v>TR7/8 (Round tube 7/8" with 0.90 mm thickness)</v>
      </c>
      <c r="D12" s="36" t="str">
        <f>IF($C12="","",_xlfn.XLOOKUP($C12,Order!$C:$C,Order!$D:$D,"",0,1))</f>
        <v>TR7/8</v>
      </c>
      <c r="E12" s="4" t="e" vm="251">
        <f>IF($C12="","",_xlfn.XLOOKUP($C12,Order!$C:$C,Order!$E:$E,"",0,1))</f>
        <v>#VALUE!</v>
      </c>
      <c r="F12" s="4">
        <f>IF($C12="","",_xlfn.XLOOKUP($C12,Order!$C:$C,Order!$F:$F,"",0,1))</f>
        <v>6000</v>
      </c>
      <c r="G12" s="4" t="str">
        <f>IF($C12="","",_xlfn.XLOOKUP($C12,Order!$C:$C,Order!$G:$G,"",0,1))</f>
        <v>6063T5</v>
      </c>
      <c r="H12" s="4">
        <f>IF($C12="","",_xlfn.XLOOKUP($C12,Order!$C:$C,Order!$H:$H,"",0,1))</f>
        <v>0.16400000000000001</v>
      </c>
      <c r="I12" s="36">
        <f>IF($C12="","",_xlfn.XLOOKUP($C12,Order!$C:$C,Order!$I:$I,"",0,1))</f>
        <v>0</v>
      </c>
      <c r="J12" s="4" t="str">
        <f>IF(C12="","",Order!$I$16)</f>
        <v>MILL FINISH</v>
      </c>
      <c r="K12" s="36">
        <f>IF($C12="","",_xlfn.XLOOKUP($C12,Order!$C:$C,Order!$P:$P,"",0,1))</f>
        <v>0</v>
      </c>
      <c r="L12" s="4">
        <f t="shared" si="0"/>
        <v>0</v>
      </c>
    </row>
    <row r="13" spans="2:12" ht="23.25" hidden="1" customHeight="1" x14ac:dyDescent="0.25">
      <c r="B13" s="4">
        <v>8</v>
      </c>
      <c r="C13" s="36" t="str">
        <f>IF(Order!$C$24="","",Order!$C$24)</f>
        <v>TR24.8 (Round tube 24.8 mm with 0.90 mm thickness)</v>
      </c>
      <c r="D13" s="36" t="str">
        <f>IF($C13="","",_xlfn.XLOOKUP($C13,Order!$C:$C,Order!$D:$D,"",0,1))</f>
        <v>TR24.8</v>
      </c>
      <c r="E13" s="4" t="e" vm="251">
        <f>IF($C13="","",_xlfn.XLOOKUP($C13,Order!$C:$C,Order!$E:$E,"",0,1))</f>
        <v>#VALUE!</v>
      </c>
      <c r="F13" s="4">
        <f>IF($C13="","",_xlfn.XLOOKUP($C13,Order!$C:$C,Order!$F:$F,"",0,1))</f>
        <v>6000</v>
      </c>
      <c r="G13" s="4" t="str">
        <f>IF($C13="","",_xlfn.XLOOKUP($C13,Order!$C:$C,Order!$G:$G,"",0,1))</f>
        <v>6063T5</v>
      </c>
      <c r="H13" s="4">
        <f>IF($C13="","",_xlfn.XLOOKUP($C13,Order!$C:$C,Order!$H:$H,"",0,1))</f>
        <v>0</v>
      </c>
      <c r="I13" s="36">
        <f>IF($C13="","",_xlfn.XLOOKUP($C13,Order!$C:$C,Order!$I:$I,"",0,1))</f>
        <v>0</v>
      </c>
      <c r="J13" s="4" t="str">
        <f>IF(C13="","",Order!$I$16)</f>
        <v>MILL FINISH</v>
      </c>
      <c r="K13" s="36">
        <f>IF($C13="","",_xlfn.XLOOKUP($C13,Order!$C:$C,Order!$P:$P,"",0,1))</f>
        <v>0</v>
      </c>
      <c r="L13" s="4">
        <f t="shared" si="0"/>
        <v>0</v>
      </c>
    </row>
    <row r="14" spans="2:12" ht="23.25" hidden="1" customHeight="1" x14ac:dyDescent="0.25">
      <c r="B14" s="4">
        <v>9</v>
      </c>
      <c r="C14" s="36" t="str">
        <f>IF(Order!$C$25="","",Order!$C$25)</f>
        <v>TR1 (Round tube 1" with 0.80 mm thickness)</v>
      </c>
      <c r="D14" s="36" t="str">
        <f>IF($C14="","",_xlfn.XLOOKUP($C14,Order!$C:$C,Order!$D:$D,"",0,1))</f>
        <v>TR1</v>
      </c>
      <c r="E14" s="4" t="e" vm="251">
        <f>IF($C14="","",_xlfn.XLOOKUP($C14,Order!$C:$C,Order!$E:$E,"",0,1))</f>
        <v>#VALUE!</v>
      </c>
      <c r="F14" s="4">
        <f>IF($C14="","",_xlfn.XLOOKUP($C14,Order!$C:$C,Order!$F:$F,"",0,1))</f>
        <v>6000</v>
      </c>
      <c r="G14" s="4" t="str">
        <f>IF($C14="","",_xlfn.XLOOKUP($C14,Order!$C:$C,Order!$G:$G,"",0,1))</f>
        <v>6063T5</v>
      </c>
      <c r="H14" s="4">
        <f>IF($C14="","",_xlfn.XLOOKUP($C14,Order!$C:$C,Order!$H:$H,"",0,1))</f>
        <v>0.16900000000000001</v>
      </c>
      <c r="I14" s="36">
        <f>IF($C14="","",_xlfn.XLOOKUP($C14,Order!$C:$C,Order!$I:$I,"",0,1))</f>
        <v>0</v>
      </c>
      <c r="J14" s="4" t="str">
        <f>IF(C14="","",Order!$I$16)</f>
        <v>MILL FINISH</v>
      </c>
      <c r="K14" s="36">
        <f>IF($C14="","",_xlfn.XLOOKUP($C14,Order!$C:$C,Order!$P:$P,"",0,1))</f>
        <v>0</v>
      </c>
      <c r="L14" s="4">
        <f t="shared" si="0"/>
        <v>0</v>
      </c>
    </row>
    <row r="15" spans="2:12" ht="23.25" hidden="1" customHeight="1" x14ac:dyDescent="0.25">
      <c r="B15" s="4">
        <v>10</v>
      </c>
      <c r="C15" s="36" t="str">
        <f>IF(Order!$C$26="","",Order!$C$26)</f>
        <v>TR1x1.0 (Round tube 1" with 1.00 mm thickness)</v>
      </c>
      <c r="D15" s="36" t="str">
        <f>IF($C15="","",_xlfn.XLOOKUP($C15,Order!$C:$C,Order!$D:$D,"",0,1))</f>
        <v>TR1X1.0</v>
      </c>
      <c r="E15" s="4" t="e" vm="251">
        <f>IF($C15="","",_xlfn.XLOOKUP($C15,Order!$C:$C,Order!$E:$E,"",0,1))</f>
        <v>#VALUE!</v>
      </c>
      <c r="F15" s="4">
        <f>IF($C15="","",_xlfn.XLOOKUP($C15,Order!$C:$C,Order!$F:$F,"",0,1))</f>
        <v>6000</v>
      </c>
      <c r="G15" s="4" t="str">
        <f>IF($C15="","",_xlfn.XLOOKUP($C15,Order!$C:$C,Order!$G:$G,"",0,1))</f>
        <v>6063T5</v>
      </c>
      <c r="H15" s="4">
        <f>IF($C15="","",_xlfn.XLOOKUP($C15,Order!$C:$C,Order!$H:$H,"",0,1))</f>
        <v>0</v>
      </c>
      <c r="I15" s="36">
        <f>IF($C15="","",_xlfn.XLOOKUP($C15,Order!$C:$C,Order!$I:$I,"",0,1))</f>
        <v>0</v>
      </c>
      <c r="J15" s="4" t="str">
        <f>IF(C15="","",Order!$I$16)</f>
        <v>MILL FINISH</v>
      </c>
      <c r="K15" s="36">
        <f>IF($C15="","",_xlfn.XLOOKUP($C15,Order!$C:$C,Order!$P:$P,"",0,1))</f>
        <v>0</v>
      </c>
      <c r="L15" s="4">
        <f t="shared" si="0"/>
        <v>0</v>
      </c>
    </row>
    <row r="16" spans="2:12" ht="23.25" hidden="1" customHeight="1" x14ac:dyDescent="0.25">
      <c r="B16" s="4">
        <v>11</v>
      </c>
      <c r="C16" s="36" t="str">
        <f>IF(Order!$C$27="","",Order!$C$27)</f>
        <v>TR1.1/4 (Round tube  1.1/4" with 1.00 mm thickness)</v>
      </c>
      <c r="D16" s="36" t="str">
        <f>IF($C16="","",_xlfn.XLOOKUP($C16,Order!$C:$C,Order!$D:$D,"",0,1))</f>
        <v>TR1.1-4</v>
      </c>
      <c r="E16" s="4" t="e" vm="251">
        <f>IF($C16="","",_xlfn.XLOOKUP($C16,Order!$C:$C,Order!$E:$E,"",0,1))</f>
        <v>#VALUE!</v>
      </c>
      <c r="F16" s="4">
        <f>IF($C16="","",_xlfn.XLOOKUP($C16,Order!$C:$C,Order!$F:$F,"",0,1))</f>
        <v>6000</v>
      </c>
      <c r="G16" s="4" t="str">
        <f>IF($C16="","",_xlfn.XLOOKUP($C16,Order!$C:$C,Order!$G:$G,"",0,1))</f>
        <v>6063T5</v>
      </c>
      <c r="H16" s="4">
        <f>IF($C16="","",_xlfn.XLOOKUP($C16,Order!$C:$C,Order!$H:$H,"",0,1))</f>
        <v>0.26400000000000001</v>
      </c>
      <c r="I16" s="36">
        <f>IF($C16="","",_xlfn.XLOOKUP($C16,Order!$C:$C,Order!$I:$I,"",0,1))</f>
        <v>0</v>
      </c>
      <c r="J16" s="4" t="str">
        <f>IF(C16="","",Order!$I$16)</f>
        <v>MILL FINISH</v>
      </c>
      <c r="K16" s="36">
        <f>IF($C16="","",_xlfn.XLOOKUP($C16,Order!$C:$C,Order!$P:$P,"",0,1))</f>
        <v>0</v>
      </c>
      <c r="L16" s="4">
        <f t="shared" si="0"/>
        <v>0</v>
      </c>
    </row>
    <row r="17" spans="2:12" ht="23.25" hidden="1" customHeight="1" x14ac:dyDescent="0.25">
      <c r="B17" s="4">
        <v>12</v>
      </c>
      <c r="C17" s="36" t="str">
        <f>IF(Order!$C$28="","",Order!$C$28)</f>
        <v>TR1.1/2 (Round tube  1.1/2" with 1.00 mmthickness)</v>
      </c>
      <c r="D17" s="36" t="str">
        <f>IF($C17="","",_xlfn.XLOOKUP($C17,Order!$C:$C,Order!$D:$D,"",0,1))</f>
        <v>TR1.1/2</v>
      </c>
      <c r="E17" s="4" t="e" vm="251">
        <f>IF($C17="","",_xlfn.XLOOKUP($C17,Order!$C:$C,Order!$E:$E,"",0,1))</f>
        <v>#VALUE!</v>
      </c>
      <c r="F17" s="4">
        <f>IF($C17="","",_xlfn.XLOOKUP($C17,Order!$C:$C,Order!$F:$F,"",0,1))</f>
        <v>6000</v>
      </c>
      <c r="G17" s="4" t="str">
        <f>IF($C17="","",_xlfn.XLOOKUP($C17,Order!$C:$C,Order!$G:$G,"",0,1))</f>
        <v>6063T5</v>
      </c>
      <c r="H17" s="4">
        <f>IF($C17="","",_xlfn.XLOOKUP($C17,Order!$C:$C,Order!$H:$H,"",0,1))</f>
        <v>0.318</v>
      </c>
      <c r="I17" s="36">
        <f>IF($C17="","",_xlfn.XLOOKUP($C17,Order!$C:$C,Order!$I:$I,"",0,1))</f>
        <v>0</v>
      </c>
      <c r="J17" s="4" t="str">
        <f>IF(C17="","",Order!$I$16)</f>
        <v>MILL FINISH</v>
      </c>
      <c r="K17" s="36">
        <f>IF($C17="","",_xlfn.XLOOKUP($C17,Order!$C:$C,Order!$P:$P,"",0,1))</f>
        <v>0</v>
      </c>
      <c r="L17" s="4">
        <f t="shared" si="0"/>
        <v>0</v>
      </c>
    </row>
    <row r="18" spans="2:12" ht="23.25" hidden="1" customHeight="1" x14ac:dyDescent="0.25">
      <c r="B18" s="4">
        <v>13</v>
      </c>
      <c r="C18" s="36" t="str">
        <f>IF(Order!$C$29="","",Order!$C$29)</f>
        <v>TR2A (Round tube 2" with 0.95 mm thickness)</v>
      </c>
      <c r="D18" s="36" t="str">
        <f>IF($C18="","",_xlfn.XLOOKUP($C18,Order!$C:$C,Order!$D:$D,"",0,1))</f>
        <v>TR2A</v>
      </c>
      <c r="E18" s="4" t="e" vm="251">
        <f>IF($C18="","",_xlfn.XLOOKUP($C18,Order!$C:$C,Order!$E:$E,"",0,1))</f>
        <v>#VALUE!</v>
      </c>
      <c r="F18" s="4">
        <f>IF($C18="","",_xlfn.XLOOKUP($C18,Order!$C:$C,Order!$F:$F,"",0,1))</f>
        <v>6000</v>
      </c>
      <c r="G18" s="4" t="str">
        <f>IF($C18="","",_xlfn.XLOOKUP($C18,Order!$C:$C,Order!$G:$G,"",0,1))</f>
        <v>6063T5</v>
      </c>
      <c r="H18" s="4">
        <f>IF($C18="","",_xlfn.XLOOKUP($C18,Order!$C:$C,Order!$H:$H,"",0,1))</f>
        <v>0.40600000000000003</v>
      </c>
      <c r="I18" s="36">
        <f>IF($C18="","",_xlfn.XLOOKUP($C18,Order!$C:$C,Order!$I:$I,"",0,1))</f>
        <v>0</v>
      </c>
      <c r="J18" s="4" t="str">
        <f>IF(C18="","",Order!$I$16)</f>
        <v>MILL FINISH</v>
      </c>
      <c r="K18" s="36">
        <f>IF($C18="","",_xlfn.XLOOKUP($C18,Order!$C:$C,Order!$P:$P,"",0,1))</f>
        <v>0</v>
      </c>
      <c r="L18" s="4">
        <f t="shared" si="0"/>
        <v>0</v>
      </c>
    </row>
    <row r="19" spans="2:12" ht="23.25" hidden="1" customHeight="1" x14ac:dyDescent="0.25">
      <c r="B19" s="4">
        <v>14</v>
      </c>
      <c r="C19" s="36" t="str">
        <f>IF(Order!$C$30="","",Order!$C$30)</f>
        <v>TR3 (Round tube 3" with 1.27 mm thickness)</v>
      </c>
      <c r="D19" s="36" t="str">
        <f>IF($C19="","",_xlfn.XLOOKUP($C19,Order!$C:$C,Order!$D:$D,"",0,1))</f>
        <v>TR3</v>
      </c>
      <c r="E19" s="4" t="e" vm="251">
        <f>IF($C19="","",_xlfn.XLOOKUP($C19,Order!$C:$C,Order!$E:$E,"",0,1))</f>
        <v>#VALUE!</v>
      </c>
      <c r="F19" s="4">
        <f>IF($C19="","",_xlfn.XLOOKUP($C19,Order!$C:$C,Order!$F:$F,"",0,1))</f>
        <v>6000</v>
      </c>
      <c r="G19" s="4" t="str">
        <f>IF($C19="","",_xlfn.XLOOKUP($C19,Order!$C:$C,Order!$G:$G,"",0,1))</f>
        <v>6063T5</v>
      </c>
      <c r="H19" s="4">
        <f>IF($C19="","",_xlfn.XLOOKUP($C19,Order!$C:$C,Order!$H:$H,"",0,1))</f>
        <v>0.81599999999999995</v>
      </c>
      <c r="I19" s="36">
        <f>IF($C19="","",_xlfn.XLOOKUP($C19,Order!$C:$C,Order!$I:$I,"",0,1))</f>
        <v>0</v>
      </c>
      <c r="J19" s="4" t="str">
        <f>IF(C19="","",Order!$I$16)</f>
        <v>MILL FINISH</v>
      </c>
      <c r="K19" s="36">
        <f>IF($C19="","",_xlfn.XLOOKUP($C19,Order!$C:$C,Order!$P:$P,"",0,1))</f>
        <v>0</v>
      </c>
      <c r="L19" s="4">
        <f t="shared" si="0"/>
        <v>0</v>
      </c>
    </row>
    <row r="20" spans="2:12" ht="23.25" hidden="1" customHeight="1" x14ac:dyDescent="0.25">
      <c r="B20" s="4">
        <v>15</v>
      </c>
      <c r="C20" s="36" t="str">
        <f>IF(Order!$C$31="","",Order!$C$31)</f>
        <v/>
      </c>
      <c r="D20" s="36" t="str">
        <f>IF($C20="","",_xlfn.XLOOKUP($C20,Order!$C:$C,Order!$D:$D,"",0,1))</f>
        <v/>
      </c>
      <c r="E20" s="4" t="str">
        <f>IF($C20="","",_xlfn.XLOOKUP($C20,Order!$C:$C,Order!$E:$E,"",0,1))</f>
        <v/>
      </c>
      <c r="F20" s="4" t="str">
        <f>IF($C20="","",_xlfn.XLOOKUP($C20,Order!$C:$C,Order!$F:$F,"",0,1))</f>
        <v/>
      </c>
      <c r="G20" s="4" t="str">
        <f>IF($C20="","",_xlfn.XLOOKUP($C20,Order!$C:$C,Order!$G:$G,"",0,1))</f>
        <v/>
      </c>
      <c r="H20" s="4" t="str">
        <f>IF($C20="","",_xlfn.XLOOKUP($C20,Order!$C:$C,Order!$H:$H,"",0,1))</f>
        <v/>
      </c>
      <c r="I20" s="36" t="str">
        <f>IF($C20="","",_xlfn.XLOOKUP($C20,Order!$C:$C,Order!$I:$I,"",0,1))</f>
        <v/>
      </c>
      <c r="J20" s="4" t="str">
        <f>IF(C20="","",Order!$I$16)</f>
        <v/>
      </c>
      <c r="K20" s="36" t="str">
        <f>IF($C20="","",_xlfn.XLOOKUP($C20,Order!$C:$C,Order!$P:$P,"",0,1))</f>
        <v/>
      </c>
      <c r="L20" s="4" t="str">
        <f t="shared" si="0"/>
        <v/>
      </c>
    </row>
    <row r="21" spans="2:12" ht="23.25" hidden="1" customHeight="1" x14ac:dyDescent="0.25">
      <c r="B21" s="4">
        <v>16</v>
      </c>
      <c r="C21" s="36" t="str">
        <f>IF(Order!$C$32="","",Order!$C$32)</f>
        <v>TQ3/4 (Square tube 3/4 with 0.90 mm thickness)</v>
      </c>
      <c r="D21" s="36" t="str">
        <f>IF($C21="","",_xlfn.XLOOKUP($C21,Order!$C:$C,Order!$D:$D,"",0,1))</f>
        <v>TQ34</v>
      </c>
      <c r="E21" s="4" t="e" vm="252">
        <f>IF($C21="","",_xlfn.XLOOKUP($C21,Order!$C:$C,Order!$E:$E,"",0,1))</f>
        <v>#VALUE!</v>
      </c>
      <c r="F21" s="4">
        <f>IF($C21="","",_xlfn.XLOOKUP($C21,Order!$C:$C,Order!$F:$F,"",0,1))</f>
        <v>6000</v>
      </c>
      <c r="G21" s="4" t="str">
        <f>IF($C21="","",_xlfn.XLOOKUP($C21,Order!$C:$C,Order!$G:$G,"",0,1))</f>
        <v>6063T5</v>
      </c>
      <c r="H21" s="4">
        <f>IF($C21="","",_xlfn.XLOOKUP($C21,Order!$C:$C,Order!$H:$H,"",0,1))</f>
        <v>0.17799999999999999</v>
      </c>
      <c r="I21" s="36">
        <f>IF($C21="","",_xlfn.XLOOKUP($C21,Order!$C:$C,Order!$I:$I,"",0,1))</f>
        <v>0</v>
      </c>
      <c r="J21" s="4" t="str">
        <f>IF(C21="","",Order!$I$16)</f>
        <v>MILL FINISH</v>
      </c>
      <c r="K21" s="36">
        <f>IF($C21="","",_xlfn.XLOOKUP($C21,Order!$C:$C,Order!$P:$P,"",0,1))</f>
        <v>0</v>
      </c>
      <c r="L21" s="4">
        <f t="shared" si="0"/>
        <v>0</v>
      </c>
    </row>
    <row r="22" spans="2:12" ht="23.25" hidden="1" customHeight="1" x14ac:dyDescent="0.25">
      <c r="B22" s="4">
        <v>17</v>
      </c>
      <c r="C22" s="36" t="str">
        <f>IF(Order!$C$33="","",Order!$C$33)</f>
        <v>TQ1 (Squar tube 1" with 0.80 mm thickness)</v>
      </c>
      <c r="D22" s="36" t="str">
        <f>IF($C22="","",_xlfn.XLOOKUP($C22,Order!$C:$C,Order!$D:$D,"",0,1))</f>
        <v>TQ1</v>
      </c>
      <c r="E22" s="4" t="e" vm="252">
        <f>IF($C22="","",_xlfn.XLOOKUP($C22,Order!$C:$C,Order!$E:$E,"",0,1))</f>
        <v>#VALUE!</v>
      </c>
      <c r="F22" s="4">
        <f>IF($C22="","",_xlfn.XLOOKUP($C22,Order!$C:$C,Order!$F:$F,"",0,1))</f>
        <v>6000</v>
      </c>
      <c r="G22" s="4" t="str">
        <f>IF($C22="","",_xlfn.XLOOKUP($C22,Order!$C:$C,Order!$G:$G,"",0,1))</f>
        <v>6063T5</v>
      </c>
      <c r="H22" s="4">
        <f>IF($C22="","",_xlfn.XLOOKUP($C22,Order!$C:$C,Order!$H:$H,"",0,1))</f>
        <v>0.215</v>
      </c>
      <c r="I22" s="36">
        <f>IF($C22="","",_xlfn.XLOOKUP($C22,Order!$C:$C,Order!$I:$I,"",0,1))</f>
        <v>0</v>
      </c>
      <c r="J22" s="4" t="str">
        <f>IF(C22="","",Order!$I$16)</f>
        <v>MILL FINISH</v>
      </c>
      <c r="K22" s="36">
        <f>IF($C22="","",_xlfn.XLOOKUP($C22,Order!$C:$C,Order!$P:$P,"",0,1))</f>
        <v>0</v>
      </c>
      <c r="L22" s="4">
        <f t="shared" si="0"/>
        <v>0</v>
      </c>
    </row>
    <row r="23" spans="2:12" ht="23.25" hidden="1" customHeight="1" x14ac:dyDescent="0.25">
      <c r="B23" s="4">
        <v>18</v>
      </c>
      <c r="C23" s="36" t="str">
        <f>IF(Order!$C$34="","",Order!$C$34)</f>
        <v>TQ1.1/2A (Square tube 1.1/2" with 0.80 mm thickness)</v>
      </c>
      <c r="D23" s="36" t="str">
        <f>IF($C23="","",_xlfn.XLOOKUP($C23,Order!$C:$C,Order!$D:$D,"",0,1))</f>
        <v>TQ1.12A</v>
      </c>
      <c r="E23" s="4" t="e" vm="252">
        <f>IF($C23="","",_xlfn.XLOOKUP($C23,Order!$C:$C,Order!$E:$E,"",0,1))</f>
        <v>#VALUE!</v>
      </c>
      <c r="F23" s="4">
        <f>IF($C23="","",_xlfn.XLOOKUP($C23,Order!$C:$C,Order!$F:$F,"",0,1))</f>
        <v>6000</v>
      </c>
      <c r="G23" s="4" t="str">
        <f>IF($C23="","",_xlfn.XLOOKUP($C23,Order!$C:$C,Order!$G:$G,"",0,1))</f>
        <v>6063T5</v>
      </c>
      <c r="H23" s="4">
        <f>IF($C23="","",_xlfn.XLOOKUP($C23,Order!$C:$C,Order!$H:$H,"",0,1))</f>
        <v>0.32600000000000001</v>
      </c>
      <c r="I23" s="36">
        <f>IF($C23="","",_xlfn.XLOOKUP($C23,Order!$C:$C,Order!$I:$I,"",0,1))</f>
        <v>0</v>
      </c>
      <c r="J23" s="4" t="str">
        <f>IF(C23="","",Order!$I$16)</f>
        <v>MILL FINISH</v>
      </c>
      <c r="K23" s="36">
        <f>IF($C23="","",_xlfn.XLOOKUP($C23,Order!$C:$C,Order!$P:$P,"",0,1))</f>
        <v>0</v>
      </c>
      <c r="L23" s="4">
        <f t="shared" si="0"/>
        <v>0</v>
      </c>
    </row>
    <row r="24" spans="2:12" ht="23.25" hidden="1" customHeight="1" x14ac:dyDescent="0.25">
      <c r="B24" s="4">
        <v>19</v>
      </c>
      <c r="C24" s="36" t="str">
        <f>IF(Order!$C$35="","",Order!$C$35)</f>
        <v>TQ2L (Square tube 2" with 0.90 mm thickness)</v>
      </c>
      <c r="D24" s="36" t="str">
        <f>IF($C24="","",_xlfn.XLOOKUP($C24,Order!$C:$C,Order!$D:$D,"",0,1))</f>
        <v>TQ2L</v>
      </c>
      <c r="E24" s="4" t="e" vm="252">
        <f>IF($C24="","",_xlfn.XLOOKUP($C24,Order!$C:$C,Order!$E:$E,"",0,1))</f>
        <v>#VALUE!</v>
      </c>
      <c r="F24" s="4">
        <f>IF($C24="","",_xlfn.XLOOKUP($C24,Order!$C:$C,Order!$F:$F,"",0,1))</f>
        <v>6000</v>
      </c>
      <c r="G24" s="4" t="str">
        <f>IF($C24="","",_xlfn.XLOOKUP($C24,Order!$C:$C,Order!$G:$G,"",0,1))</f>
        <v>6063T5</v>
      </c>
      <c r="H24" s="4">
        <f>IF($C24="","",_xlfn.XLOOKUP($C24,Order!$C:$C,Order!$H:$H,"",0,1))</f>
        <v>0.49</v>
      </c>
      <c r="I24" s="36">
        <f>IF($C24="","",_xlfn.XLOOKUP($C24,Order!$C:$C,Order!$I:$I,"",0,1))</f>
        <v>0</v>
      </c>
      <c r="J24" s="4" t="str">
        <f>IF(C24="","",Order!$I$16)</f>
        <v>MILL FINISH</v>
      </c>
      <c r="K24" s="36">
        <f>IF($C24="","",_xlfn.XLOOKUP($C24,Order!$C:$C,Order!$P:$P,"",0,1))</f>
        <v>0</v>
      </c>
      <c r="L24" s="4">
        <f t="shared" si="0"/>
        <v>0</v>
      </c>
    </row>
    <row r="25" spans="2:12" ht="23.25" hidden="1" customHeight="1" x14ac:dyDescent="0.25">
      <c r="B25" s="4">
        <v>20</v>
      </c>
      <c r="C25" s="36" t="str">
        <f>IF(Order!$C$36="","",Order!$C$36)</f>
        <v>TQ2A (Square tube 2" with 0.95 mm thickness)</v>
      </c>
      <c r="D25" s="36" t="str">
        <f>IF($C25="","",_xlfn.XLOOKUP($C25,Order!$C:$C,Order!$D:$D,"",0,1))</f>
        <v>TQ2A</v>
      </c>
      <c r="E25" s="4" t="e" vm="252">
        <f>IF($C25="","",_xlfn.XLOOKUP($C25,Order!$C:$C,Order!$E:$E,"",0,1))</f>
        <v>#VALUE!</v>
      </c>
      <c r="F25" s="4">
        <f>IF($C25="","",_xlfn.XLOOKUP($C25,Order!$C:$C,Order!$F:$F,"",0,1))</f>
        <v>6000</v>
      </c>
      <c r="G25" s="4" t="str">
        <f>IF($C25="","",_xlfn.XLOOKUP($C25,Order!$C:$C,Order!$G:$G,"",0,1))</f>
        <v>6063T5</v>
      </c>
      <c r="H25" s="4">
        <f>IF($C25="","",_xlfn.XLOOKUP($C25,Order!$C:$C,Order!$H:$H,"",0,1))</f>
        <v>0.51700000000000002</v>
      </c>
      <c r="I25" s="36">
        <f>IF($C25="","",_xlfn.XLOOKUP($C25,Order!$C:$C,Order!$I:$I,"",0,1))</f>
        <v>0</v>
      </c>
      <c r="J25" s="4" t="str">
        <f>IF(C25="","",Order!$I$16)</f>
        <v>MILL FINISH</v>
      </c>
      <c r="K25" s="36">
        <f>IF($C25="","",_xlfn.XLOOKUP($C25,Order!$C:$C,Order!$P:$P,"",0,1))</f>
        <v>0</v>
      </c>
      <c r="L25" s="4">
        <f t="shared" si="0"/>
        <v>0</v>
      </c>
    </row>
    <row r="26" spans="2:12" ht="23.25" hidden="1" customHeight="1" x14ac:dyDescent="0.25">
      <c r="B26" s="4">
        <v>21</v>
      </c>
      <c r="C26" s="36" t="str">
        <f>IF(Order!$C$37="","",Order!$C$37)</f>
        <v>TQ2 (Square tube 2" with 1.10 mm thickness)</v>
      </c>
      <c r="D26" s="36" t="str">
        <f>IF($C26="","",_xlfn.XLOOKUP($C26,Order!$C:$C,Order!$D:$D,"",0,1))</f>
        <v>TQ2</v>
      </c>
      <c r="E26" s="4" t="e" vm="252">
        <f>IF($C26="","",_xlfn.XLOOKUP($C26,Order!$C:$C,Order!$E:$E,"",0,1))</f>
        <v>#VALUE!</v>
      </c>
      <c r="F26" s="4">
        <f>IF($C26="","",_xlfn.XLOOKUP($C26,Order!$C:$C,Order!$F:$F,"",0,1))</f>
        <v>6000</v>
      </c>
      <c r="G26" s="4" t="str">
        <f>IF($C26="","",_xlfn.XLOOKUP($C26,Order!$C:$C,Order!$G:$G,"",0,1))</f>
        <v>6063T5</v>
      </c>
      <c r="H26" s="4">
        <f>IF($C26="","",_xlfn.XLOOKUP($C26,Order!$C:$C,Order!$H:$H,"",0,1))</f>
        <v>0.59699999999999998</v>
      </c>
      <c r="I26" s="36">
        <f>IF($C26="","",_xlfn.XLOOKUP($C26,Order!$C:$C,Order!$I:$I,"",0,1))</f>
        <v>0</v>
      </c>
      <c r="J26" s="4" t="str">
        <f>IF(C26="","",Order!$I$16)</f>
        <v>MILL FINISH</v>
      </c>
      <c r="K26" s="36">
        <f>IF($C26="","",_xlfn.XLOOKUP($C26,Order!$C:$C,Order!$P:$P,"",0,1))</f>
        <v>0</v>
      </c>
      <c r="L26" s="4">
        <f t="shared" si="0"/>
        <v>0</v>
      </c>
    </row>
    <row r="27" spans="2:12" ht="23.25" hidden="1" customHeight="1" x14ac:dyDescent="0.25">
      <c r="B27" s="4">
        <v>22</v>
      </c>
      <c r="C27" s="36" t="str">
        <f>IF(Order!$C$38="","",Order!$C$38)</f>
        <v>TQ3 (Square tube 3" with 1.10 mm thickness)</v>
      </c>
      <c r="D27" s="36" t="str">
        <f>IF($C27="","",_xlfn.XLOOKUP($C27,Order!$C:$C,Order!$D:$D,"",0,1))</f>
        <v>TQ3</v>
      </c>
      <c r="E27" s="4" t="e" vm="252">
        <f>IF($C27="","",_xlfn.XLOOKUP($C27,Order!$C:$C,Order!$E:$E,"",0,1))</f>
        <v>#VALUE!</v>
      </c>
      <c r="F27" s="4">
        <f>IF($C27="","",_xlfn.XLOOKUP($C27,Order!$C:$C,Order!$F:$F,"",0,1))</f>
        <v>6000</v>
      </c>
      <c r="G27" s="4" t="str">
        <f>IF($C27="","",_xlfn.XLOOKUP($C27,Order!$C:$C,Order!$G:$G,"",0,1))</f>
        <v>6063T5</v>
      </c>
      <c r="H27" s="4">
        <f>IF($C27="","",_xlfn.XLOOKUP($C27,Order!$C:$C,Order!$H:$H,"",0,1))</f>
        <v>0.90200000000000002</v>
      </c>
      <c r="I27" s="36">
        <f>IF($C27="","",_xlfn.XLOOKUP($C27,Order!$C:$C,Order!$I:$I,"",0,1))</f>
        <v>0</v>
      </c>
      <c r="J27" s="4" t="str">
        <f>IF(C27="","",Order!$I$16)</f>
        <v>MILL FINISH</v>
      </c>
      <c r="K27" s="36">
        <f>IF($C27="","",_xlfn.XLOOKUP($C27,Order!$C:$C,Order!$P:$P,"",0,1))</f>
        <v>0</v>
      </c>
      <c r="L27" s="4">
        <f t="shared" si="0"/>
        <v>0</v>
      </c>
    </row>
    <row r="28" spans="2:12" ht="23.25" hidden="1" customHeight="1" x14ac:dyDescent="0.25">
      <c r="B28" s="4">
        <v>23</v>
      </c>
      <c r="C28" s="36" t="str">
        <f>IF(Order!$C$39="","",Order!$C$39)</f>
        <v>TQ4 (Square tube 4" with 1.30 mm thickness)</v>
      </c>
      <c r="D28" s="36" t="str">
        <f>IF($C28="","",_xlfn.XLOOKUP($C28,Order!$C:$C,Order!$D:$D,"",0,1))</f>
        <v>TQ4</v>
      </c>
      <c r="E28" s="4" t="e" vm="252">
        <f>IF($C28="","",_xlfn.XLOOKUP($C28,Order!$C:$C,Order!$E:$E,"",0,1))</f>
        <v>#VALUE!</v>
      </c>
      <c r="F28" s="4">
        <f>IF($C28="","",_xlfn.XLOOKUP($C28,Order!$C:$C,Order!$F:$F,"",0,1))</f>
        <v>6000</v>
      </c>
      <c r="G28" s="4" t="str">
        <f>IF($C28="","",_xlfn.XLOOKUP($C28,Order!$C:$C,Order!$G:$G,"",0,1))</f>
        <v>6063T5</v>
      </c>
      <c r="H28" s="4">
        <f>IF($C28="","",_xlfn.XLOOKUP($C28,Order!$C:$C,Order!$H:$H,"",0,1))</f>
        <v>1.4239999999999999</v>
      </c>
      <c r="I28" s="36">
        <f>IF($C28="","",_xlfn.XLOOKUP($C28,Order!$C:$C,Order!$I:$I,"",0,1))</f>
        <v>0</v>
      </c>
      <c r="J28" s="4" t="str">
        <f>IF(C28="","",Order!$I$16)</f>
        <v>MILL FINISH</v>
      </c>
      <c r="K28" s="36">
        <f>IF($C28="","",_xlfn.XLOOKUP($C28,Order!$C:$C,Order!$P:$P,"",0,1))</f>
        <v>0</v>
      </c>
      <c r="L28" s="4">
        <f t="shared" si="0"/>
        <v>0</v>
      </c>
    </row>
    <row r="29" spans="2:12" ht="23.25" hidden="1" customHeight="1" x14ac:dyDescent="0.25">
      <c r="B29" s="4">
        <v>24</v>
      </c>
      <c r="C29" s="36" t="str">
        <f>IF(Order!$C$40="","",Order!$C$40)</f>
        <v>TG1X1/2 (Rectangular tube 1" x 1/2  with 0.80 mm thickness)</v>
      </c>
      <c r="D29" s="36" t="str">
        <f>IF($C29="","",_xlfn.XLOOKUP($C29,Order!$C:$C,Order!$D:$D,"",0,1))</f>
        <v>TG1X12</v>
      </c>
      <c r="E29" s="4" t="e" vm="253">
        <f>IF($C29="","",_xlfn.XLOOKUP($C29,Order!$C:$C,Order!$E:$E,"",0,1))</f>
        <v>#VALUE!</v>
      </c>
      <c r="F29" s="4">
        <f>IF($C29="","",_xlfn.XLOOKUP($C29,Order!$C:$C,Order!$F:$F,"",0,1))</f>
        <v>6000</v>
      </c>
      <c r="G29" s="4" t="str">
        <f>IF($C29="","",_xlfn.XLOOKUP($C29,Order!$C:$C,Order!$G:$G,"",0,1))</f>
        <v>6063T5</v>
      </c>
      <c r="H29" s="4">
        <f>IF($C29="","",_xlfn.XLOOKUP($C29,Order!$C:$C,Order!$H:$H,"",0,1))</f>
        <v>0.159</v>
      </c>
      <c r="I29" s="36">
        <f>IF($C29="","",_xlfn.XLOOKUP($C29,Order!$C:$C,Order!$I:$I,"",0,1))</f>
        <v>0</v>
      </c>
      <c r="J29" s="4" t="str">
        <f>IF(C29="","",Order!$I$16)</f>
        <v>MILL FINISH</v>
      </c>
      <c r="K29" s="36">
        <f>IF($C29="","",_xlfn.XLOOKUP($C29,Order!$C:$C,Order!$P:$P,"",0,1))</f>
        <v>0</v>
      </c>
      <c r="L29" s="4">
        <f t="shared" si="0"/>
        <v>0</v>
      </c>
    </row>
    <row r="30" spans="2:12" ht="23.25" hidden="1" customHeight="1" x14ac:dyDescent="0.25">
      <c r="B30" s="4">
        <v>25</v>
      </c>
      <c r="C30" s="36" t="str">
        <f>IF(Order!$C$41="","",Order!$C$41)</f>
        <v>TG2X1/2A (Retangular tube 2 X 1/2 with 0.80 mm tickness)</v>
      </c>
      <c r="D30" s="36" t="str">
        <f>IF($C30="","",_xlfn.XLOOKUP($C30,Order!$C:$C,Order!$D:$D,"",0,1))</f>
        <v>TG2X12A</v>
      </c>
      <c r="E30" s="4" t="e" vm="254">
        <f>IF($C30="","",_xlfn.XLOOKUP($C30,Order!$C:$C,Order!$E:$E,"",0,1))</f>
        <v>#VALUE!</v>
      </c>
      <c r="F30" s="4">
        <f>IF($C30="","",_xlfn.XLOOKUP($C30,Order!$C:$C,Order!$F:$F,"",0,1))</f>
        <v>6000</v>
      </c>
      <c r="G30" s="4" t="str">
        <f>IF($C30="","",_xlfn.XLOOKUP($C30,Order!$C:$C,Order!$G:$G,"",0,1))</f>
        <v>6063T5</v>
      </c>
      <c r="H30" s="4">
        <f>IF($C30="","",_xlfn.XLOOKUP($C30,Order!$C:$C,Order!$H:$H,"",0,1))</f>
        <v>0.27</v>
      </c>
      <c r="I30" s="36">
        <f>IF($C30="","",_xlfn.XLOOKUP($C30,Order!$C:$C,Order!$I:$I,"",0,1))</f>
        <v>0</v>
      </c>
      <c r="J30" s="4" t="str">
        <f>IF(C30="","",Order!$I$16)</f>
        <v>MILL FINISH</v>
      </c>
      <c r="K30" s="36">
        <f>IF($C30="","",_xlfn.XLOOKUP($C30,Order!$C:$C,Order!$P:$P,"",0,1))</f>
        <v>0</v>
      </c>
      <c r="L30" s="4">
        <f t="shared" si="0"/>
        <v>0</v>
      </c>
    </row>
    <row r="31" spans="2:12" ht="23.25" hidden="1" customHeight="1" x14ac:dyDescent="0.25">
      <c r="B31" s="4">
        <v>26</v>
      </c>
      <c r="C31" s="36" t="str">
        <f>IF(Order!$C$42="","",Order!$C$42)</f>
        <v>TG2X1/2 (Retangular tube 2 X 1/2 with 0.90 mm tickness)</v>
      </c>
      <c r="D31" s="36" t="str">
        <f>IF($C31="","",_xlfn.XLOOKUP($C31,Order!$C:$C,Order!$D:$D,"",0,1))</f>
        <v>TG2X12</v>
      </c>
      <c r="E31" s="4" t="e" vm="254">
        <f>IF($C31="","",_xlfn.XLOOKUP($C31,Order!$C:$C,Order!$E:$E,"",0,1))</f>
        <v>#VALUE!</v>
      </c>
      <c r="F31" s="4">
        <f>IF($C31="","",_xlfn.XLOOKUP($C31,Order!$C:$C,Order!$F:$F,"",0,1))</f>
        <v>6000</v>
      </c>
      <c r="G31" s="4" t="str">
        <f>IF($C31="","",_xlfn.XLOOKUP($C31,Order!$C:$C,Order!$G:$G,"",0,1))</f>
        <v>6063T5</v>
      </c>
      <c r="H31" s="4">
        <f>IF($C31="","",_xlfn.XLOOKUP($C31,Order!$C:$C,Order!$H:$H,"",0,1))</f>
        <v>0.30299999999999999</v>
      </c>
      <c r="I31" s="36">
        <f>IF($C31="","",_xlfn.XLOOKUP($C31,Order!$C:$C,Order!$I:$I,"",0,1))</f>
        <v>0</v>
      </c>
      <c r="J31" s="4" t="str">
        <f>IF(C31="","",Order!$I$16)</f>
        <v>MILL FINISH</v>
      </c>
      <c r="K31" s="36">
        <f>IF($C31="","",_xlfn.XLOOKUP($C31,Order!$C:$C,Order!$P:$P,"",0,1))</f>
        <v>0</v>
      </c>
      <c r="L31" s="4">
        <f t="shared" si="0"/>
        <v>0</v>
      </c>
    </row>
    <row r="32" spans="2:12" ht="23.25" hidden="1" customHeight="1" x14ac:dyDescent="0.25">
      <c r="B32" s="4">
        <v>27</v>
      </c>
      <c r="C32" s="36" t="str">
        <f>IF(Order!$C$43="","",Order!$C$43)</f>
        <v>TG2X1 0.7 ( Retangular tube 2"X1" with 0.70 mm tickness)</v>
      </c>
      <c r="D32" s="36" t="str">
        <f>IF($C32="","",_xlfn.XLOOKUP($C32,Order!$C:$C,Order!$D:$D,"",0,1))</f>
        <v>TG2X1 0.7</v>
      </c>
      <c r="E32" s="4" t="e" vm="253">
        <f>IF($C32="","",_xlfn.XLOOKUP($C32,Order!$C:$C,Order!$E:$E,"",0,1))</f>
        <v>#VALUE!</v>
      </c>
      <c r="F32" s="4">
        <f>IF($C32="","",_xlfn.XLOOKUP($C32,Order!$C:$C,Order!$F:$F,"",0,1))</f>
        <v>6000</v>
      </c>
      <c r="G32" s="4" t="str">
        <f>IF($C32="","",_xlfn.XLOOKUP($C32,Order!$C:$C,Order!$G:$G,"",0,1))</f>
        <v>6063T5</v>
      </c>
      <c r="H32" s="4">
        <f>IF($C32="","",_xlfn.XLOOKUP($C32,Order!$C:$C,Order!$H:$H,"",0,1))</f>
        <v>0.28599999999999998</v>
      </c>
      <c r="I32" s="36">
        <f>IF($C32="","",_xlfn.XLOOKUP($C32,Order!$C:$C,Order!$I:$I,"",0,1))</f>
        <v>0</v>
      </c>
      <c r="J32" s="4" t="str">
        <f>IF(C32="","",Order!$I$16)</f>
        <v>MILL FINISH</v>
      </c>
      <c r="K32" s="36">
        <f>IF($C32="","",_xlfn.XLOOKUP($C32,Order!$C:$C,Order!$P:$P,"",0,1))</f>
        <v>0</v>
      </c>
      <c r="L32" s="4">
        <f t="shared" si="0"/>
        <v>0</v>
      </c>
    </row>
    <row r="33" spans="2:12" ht="23.25" hidden="1" customHeight="1" x14ac:dyDescent="0.25">
      <c r="B33" s="4">
        <v>28</v>
      </c>
      <c r="C33" s="36" t="str">
        <f>IF(Order!$C$44="","",Order!$C$44)</f>
        <v>TG2X1 ( Retangular tube 2"X1" with 0.80 mm tickness)</v>
      </c>
      <c r="D33" s="36" t="str">
        <f>IF($C33="","",_xlfn.XLOOKUP($C33,Order!$C:$C,Order!$D:$D,"",0,1))</f>
        <v>TG2X1</v>
      </c>
      <c r="E33" s="4" t="e" vm="253">
        <f>IF($C33="","",_xlfn.XLOOKUP($C33,Order!$C:$C,Order!$E:$E,"",0,1))</f>
        <v>#VALUE!</v>
      </c>
      <c r="F33" s="4">
        <f>IF($C33="","",_xlfn.XLOOKUP($C33,Order!$C:$C,Order!$F:$F,"",0,1))</f>
        <v>6000</v>
      </c>
      <c r="G33" s="4" t="str">
        <f>IF($C33="","",_xlfn.XLOOKUP($C33,Order!$C:$C,Order!$G:$G,"",0,1))</f>
        <v>6063T5</v>
      </c>
      <c r="H33" s="4">
        <f>IF($C33="","",_xlfn.XLOOKUP($C33,Order!$C:$C,Order!$H:$H,"",0,1))</f>
        <v>0.32600000000000001</v>
      </c>
      <c r="I33" s="36">
        <f>IF($C33="","",_xlfn.XLOOKUP($C33,Order!$C:$C,Order!$I:$I,"",0,1))</f>
        <v>0</v>
      </c>
      <c r="J33" s="4" t="str">
        <f>IF(C33="","",Order!$I$16)</f>
        <v>MILL FINISH</v>
      </c>
      <c r="K33" s="36">
        <f>IF($C33="","",_xlfn.XLOOKUP($C33,Order!$C:$C,Order!$P:$P,"",0,1))</f>
        <v>0</v>
      </c>
      <c r="L33" s="4">
        <f t="shared" si="0"/>
        <v>0</v>
      </c>
    </row>
    <row r="34" spans="2:12" ht="23.25" hidden="1" customHeight="1" x14ac:dyDescent="0.25">
      <c r="B34" s="4">
        <v>29</v>
      </c>
      <c r="C34" s="36" t="str">
        <f>IF(Order!$C$45="","",Order!$C$45)</f>
        <v>TG2X1.1/2 ( Retangular tube 2"x1.1 /2" with 0.90 mm tickness)</v>
      </c>
      <c r="D34" s="36" t="str">
        <f>IF($C34="","",_xlfn.XLOOKUP($C34,Order!$C:$C,Order!$D:$D,"",0,1))</f>
        <v>TG2X1.12</v>
      </c>
      <c r="E34" s="4" t="e" vm="255">
        <f>IF($C34="","",_xlfn.XLOOKUP($C34,Order!$C:$C,Order!$E:$E,"",0,1))</f>
        <v>#VALUE!</v>
      </c>
      <c r="F34" s="4">
        <f>IF($C34="","",_xlfn.XLOOKUP($C34,Order!$C:$C,Order!$F:$F,"",0,1))</f>
        <v>6000</v>
      </c>
      <c r="G34" s="4" t="str">
        <f>IF($C34="","",_xlfn.XLOOKUP($C34,Order!$C:$C,Order!$G:$G,"",0,1))</f>
        <v>6063T5</v>
      </c>
      <c r="H34" s="4">
        <f>IF($C34="","",_xlfn.XLOOKUP($C34,Order!$C:$C,Order!$H:$H,"",0,1))</f>
        <v>0.42799999999999999</v>
      </c>
      <c r="I34" s="36">
        <f>IF($C34="","",_xlfn.XLOOKUP($C34,Order!$C:$C,Order!$I:$I,"",0,1))</f>
        <v>0</v>
      </c>
      <c r="J34" s="4" t="str">
        <f>IF(C34="","",Order!$I$16)</f>
        <v>MILL FINISH</v>
      </c>
      <c r="K34" s="36">
        <f>IF($C34="","",_xlfn.XLOOKUP($C34,Order!$C:$C,Order!$P:$P,"",0,1))</f>
        <v>0</v>
      </c>
      <c r="L34" s="4">
        <f t="shared" si="0"/>
        <v>0</v>
      </c>
    </row>
    <row r="35" spans="2:12" ht="23.25" hidden="1" customHeight="1" x14ac:dyDescent="0.25">
      <c r="B35" s="4">
        <v>30</v>
      </c>
      <c r="C35" s="36" t="str">
        <f>IF(Order!$C$46="","",Order!$C$46)</f>
        <v>TG3X1.1/2 ( Retangular tube 3"x1.1 /2" with 1.00 mm tickness)</v>
      </c>
      <c r="D35" s="36" t="str">
        <f>IF($C35="","",_xlfn.XLOOKUP($C35,Order!$C:$C,Order!$D:$D,"",0,1))</f>
        <v>TG3X1.12</v>
      </c>
      <c r="E35" s="4" t="e" vm="253">
        <f>IF($C35="","",_xlfn.XLOOKUP($C35,Order!$C:$C,Order!$E:$E,"",0,1))</f>
        <v>#VALUE!</v>
      </c>
      <c r="F35" s="4">
        <f>IF($C35="","",_xlfn.XLOOKUP($C35,Order!$C:$C,Order!$F:$F,"",0,1))</f>
        <v>6000</v>
      </c>
      <c r="G35" s="4" t="str">
        <f>IF($C35="","",_xlfn.XLOOKUP($C35,Order!$C:$C,Order!$G:$G,"",0,1))</f>
        <v>6063T5</v>
      </c>
      <c r="H35" s="4">
        <f>IF($C35="","",_xlfn.XLOOKUP($C35,Order!$C:$C,Order!$H:$H,"",0,1))</f>
        <v>0.61299999999999999</v>
      </c>
      <c r="I35" s="36">
        <f>IF($C35="","",_xlfn.XLOOKUP($C35,Order!$C:$C,Order!$I:$I,"",0,1))</f>
        <v>0</v>
      </c>
      <c r="J35" s="4" t="str">
        <f>IF(C35="","",Order!$I$16)</f>
        <v>MILL FINISH</v>
      </c>
      <c r="K35" s="36">
        <f>IF($C35="","",_xlfn.XLOOKUP($C35,Order!$C:$C,Order!$P:$P,"",0,1))</f>
        <v>0</v>
      </c>
      <c r="L35" s="4">
        <f t="shared" si="0"/>
        <v>0</v>
      </c>
    </row>
    <row r="36" spans="2:12" ht="23.25" hidden="1" customHeight="1" x14ac:dyDescent="0.25">
      <c r="B36" s="4">
        <v>31</v>
      </c>
      <c r="C36" s="36" t="str">
        <f>IF(Order!$C$47="","",Order!$C$47)</f>
        <v>TG4X2 (Rectangular Tube 4" X 2" with 1.00 mm tickness)</v>
      </c>
      <c r="D36" s="36" t="str">
        <f>IF($C36="","",_xlfn.XLOOKUP($C36,Order!$C:$C,Order!$D:$D,"",0,1))</f>
        <v>TG4X2</v>
      </c>
      <c r="E36" s="4" t="e" vm="253">
        <f>IF($C36="","",_xlfn.XLOOKUP($C36,Order!$C:$C,Order!$E:$E,"",0,1))</f>
        <v>#VALUE!</v>
      </c>
      <c r="F36" s="4">
        <f>IF($C36="","",_xlfn.XLOOKUP($C36,Order!$C:$C,Order!$F:$F,"",0,1))</f>
        <v>6000</v>
      </c>
      <c r="G36" s="4" t="str">
        <f>IF($C36="","",_xlfn.XLOOKUP($C36,Order!$C:$C,Order!$G:$G,"",0,1))</f>
        <v>6063T5</v>
      </c>
      <c r="H36" s="4">
        <f>IF($C36="","",_xlfn.XLOOKUP($C36,Order!$C:$C,Order!$H:$H,"",0,1))</f>
        <v>0.82099999999999995</v>
      </c>
      <c r="I36" s="36">
        <f>IF($C36="","",_xlfn.XLOOKUP($C36,Order!$C:$C,Order!$I:$I,"",0,1))</f>
        <v>0</v>
      </c>
      <c r="J36" s="4" t="str">
        <f>IF(C36="","",Order!$I$16)</f>
        <v>MILL FINISH</v>
      </c>
      <c r="K36" s="36">
        <f>IF($C36="","",_xlfn.XLOOKUP($C36,Order!$C:$C,Order!$P:$P,"",0,1))</f>
        <v>0</v>
      </c>
      <c r="L36" s="4">
        <f t="shared" si="0"/>
        <v>0</v>
      </c>
    </row>
    <row r="37" spans="2:12" ht="23.25" hidden="1" customHeight="1" x14ac:dyDescent="0.25">
      <c r="B37" s="4">
        <v>32</v>
      </c>
      <c r="C37" s="36" t="str">
        <f>IF(Order!$C$48="","",Order!$C$48)</f>
        <v>PT008A (Perfil T de 1" com 0.80 mm tickness)</v>
      </c>
      <c r="D37" s="36" t="str">
        <f>IF($C37="","",_xlfn.XLOOKUP($C37,Order!$C:$C,Order!$D:$D,"",0,1))</f>
        <v>PT008A</v>
      </c>
      <c r="E37" s="4" t="e" vm="256">
        <f>IF($C37="","",_xlfn.XLOOKUP($C37,Order!$C:$C,Order!$E:$E,"",0,1))</f>
        <v>#VALUE!</v>
      </c>
      <c r="F37" s="4">
        <f>IF($C37="","",_xlfn.XLOOKUP($C37,Order!$C:$C,Order!$F:$F,"",0,1))</f>
        <v>6000</v>
      </c>
      <c r="G37" s="4" t="str">
        <f>IF($C37="","",_xlfn.XLOOKUP($C37,Order!$C:$C,Order!$G:$G,"",0,1))</f>
        <v>6063T5</v>
      </c>
      <c r="H37" s="4">
        <f>IF($C37="","",_xlfn.XLOOKUP($C37,Order!$C:$C,Order!$H:$H,"",0,1))</f>
        <v>0.109</v>
      </c>
      <c r="I37" s="36">
        <f>IF($C37="","",_xlfn.XLOOKUP($C37,Order!$C:$C,Order!$I:$I,"",0,1))</f>
        <v>0</v>
      </c>
      <c r="J37" s="4" t="str">
        <f>IF(C37="","",Order!$I$16)</f>
        <v>MILL FINISH</v>
      </c>
      <c r="K37" s="36">
        <f>IF($C37="","",_xlfn.XLOOKUP($C37,Order!$C:$C,Order!$P:$P,"",0,1))</f>
        <v>0</v>
      </c>
      <c r="L37" s="4">
        <f t="shared" si="0"/>
        <v>0</v>
      </c>
    </row>
    <row r="38" spans="2:12" ht="23.25" hidden="1" customHeight="1" x14ac:dyDescent="0.25">
      <c r="B38" s="4">
        <v>33</v>
      </c>
      <c r="C38" s="36" t="str">
        <f>IF(Order!$C$49="","",Order!$C$49)</f>
        <v>PT008 (Perfil T de 1" com 0.90 mm tickness)</v>
      </c>
      <c r="D38" s="36" t="str">
        <f>IF($C38="","",_xlfn.XLOOKUP($C38,Order!$C:$C,Order!$D:$D,"",0,1))</f>
        <v>PT008</v>
      </c>
      <c r="E38" s="4" t="e" vm="256">
        <f>IF($C38="","",_xlfn.XLOOKUP($C38,Order!$C:$C,Order!$E:$E,"",0,1))</f>
        <v>#VALUE!</v>
      </c>
      <c r="F38" s="4">
        <f>IF($C38="","",_xlfn.XLOOKUP($C38,Order!$C:$C,Order!$F:$F,"",0,1))</f>
        <v>6000</v>
      </c>
      <c r="G38" s="4" t="str">
        <f>IF($C38="","",_xlfn.XLOOKUP($C38,Order!$C:$C,Order!$G:$G,"",0,1))</f>
        <v>6063T5</v>
      </c>
      <c r="H38" s="4">
        <f>IF($C38="","",_xlfn.XLOOKUP($C38,Order!$C:$C,Order!$H:$H,"",0,1))</f>
        <v>0.123</v>
      </c>
      <c r="I38" s="36">
        <f>IF($C38="","",_xlfn.XLOOKUP($C38,Order!$C:$C,Order!$I:$I,"",0,1))</f>
        <v>0</v>
      </c>
      <c r="J38" s="4" t="str">
        <f>IF(C38="","",Order!$I$16)</f>
        <v>MILL FINISH</v>
      </c>
      <c r="K38" s="36">
        <f>IF($C38="","",_xlfn.XLOOKUP($C38,Order!$C:$C,Order!$P:$P,"",0,1))</f>
        <v>0</v>
      </c>
      <c r="L38" s="4">
        <f t="shared" si="0"/>
        <v>0</v>
      </c>
    </row>
    <row r="39" spans="2:12" ht="23.25" hidden="1" customHeight="1" x14ac:dyDescent="0.25">
      <c r="B39" s="4">
        <v>34</v>
      </c>
      <c r="C39" s="36" t="str">
        <f>IF(Order!$C$50="","",Order!$C$50)</f>
        <v>AF052U (U13MM)</v>
      </c>
      <c r="D39" s="36" t="str">
        <f>IF($C39="","",_xlfn.XLOOKUP($C39,Order!$C:$C,Order!$D:$D,"",0,1))</f>
        <v>AF052U</v>
      </c>
      <c r="E39" s="4" t="e" vm="257">
        <f>IF($C39="","",_xlfn.XLOOKUP($C39,Order!$C:$C,Order!$E:$E,"",0,1))</f>
        <v>#VALUE!</v>
      </c>
      <c r="F39" s="4">
        <f>IF($C39="","",_xlfn.XLOOKUP($C39,Order!$C:$C,Order!$F:$F,"",0,1))</f>
        <v>6000</v>
      </c>
      <c r="G39" s="4" t="str">
        <f>IF($C39="","",_xlfn.XLOOKUP($C39,Order!$C:$C,Order!$G:$G,"",0,1))</f>
        <v>6063T5</v>
      </c>
      <c r="H39" s="4">
        <f>IF($C39="","",_xlfn.XLOOKUP($C39,Order!$C:$C,Order!$H:$H,"",0,1))</f>
        <v>0.129</v>
      </c>
      <c r="I39" s="36">
        <f>IF($C39="","",_xlfn.XLOOKUP($C39,Order!$C:$C,Order!$I:$I,"",0,1))</f>
        <v>0</v>
      </c>
      <c r="J39" s="4" t="str">
        <f>IF(C39="","",Order!$I$16)</f>
        <v>MILL FINISH</v>
      </c>
      <c r="K39" s="36">
        <f>IF($C39="","",_xlfn.XLOOKUP($C39,Order!$C:$C,Order!$P:$P,"",0,1))</f>
        <v>0</v>
      </c>
      <c r="L39" s="4">
        <f t="shared" si="0"/>
        <v>0</v>
      </c>
    </row>
    <row r="40" spans="2:12" ht="23.25" hidden="1" customHeight="1" x14ac:dyDescent="0.25">
      <c r="B40" s="4">
        <v>35</v>
      </c>
      <c r="C40" s="36" t="str">
        <f>IF(Order!$C$51="","",Order!$C$51)</f>
        <v>PU639A</v>
      </c>
      <c r="D40" s="36" t="str">
        <f>IF($C40="","",_xlfn.XLOOKUP($C40,Order!$C:$C,Order!$D:$D,"",0,1))</f>
        <v>PU639A</v>
      </c>
      <c r="E40" s="4" t="e" vm="258">
        <f>IF($C40="","",_xlfn.XLOOKUP($C40,Order!$C:$C,Order!$E:$E,"",0,1))</f>
        <v>#VALUE!</v>
      </c>
      <c r="F40" s="4">
        <f>IF($C40="","",_xlfn.XLOOKUP($C40,Order!$C:$C,Order!$F:$F,"",0,1))</f>
        <v>6000</v>
      </c>
      <c r="G40" s="4" t="str">
        <f>IF($C40="","",_xlfn.XLOOKUP($C40,Order!$C:$C,Order!$G:$G,"",0,1))</f>
        <v>6063T5</v>
      </c>
      <c r="H40" s="4">
        <f>IF($C40="","",_xlfn.XLOOKUP($C40,Order!$C:$C,Order!$H:$H,"",0,1))</f>
        <v>0.254</v>
      </c>
      <c r="I40" s="36">
        <f>IF($C40="","",_xlfn.XLOOKUP($C40,Order!$C:$C,Order!$I:$I,"",0,1))</f>
        <v>0</v>
      </c>
      <c r="J40" s="4" t="str">
        <f>IF(C40="","",Order!$I$16)</f>
        <v>MILL FINISH</v>
      </c>
      <c r="K40" s="36">
        <f>IF($C40="","",_xlfn.XLOOKUP($C40,Order!$C:$C,Order!$P:$P,"",0,1))</f>
        <v>0</v>
      </c>
      <c r="L40" s="4">
        <f t="shared" si="0"/>
        <v>0</v>
      </c>
    </row>
    <row r="41" spans="2:12" ht="23.25" hidden="1" customHeight="1" x14ac:dyDescent="0.25">
      <c r="B41" s="4">
        <v>36</v>
      </c>
      <c r="C41" s="36" t="str">
        <f>IF(Order!$C$52="","",Order!$C$52)</f>
        <v>PU639</v>
      </c>
      <c r="D41" s="36" t="str">
        <f>IF($C41="","",_xlfn.XLOOKUP($C41,Order!$C:$C,Order!$D:$D,"",0,1))</f>
        <v>PU639</v>
      </c>
      <c r="E41" s="4" t="e" vm="258">
        <f>IF($C41="","",_xlfn.XLOOKUP($C41,Order!$C:$C,Order!$E:$E,"",0,1))</f>
        <v>#VALUE!</v>
      </c>
      <c r="F41" s="4">
        <f>IF($C41="","",_xlfn.XLOOKUP($C41,Order!$C:$C,Order!$F:$F,"",0,1))</f>
        <v>6000</v>
      </c>
      <c r="G41" s="4" t="str">
        <f>IF($C41="","",_xlfn.XLOOKUP($C41,Order!$C:$C,Order!$G:$G,"",0,1))</f>
        <v>6063T5</v>
      </c>
      <c r="H41" s="4">
        <f>IF($C41="","",_xlfn.XLOOKUP($C41,Order!$C:$C,Order!$H:$H,"",0,1))</f>
        <v>0.34499999999999997</v>
      </c>
      <c r="I41" s="36">
        <f>IF($C41="","",_xlfn.XLOOKUP($C41,Order!$C:$C,Order!$I:$I,"",0,1))</f>
        <v>0</v>
      </c>
      <c r="J41" s="4" t="str">
        <f>IF(C41="","",Order!$I$16)</f>
        <v>MILL FINISH</v>
      </c>
      <c r="K41" s="36">
        <f>IF($C41="","",_xlfn.XLOOKUP($C41,Order!$C:$C,Order!$P:$P,"",0,1))</f>
        <v>0</v>
      </c>
      <c r="L41" s="4">
        <f t="shared" si="0"/>
        <v>0</v>
      </c>
    </row>
    <row r="42" spans="2:12" ht="23.25" hidden="1" customHeight="1" x14ac:dyDescent="0.25">
      <c r="B42" s="4">
        <v>37</v>
      </c>
      <c r="C42" s="36" t="str">
        <f>IF(Order!$C$53="","",Order!$C$53)</f>
        <v>L1/2 (Angle L 1/2" with 0.90 mm tickness)</v>
      </c>
      <c r="D42" s="36" t="str">
        <f>IF($C42="","",_xlfn.XLOOKUP($C42,Order!$C:$C,Order!$D:$D,"",0,1))</f>
        <v>L12</v>
      </c>
      <c r="E42" s="4" t="e" vm="259">
        <f>IF($C42="","",_xlfn.XLOOKUP($C42,Order!$C:$C,Order!$E:$E,"",0,1))</f>
        <v>#VALUE!</v>
      </c>
      <c r="F42" s="4">
        <f>IF($C42="","",_xlfn.XLOOKUP($C42,Order!$C:$C,Order!$F:$F,"",0,1))</f>
        <v>6000</v>
      </c>
      <c r="G42" s="4" t="str">
        <f>IF($C42="","",_xlfn.XLOOKUP($C42,Order!$C:$C,Order!$G:$G,"",0,1))</f>
        <v>6063T5</v>
      </c>
      <c r="H42" s="4">
        <f>IF($C42="","",_xlfn.XLOOKUP($C42,Order!$C:$C,Order!$H:$H,"",0,1))</f>
        <v>0.06</v>
      </c>
      <c r="I42" s="36">
        <f>IF($C42="","",_xlfn.XLOOKUP($C42,Order!$C:$C,Order!$I:$I,"",0,1))</f>
        <v>0</v>
      </c>
      <c r="J42" s="4" t="str">
        <f>IF(C42="","",Order!$I$16)</f>
        <v>MILL FINISH</v>
      </c>
      <c r="K42" s="36">
        <f>IF($C42="","",_xlfn.XLOOKUP($C42,Order!$C:$C,Order!$P:$P,"",0,1))</f>
        <v>0</v>
      </c>
      <c r="L42" s="4">
        <f t="shared" si="0"/>
        <v>0</v>
      </c>
    </row>
    <row r="43" spans="2:12" ht="23.25" hidden="1" customHeight="1" x14ac:dyDescent="0.25">
      <c r="B43" s="4">
        <v>38</v>
      </c>
      <c r="C43" s="36" t="str">
        <f>IF(Order!$C$54="","",Order!$C$54)</f>
        <v>L5/8 (Angle L 5/8" with 0.90 mm tickness)</v>
      </c>
      <c r="D43" s="36" t="str">
        <f>IF($C43="","",_xlfn.XLOOKUP($C43,Order!$C:$C,Order!$D:$D,"",0,1))</f>
        <v>L5-8</v>
      </c>
      <c r="E43" s="4" t="e" vm="259">
        <f>IF($C43="","",_xlfn.XLOOKUP($C43,Order!$C:$C,Order!$E:$E,"",0,1))</f>
        <v>#VALUE!</v>
      </c>
      <c r="F43" s="4">
        <f>IF($C43="","",_xlfn.XLOOKUP($C43,Order!$C:$C,Order!$F:$F,"",0,1))</f>
        <v>6000</v>
      </c>
      <c r="G43" s="4" t="str">
        <f>IF($C43="","",_xlfn.XLOOKUP($C43,Order!$C:$C,Order!$G:$G,"",0,1))</f>
        <v>6063T5</v>
      </c>
      <c r="H43" s="4">
        <f>IF($C43="","",_xlfn.XLOOKUP($C43,Order!$C:$C,Order!$H:$H,"",0,1))</f>
        <v>7.5999999999999998E-2</v>
      </c>
      <c r="I43" s="36">
        <f>IF($C43="","",_xlfn.XLOOKUP($C43,Order!$C:$C,Order!$I:$I,"",0,1))</f>
        <v>0</v>
      </c>
      <c r="J43" s="4" t="str">
        <f>IF(C43="","",Order!$I$16)</f>
        <v>MILL FINISH</v>
      </c>
      <c r="K43" s="36">
        <f>IF($C43="","",_xlfn.XLOOKUP($C43,Order!$C:$C,Order!$P:$P,"",0,1))</f>
        <v>0</v>
      </c>
      <c r="L43" s="4">
        <f t="shared" si="0"/>
        <v>0</v>
      </c>
    </row>
    <row r="44" spans="2:12" ht="23.25" hidden="1" customHeight="1" x14ac:dyDescent="0.25">
      <c r="B44" s="4">
        <v>39</v>
      </c>
      <c r="C44" s="36" t="str">
        <f>IF(Order!$C$55="","",Order!$C$55)</f>
        <v>L3/4 (Angle L 3/4" with 0.80 mm tickness)</v>
      </c>
      <c r="D44" s="36" t="str">
        <f>IF($C44="","",_xlfn.XLOOKUP($C44,Order!$C:$C,Order!$D:$D,"",0,1))</f>
        <v>L34</v>
      </c>
      <c r="E44" s="4" t="e" vm="259">
        <f>IF($C44="","",_xlfn.XLOOKUP($C44,Order!$C:$C,Order!$E:$E,"",0,1))</f>
        <v>#VALUE!</v>
      </c>
      <c r="F44" s="4">
        <f>IF($C44="","",_xlfn.XLOOKUP($C44,Order!$C:$C,Order!$F:$F,"",0,1))</f>
        <v>6000</v>
      </c>
      <c r="G44" s="4" t="str">
        <f>IF($C44="","",_xlfn.XLOOKUP($C44,Order!$C:$C,Order!$G:$G,"",0,1))</f>
        <v>6063T5</v>
      </c>
      <c r="H44" s="4">
        <f>IF($C44="","",_xlfn.XLOOKUP($C44,Order!$C:$C,Order!$H:$H,"",0,1))</f>
        <v>8.1000000000000003E-2</v>
      </c>
      <c r="I44" s="36">
        <f>IF($C44="","",_xlfn.XLOOKUP($C44,Order!$C:$C,Order!$I:$I,"",0,1))</f>
        <v>0</v>
      </c>
      <c r="J44" s="4" t="str">
        <f>IF(C44="","",Order!$I$16)</f>
        <v>MILL FINISH</v>
      </c>
      <c r="K44" s="36">
        <f>IF($C44="","",_xlfn.XLOOKUP($C44,Order!$C:$C,Order!$P:$P,"",0,1))</f>
        <v>0</v>
      </c>
      <c r="L44" s="4">
        <f t="shared" si="0"/>
        <v>0</v>
      </c>
    </row>
    <row r="45" spans="2:12" ht="23.25" hidden="1" customHeight="1" x14ac:dyDescent="0.25">
      <c r="B45" s="4">
        <v>40</v>
      </c>
      <c r="C45" s="36" t="str">
        <f>IF(Order!$C$56="","",Order!$C$56)</f>
        <v>L1 (Angle L 1" with 0.90 mm thickness)</v>
      </c>
      <c r="D45" s="36" t="str">
        <f>IF($C45="","",_xlfn.XLOOKUP($C45,Order!$C:$C,Order!$D:$D,"",0,1))</f>
        <v>L1</v>
      </c>
      <c r="E45" s="4" t="e" vm="259">
        <f>IF($C45="","",_xlfn.XLOOKUP($C45,Order!$C:$C,Order!$E:$E,"",0,1))</f>
        <v>#VALUE!</v>
      </c>
      <c r="F45" s="4">
        <f>IF($C45="","",_xlfn.XLOOKUP($C45,Order!$C:$C,Order!$F:$F,"",0,1))</f>
        <v>6000</v>
      </c>
      <c r="G45" s="4" t="str">
        <f>IF($C45="","",_xlfn.XLOOKUP($C45,Order!$C:$C,Order!$G:$G,"",0,1))</f>
        <v>6063T5</v>
      </c>
      <c r="H45" s="4">
        <f>IF($C45="","",_xlfn.XLOOKUP($C45,Order!$C:$C,Order!$H:$H,"",0,1))</f>
        <v>0.122</v>
      </c>
      <c r="I45" s="36">
        <f>IF($C45="","",_xlfn.XLOOKUP($C45,Order!$C:$C,Order!$I:$I,"",0,1))</f>
        <v>0</v>
      </c>
      <c r="J45" s="4" t="str">
        <f>IF(C45="","",Order!$I$16)</f>
        <v>MILL FINISH</v>
      </c>
      <c r="K45" s="36">
        <f>IF($C45="","",_xlfn.XLOOKUP($C45,Order!$C:$C,Order!$P:$P,"",0,1))</f>
        <v>0</v>
      </c>
      <c r="L45" s="4">
        <f t="shared" si="0"/>
        <v>0</v>
      </c>
    </row>
    <row r="46" spans="2:12" ht="23.25" hidden="1" customHeight="1" x14ac:dyDescent="0.25">
      <c r="B46" s="4">
        <v>41</v>
      </c>
      <c r="C46" s="36" t="str">
        <f>IF(Order!$C$57="","",Order!$C$57)</f>
        <v>L1X1/16 (Angle L1 x 1/16")</v>
      </c>
      <c r="D46" s="36" t="str">
        <f>IF($C46="","",_xlfn.XLOOKUP($C46,Order!$C:$C,Order!$D:$D,"",0,1))</f>
        <v>L1X1/16</v>
      </c>
      <c r="E46" s="4" t="e" vm="259">
        <f>IF($C46="","",_xlfn.XLOOKUP($C46,Order!$C:$C,Order!$E:$E,"",0,1))</f>
        <v>#VALUE!</v>
      </c>
      <c r="F46" s="4">
        <f>IF($C46="","",_xlfn.XLOOKUP($C46,Order!$C:$C,Order!$F:$F,"",0,1))</f>
        <v>6000</v>
      </c>
      <c r="G46" s="4" t="str">
        <f>IF($C46="","",_xlfn.XLOOKUP($C46,Order!$C:$C,Order!$G:$G,"",0,1))</f>
        <v>6063T5</v>
      </c>
      <c r="H46" s="4">
        <f>IF($C46="","",_xlfn.XLOOKUP($C46,Order!$C:$C,Order!$H:$H,"",0,1))</f>
        <v>0.21299999999999999</v>
      </c>
      <c r="I46" s="36">
        <f>IF($C46="","",_xlfn.XLOOKUP($C46,Order!$C:$C,Order!$I:$I,"",0,1))</f>
        <v>0</v>
      </c>
      <c r="J46" s="4" t="str">
        <f>IF(C46="","",Order!$I$16)</f>
        <v>MILL FINISH</v>
      </c>
      <c r="K46" s="36">
        <f>IF($C46="","",_xlfn.XLOOKUP($C46,Order!$C:$C,Order!$P:$P,"",0,1))</f>
        <v>0</v>
      </c>
      <c r="L46" s="4">
        <f t="shared" si="0"/>
        <v>0</v>
      </c>
    </row>
    <row r="47" spans="2:12" ht="23.25" hidden="1" customHeight="1" x14ac:dyDescent="0.25">
      <c r="B47" s="4">
        <v>42</v>
      </c>
      <c r="C47" s="36" t="str">
        <f>IF(Order!$C$58="","",Order!$C$58)</f>
        <v>L1X1/8 (Angle L1 x 1/8" )</v>
      </c>
      <c r="D47" s="36" t="str">
        <f>IF($C47="","",_xlfn.XLOOKUP($C47,Order!$C:$C,Order!$D:$D,"",0,1))</f>
        <v>L1X1/8</v>
      </c>
      <c r="E47" s="4" t="e" vm="259">
        <f>IF($C47="","",_xlfn.XLOOKUP($C47,Order!$C:$C,Order!$E:$E,"",0,1))</f>
        <v>#VALUE!</v>
      </c>
      <c r="F47" s="4">
        <f>IF($C47="","",_xlfn.XLOOKUP($C47,Order!$C:$C,Order!$F:$F,"",0,1))</f>
        <v>6000</v>
      </c>
      <c r="G47" s="4" t="str">
        <f>IF($C47="","",_xlfn.XLOOKUP($C47,Order!$C:$C,Order!$G:$G,"",0,1))</f>
        <v>6063T5</v>
      </c>
      <c r="H47" s="4">
        <f>IF($C47="","",_xlfn.XLOOKUP($C47,Order!$C:$C,Order!$H:$H,"",0,1))</f>
        <v>0.41299999999999998</v>
      </c>
      <c r="I47" s="36">
        <f>IF($C47="","",_xlfn.XLOOKUP($C47,Order!$C:$C,Order!$I:$I,"",0,1))</f>
        <v>0</v>
      </c>
      <c r="J47" s="4" t="str">
        <f>IF(C47="","",Order!$I$16)</f>
        <v>MILL FINISH</v>
      </c>
      <c r="K47" s="36">
        <f>IF($C47="","",_xlfn.XLOOKUP($C47,Order!$C:$C,Order!$P:$P,"",0,1))</f>
        <v>0</v>
      </c>
      <c r="L47" s="4">
        <f t="shared" si="0"/>
        <v>0</v>
      </c>
    </row>
    <row r="48" spans="2:12" ht="23.25" hidden="1" customHeight="1" x14ac:dyDescent="0.25">
      <c r="B48" s="4">
        <v>43</v>
      </c>
      <c r="C48" s="36" t="str">
        <f>IF(Order!$C$59="","",Order!$C$59)</f>
        <v xml:space="preserve">L1.1/2X1/16 (Angle L 1.1/2x1/16" )　 </v>
      </c>
      <c r="D48" s="36" t="str">
        <f>IF($C48="","",_xlfn.XLOOKUP($C48,Order!$C:$C,Order!$D:$D,"",0,1))</f>
        <v>L1.1/2X1/16</v>
      </c>
      <c r="E48" s="4" t="e" vm="259">
        <f>IF($C48="","",_xlfn.XLOOKUP($C48,Order!$C:$C,Order!$E:$E,"",0,1))</f>
        <v>#VALUE!</v>
      </c>
      <c r="F48" s="4">
        <f>IF($C48="","",_xlfn.XLOOKUP($C48,Order!$C:$C,Order!$F:$F,"",0,1))</f>
        <v>6000</v>
      </c>
      <c r="G48" s="4" t="str">
        <f>IF($C48="","",_xlfn.XLOOKUP($C48,Order!$C:$C,Order!$G:$G,"",0,1))</f>
        <v>6063T5</v>
      </c>
      <c r="H48" s="4">
        <f>IF($C48="","",_xlfn.XLOOKUP($C48,Order!$C:$C,Order!$H:$H,"",0,1))</f>
        <v>0.32400000000000001</v>
      </c>
      <c r="I48" s="36">
        <f>IF($C48="","",_xlfn.XLOOKUP($C48,Order!$C:$C,Order!$I:$I,"",0,1))</f>
        <v>0</v>
      </c>
      <c r="J48" s="4" t="str">
        <f>IF(C48="","",Order!$I$16)</f>
        <v>MILL FINISH</v>
      </c>
      <c r="K48" s="36">
        <f>IF($C48="","",_xlfn.XLOOKUP($C48,Order!$C:$C,Order!$P:$P,"",0,1))</f>
        <v>0</v>
      </c>
      <c r="L48" s="4">
        <f t="shared" si="0"/>
        <v>0</v>
      </c>
    </row>
    <row r="49" spans="2:12" ht="23.25" hidden="1" customHeight="1" x14ac:dyDescent="0.25">
      <c r="B49" s="4">
        <v>44</v>
      </c>
      <c r="C49" s="36" t="str">
        <f>IF(Order!$C$60="","",Order!$C$60)</f>
        <v xml:space="preserve">L1.1/2X1/8 (Angle L 1.1/2x1/8") 　 </v>
      </c>
      <c r="D49" s="36" t="str">
        <f>IF($C49="","",_xlfn.XLOOKUP($C49,Order!$C:$C,Order!$D:$D,"",0,1))</f>
        <v>L1.1/2X1/8</v>
      </c>
      <c r="E49" s="4" t="e" vm="259">
        <f>IF($C49="","",_xlfn.XLOOKUP($C49,Order!$C:$C,Order!$E:$E,"",0,1))</f>
        <v>#VALUE!</v>
      </c>
      <c r="F49" s="4">
        <f>IF($C49="","",_xlfn.XLOOKUP($C49,Order!$C:$C,Order!$F:$F,"",0,1))</f>
        <v>6000</v>
      </c>
      <c r="G49" s="4" t="str">
        <f>IF($C49="","",_xlfn.XLOOKUP($C49,Order!$C:$C,Order!$G:$G,"",0,1))</f>
        <v>6063T5</v>
      </c>
      <c r="H49" s="4">
        <f>IF($C49="","",_xlfn.XLOOKUP($C49,Order!$C:$C,Order!$H:$H,"",0,1))</f>
        <v>0.63400000000000001</v>
      </c>
      <c r="I49" s="36">
        <f>IF($C49="","",_xlfn.XLOOKUP($C49,Order!$C:$C,Order!$I:$I,"",0,1))</f>
        <v>0</v>
      </c>
      <c r="J49" s="4" t="str">
        <f>IF(C49="","",Order!$I$16)</f>
        <v>MILL FINISH</v>
      </c>
      <c r="K49" s="36">
        <f>IF($C49="","",_xlfn.XLOOKUP($C49,Order!$C:$C,Order!$P:$P,"",0,1))</f>
        <v>0</v>
      </c>
      <c r="L49" s="4">
        <f t="shared" si="0"/>
        <v>0</v>
      </c>
    </row>
    <row r="50" spans="2:12" ht="23.25" hidden="1" customHeight="1" x14ac:dyDescent="0.25">
      <c r="B50" s="4">
        <v>45</v>
      </c>
      <c r="C50" s="36" t="str">
        <f>IF(Order!$C$61="","",Order!$C$61)</f>
        <v>L2X1/16 (Angle L 2 x 1/16")</v>
      </c>
      <c r="D50" s="36" t="str">
        <f>IF($C50="","",_xlfn.XLOOKUP($C50,Order!$C:$C,Order!$D:$D,"",0,1))</f>
        <v>L2X1/16</v>
      </c>
      <c r="E50" s="4" t="e" vm="259">
        <f>IF($C50="","",_xlfn.XLOOKUP($C50,Order!$C:$C,Order!$E:$E,"",0,1))</f>
        <v>#VALUE!</v>
      </c>
      <c r="F50" s="4">
        <f>IF($C50="","",_xlfn.XLOOKUP($C50,Order!$C:$C,Order!$F:$F,"",0,1))</f>
        <v>6000</v>
      </c>
      <c r="G50" s="4" t="str">
        <f>IF($C50="","",_xlfn.XLOOKUP($C50,Order!$C:$C,Order!$G:$G,"",0,1))</f>
        <v>6063T5</v>
      </c>
      <c r="H50" s="4">
        <f>IF($C50="","",_xlfn.XLOOKUP($C50,Order!$C:$C,Order!$H:$H,"",0,1))</f>
        <v>0.434</v>
      </c>
      <c r="I50" s="36">
        <f>IF($C50="","",_xlfn.XLOOKUP($C50,Order!$C:$C,Order!$I:$I,"",0,1))</f>
        <v>0</v>
      </c>
      <c r="J50" s="4" t="str">
        <f>IF(C50="","",Order!$I$16)</f>
        <v>MILL FINISH</v>
      </c>
      <c r="K50" s="36">
        <f>IF($C50="","",_xlfn.XLOOKUP($C50,Order!$C:$C,Order!$P:$P,"",0,1))</f>
        <v>0</v>
      </c>
      <c r="L50" s="4">
        <f t="shared" si="0"/>
        <v>0</v>
      </c>
    </row>
    <row r="51" spans="2:12" ht="23.25" hidden="1" customHeight="1" x14ac:dyDescent="0.25">
      <c r="B51" s="4">
        <v>46</v>
      </c>
      <c r="C51" s="36" t="str">
        <f>IF(Order!$C$62="","",Order!$C$62)</f>
        <v>L2 x 1/8  (Angle L 2 x 1/8")</v>
      </c>
      <c r="D51" s="36" t="str">
        <f>IF($C51="","",_xlfn.XLOOKUP($C51,Order!$C:$C,Order!$D:$D,"",0,1))</f>
        <v>L2x1/8</v>
      </c>
      <c r="E51" s="4" t="e" vm="259">
        <f>IF($C51="","",_xlfn.XLOOKUP($C51,Order!$C:$C,Order!$E:$E,"",0,1))</f>
        <v>#VALUE!</v>
      </c>
      <c r="F51" s="4">
        <f>IF($C51="","",_xlfn.XLOOKUP($C51,Order!$C:$C,Order!$F:$F,"",0,1))</f>
        <v>6000</v>
      </c>
      <c r="G51" s="4" t="str">
        <f>IF($C51="","",_xlfn.XLOOKUP($C51,Order!$C:$C,Order!$G:$G,"",0,1))</f>
        <v>6063T5</v>
      </c>
      <c r="H51" s="4">
        <f>IF($C51="","",_xlfn.XLOOKUP($C51,Order!$C:$C,Order!$H:$H,"",0,1))</f>
        <v>0.85399999999999998</v>
      </c>
      <c r="I51" s="36">
        <f>IF($C51="","",_xlfn.XLOOKUP($C51,Order!$C:$C,Order!$I:$I,"",0,1))</f>
        <v>0</v>
      </c>
      <c r="J51" s="4" t="str">
        <f>IF(C51="","",Order!$I$16)</f>
        <v>MILL FINISH</v>
      </c>
      <c r="K51" s="36">
        <f>IF($C51="","",_xlfn.XLOOKUP($C51,Order!$C:$C,Order!$P:$P,"",0,1))</f>
        <v>0</v>
      </c>
      <c r="L51" s="4">
        <f t="shared" si="0"/>
        <v>0</v>
      </c>
    </row>
    <row r="52" spans="2:12" ht="23.25" hidden="1" customHeight="1" x14ac:dyDescent="0.25">
      <c r="B52" s="4">
        <v>47</v>
      </c>
      <c r="C52" s="36" t="str">
        <f>IF(Order!$C$63="","",Order!$C$63)</f>
        <v>TRS3/16 (Round  solid 3/16")</v>
      </c>
      <c r="D52" s="36" t="str">
        <f>IF($C52="","",_xlfn.XLOOKUP($C52,Order!$C:$C,Order!$D:$D,"",0,1))</f>
        <v>TRS3/16</v>
      </c>
      <c r="E52" s="4" t="e" vm="260">
        <f>IF($C52="","",_xlfn.XLOOKUP($C52,Order!$C:$C,Order!$E:$E,"",0,1))</f>
        <v>#VALUE!</v>
      </c>
      <c r="F52" s="4">
        <f>IF($C52="","",_xlfn.XLOOKUP($C52,Order!$C:$C,Order!$F:$F,"",0,1))</f>
        <v>6000</v>
      </c>
      <c r="G52" s="4" t="str">
        <f>IF($C52="","",_xlfn.XLOOKUP($C52,Order!$C:$C,Order!$G:$G,"",0,1))</f>
        <v>6063T5</v>
      </c>
      <c r="H52" s="4">
        <f>IF($C52="","",_xlfn.XLOOKUP($C52,Order!$C:$C,Order!$H:$H,"",0,1))</f>
        <v>4.7E-2</v>
      </c>
      <c r="I52" s="36">
        <f>IF($C52="","",_xlfn.XLOOKUP($C52,Order!$C:$C,Order!$I:$I,"",0,1))</f>
        <v>0</v>
      </c>
      <c r="J52" s="4" t="str">
        <f>IF(C52="","",Order!$I$16)</f>
        <v>MILL FINISH</v>
      </c>
      <c r="K52" s="36">
        <f>IF($C52="","",_xlfn.XLOOKUP($C52,Order!$C:$C,Order!$P:$P,"",0,1))</f>
        <v>0</v>
      </c>
      <c r="L52" s="4">
        <f t="shared" si="0"/>
        <v>0</v>
      </c>
    </row>
    <row r="53" spans="2:12" ht="23.25" hidden="1" customHeight="1" x14ac:dyDescent="0.25">
      <c r="B53" s="4">
        <v>48</v>
      </c>
      <c r="C53" s="36" t="str">
        <f>IF(Order!$C$64="","",Order!$C$64)</f>
        <v>TRS1/4 (Round  solid 1/4")</v>
      </c>
      <c r="D53" s="36" t="str">
        <f>IF($C53="","",_xlfn.XLOOKUP($C53,Order!$C:$C,Order!$D:$D,"",0,1))</f>
        <v>TRS1/4</v>
      </c>
      <c r="E53" s="4" t="e" vm="260">
        <f>IF($C53="","",_xlfn.XLOOKUP($C53,Order!$C:$C,Order!$E:$E,"",0,1))</f>
        <v>#VALUE!</v>
      </c>
      <c r="F53" s="4">
        <f>IF($C53="","",_xlfn.XLOOKUP($C53,Order!$C:$C,Order!$F:$F,"",0,1))</f>
        <v>6000</v>
      </c>
      <c r="G53" s="4" t="str">
        <f>IF($C53="","",_xlfn.XLOOKUP($C53,Order!$C:$C,Order!$G:$G,"",0,1))</f>
        <v>6063T5</v>
      </c>
      <c r="H53" s="4">
        <f>IF($C53="","",_xlfn.XLOOKUP($C53,Order!$C:$C,Order!$H:$H,"",0,1))</f>
        <v>8.5999999999999993E-2</v>
      </c>
      <c r="I53" s="36">
        <f>IF($C53="","",_xlfn.XLOOKUP($C53,Order!$C:$C,Order!$I:$I,"",0,1))</f>
        <v>0</v>
      </c>
      <c r="J53" s="4" t="str">
        <f>IF(C53="","",Order!$I$16)</f>
        <v>MILL FINISH</v>
      </c>
      <c r="K53" s="36">
        <f>IF($C53="","",_xlfn.XLOOKUP($C53,Order!$C:$C,Order!$P:$P,"",0,1))</f>
        <v>0</v>
      </c>
      <c r="L53" s="4">
        <f t="shared" si="0"/>
        <v>0</v>
      </c>
    </row>
    <row r="54" spans="2:12" ht="23.25" hidden="1" customHeight="1" x14ac:dyDescent="0.25">
      <c r="B54" s="4">
        <v>49</v>
      </c>
      <c r="C54" s="36" t="str">
        <f>IF(Order!$C$65="","",Order!$C$65)</f>
        <v>TQS1/4 (Square solid 1/4")</v>
      </c>
      <c r="D54" s="36" t="str">
        <f>IF($C54="","",_xlfn.XLOOKUP($C54,Order!$C:$C,Order!$D:$D,"",0,1))</f>
        <v>TQS1/4</v>
      </c>
      <c r="E54" s="4" t="e" vm="261">
        <f>IF($C54="","",_xlfn.XLOOKUP($C54,Order!$C:$C,Order!$E:$E,"",0,1))</f>
        <v>#VALUE!</v>
      </c>
      <c r="F54" s="4">
        <f>IF($C54="","",_xlfn.XLOOKUP($C54,Order!$C:$C,Order!$F:$F,"",0,1))</f>
        <v>6000</v>
      </c>
      <c r="G54" s="4" t="str">
        <f>IF($C54="","",_xlfn.XLOOKUP($C54,Order!$C:$C,Order!$G:$G,"",0,1))</f>
        <v>6063T5</v>
      </c>
      <c r="H54" s="4">
        <f>IF($C54="","",_xlfn.XLOOKUP($C54,Order!$C:$C,Order!$H:$H,"",0,1))</f>
        <v>0.11</v>
      </c>
      <c r="I54" s="36">
        <f>IF($C54="","",_xlfn.XLOOKUP($C54,Order!$C:$C,Order!$I:$I,"",0,1))</f>
        <v>0</v>
      </c>
      <c r="J54" s="4" t="str">
        <f>IF(C54="","",Order!$I$16)</f>
        <v>MILL FINISH</v>
      </c>
      <c r="K54" s="36">
        <f>IF($C54="","",_xlfn.XLOOKUP($C54,Order!$C:$C,Order!$P:$P,"",0,1))</f>
        <v>0</v>
      </c>
      <c r="L54" s="4">
        <f t="shared" si="0"/>
        <v>0</v>
      </c>
    </row>
    <row r="55" spans="2:12" ht="23.25" hidden="1" customHeight="1" x14ac:dyDescent="0.25">
      <c r="B55" s="4">
        <v>50</v>
      </c>
      <c r="C55" s="36" t="str">
        <f>IF(Order!$C$66="","",Order!$C$66)</f>
        <v/>
      </c>
      <c r="D55" s="36" t="str">
        <f>IF($C55="","",_xlfn.XLOOKUP($C55,Order!$C:$C,Order!$D:$D,"",0,1))</f>
        <v/>
      </c>
      <c r="E55" s="4" t="str">
        <f>IF($C55="","",_xlfn.XLOOKUP($C55,Order!$C:$C,Order!$E:$E,"",0,1))</f>
        <v/>
      </c>
      <c r="F55" s="4" t="str">
        <f>IF($C55="","",_xlfn.XLOOKUP($C55,Order!$C:$C,Order!$F:$F,"",0,1))</f>
        <v/>
      </c>
      <c r="G55" s="4" t="str">
        <f>IF($C55="","",_xlfn.XLOOKUP($C55,Order!$C:$C,Order!$G:$G,"",0,1))</f>
        <v/>
      </c>
      <c r="H55" s="4" t="str">
        <f>IF($C55="","",_xlfn.XLOOKUP($C55,Order!$C:$C,Order!$H:$H,"",0,1))</f>
        <v/>
      </c>
      <c r="I55" s="36" t="str">
        <f>IF($C55="","",_xlfn.XLOOKUP($C55,Order!$C:$C,Order!$I:$I,"",0,1))</f>
        <v/>
      </c>
      <c r="J55" s="4" t="str">
        <f>IF(C55="","",Order!$I$16)</f>
        <v/>
      </c>
      <c r="K55" s="36" t="str">
        <f>IF($C55="","",_xlfn.XLOOKUP($C55,Order!$C:$C,Order!$P:$P,"",0,1))</f>
        <v/>
      </c>
      <c r="L55" s="4" t="str">
        <f t="shared" si="0"/>
        <v/>
      </c>
    </row>
    <row r="56" spans="2:12" ht="23.25" hidden="1" customHeight="1" x14ac:dyDescent="0.25">
      <c r="B56" s="4">
        <v>51</v>
      </c>
      <c r="C56" s="36" t="str">
        <f>IF(Order!$C$67="","",Order!$C$67)</f>
        <v/>
      </c>
      <c r="D56" s="36" t="str">
        <f>IF($C56="","",_xlfn.XLOOKUP($C56,Order!$C:$C,Order!$D:$D,"",0,1))</f>
        <v/>
      </c>
      <c r="E56" s="4" t="str">
        <f>IF($C56="","",_xlfn.XLOOKUP($C56,Order!$C:$C,Order!$E:$E,"",0,1))</f>
        <v/>
      </c>
      <c r="F56" s="4" t="str">
        <f>IF($C56="","",_xlfn.XLOOKUP($C56,Order!$C:$C,Order!$F:$F,"",0,1))</f>
        <v/>
      </c>
      <c r="G56" s="4" t="str">
        <f>IF($C56="","",_xlfn.XLOOKUP($C56,Order!$C:$C,Order!$G:$G,"",0,1))</f>
        <v/>
      </c>
      <c r="H56" s="4" t="str">
        <f>IF($C56="","",_xlfn.XLOOKUP($C56,Order!$C:$C,Order!$H:$H,"",0,1))</f>
        <v/>
      </c>
      <c r="I56" s="36" t="str">
        <f>IF($C56="","",_xlfn.XLOOKUP($C56,Order!$C:$C,Order!$I:$I,"",0,1))</f>
        <v/>
      </c>
      <c r="J56" s="4" t="str">
        <f>IF(C56="","",Order!$I$16)</f>
        <v/>
      </c>
      <c r="K56" s="36" t="str">
        <f>IF($C56="","",_xlfn.XLOOKUP($C56,Order!$C:$C,Order!$P:$P,"",0,1))</f>
        <v/>
      </c>
      <c r="L56" s="4" t="str">
        <f t="shared" si="0"/>
        <v/>
      </c>
    </row>
    <row r="57" spans="2:12" ht="23.25" hidden="1" customHeight="1" x14ac:dyDescent="0.25">
      <c r="B57" s="4">
        <v>52</v>
      </c>
      <c r="C57" s="36" t="str">
        <f>IF(Order!$C$68="","",Order!$C$68)</f>
        <v/>
      </c>
      <c r="D57" s="36" t="str">
        <f>IF($C57="","",_xlfn.XLOOKUP($C57,Order!$C:$C,Order!$D:$D,"",0,1))</f>
        <v/>
      </c>
      <c r="E57" s="4" t="str">
        <f>IF($C57="","",_xlfn.XLOOKUP($C57,Order!$C:$C,Order!$E:$E,"",0,1))</f>
        <v/>
      </c>
      <c r="F57" s="4" t="str">
        <f>IF($C57="","",_xlfn.XLOOKUP($C57,Order!$C:$C,Order!$F:$F,"",0,1))</f>
        <v/>
      </c>
      <c r="G57" s="4" t="str">
        <f>IF($C57="","",_xlfn.XLOOKUP($C57,Order!$C:$C,Order!$G:$G,"",0,1))</f>
        <v/>
      </c>
      <c r="H57" s="4" t="str">
        <f>IF($C57="","",_xlfn.XLOOKUP($C57,Order!$C:$C,Order!$H:$H,"",0,1))</f>
        <v/>
      </c>
      <c r="I57" s="36" t="str">
        <f>IF($C57="","",_xlfn.XLOOKUP($C57,Order!$C:$C,Order!$I:$I,"",0,1))</f>
        <v/>
      </c>
      <c r="J57" s="4" t="str">
        <f>IF(C57="","",Order!$I$16)</f>
        <v/>
      </c>
      <c r="K57" s="36" t="str">
        <f>IF($C57="","",_xlfn.XLOOKUP($C57,Order!$C:$C,Order!$P:$P,"",0,1))</f>
        <v/>
      </c>
      <c r="L57" s="4" t="str">
        <f t="shared" si="0"/>
        <v/>
      </c>
    </row>
    <row r="58" spans="2:12" ht="23.25" hidden="1" customHeight="1" x14ac:dyDescent="0.25">
      <c r="B58" s="4">
        <v>53</v>
      </c>
      <c r="C58" s="36" t="str">
        <f>IF(Order!$C$69="","",Order!$C$69)</f>
        <v/>
      </c>
      <c r="D58" s="36" t="str">
        <f>IF($C58="","",_xlfn.XLOOKUP($C58,Order!$C:$C,Order!$D:$D,"",0,1))</f>
        <v/>
      </c>
      <c r="E58" s="4" t="str">
        <f>IF($C58="","",_xlfn.XLOOKUP($C58,Order!$C:$C,Order!$E:$E,"",0,1))</f>
        <v/>
      </c>
      <c r="F58" s="4" t="str">
        <f>IF($C58="","",_xlfn.XLOOKUP($C58,Order!$C:$C,Order!$F:$F,"",0,1))</f>
        <v/>
      </c>
      <c r="G58" s="4" t="str">
        <f>IF($C58="","",_xlfn.XLOOKUP($C58,Order!$C:$C,Order!$G:$G,"",0,1))</f>
        <v/>
      </c>
      <c r="H58" s="4" t="str">
        <f>IF($C58="","",_xlfn.XLOOKUP($C58,Order!$C:$C,Order!$H:$H,"",0,1))</f>
        <v/>
      </c>
      <c r="I58" s="36" t="str">
        <f>IF($C58="","",_xlfn.XLOOKUP($C58,Order!$C:$C,Order!$I:$I,"",0,1))</f>
        <v/>
      </c>
      <c r="J58" s="4" t="str">
        <f>IF(C58="","",Order!$I$16)</f>
        <v/>
      </c>
      <c r="K58" s="36" t="str">
        <f>IF($C58="","",_xlfn.XLOOKUP($C58,Order!$C:$C,Order!$P:$P,"",0,1))</f>
        <v/>
      </c>
      <c r="L58" s="4" t="str">
        <f t="shared" si="0"/>
        <v/>
      </c>
    </row>
    <row r="59" spans="2:12" ht="23.25" hidden="1" customHeight="1" x14ac:dyDescent="0.25">
      <c r="B59" s="4">
        <v>54</v>
      </c>
      <c r="C59" s="36" t="str">
        <f>IF(Order!$C$70="","",Order!$C$70)</f>
        <v/>
      </c>
      <c r="D59" s="36" t="str">
        <f>IF($C59="","",_xlfn.XLOOKUP($C59,Order!$C:$C,Order!$D:$D,"",0,1))</f>
        <v/>
      </c>
      <c r="E59" s="4" t="str">
        <f>IF($C59="","",_xlfn.XLOOKUP($C59,Order!$C:$C,Order!$E:$E,"",0,1))</f>
        <v/>
      </c>
      <c r="F59" s="4" t="str">
        <f>IF($C59="","",_xlfn.XLOOKUP($C59,Order!$C:$C,Order!$F:$F,"",0,1))</f>
        <v/>
      </c>
      <c r="G59" s="4" t="str">
        <f>IF($C59="","",_xlfn.XLOOKUP($C59,Order!$C:$C,Order!$G:$G,"",0,1))</f>
        <v/>
      </c>
      <c r="H59" s="4" t="str">
        <f>IF($C59="","",_xlfn.XLOOKUP($C59,Order!$C:$C,Order!$H:$H,"",0,1))</f>
        <v/>
      </c>
      <c r="I59" s="36" t="str">
        <f>IF($C59="","",_xlfn.XLOOKUP($C59,Order!$C:$C,Order!$I:$I,"",0,1))</f>
        <v/>
      </c>
      <c r="J59" s="4" t="str">
        <f>IF(C59="","",Order!$I$16)</f>
        <v/>
      </c>
      <c r="K59" s="36" t="str">
        <f>IF($C59="","",_xlfn.XLOOKUP($C59,Order!$C:$C,Order!$P:$P,"",0,1))</f>
        <v/>
      </c>
      <c r="L59" s="4" t="str">
        <f t="shared" si="0"/>
        <v/>
      </c>
    </row>
    <row r="60" spans="2:12" ht="23.25" hidden="1" customHeight="1" x14ac:dyDescent="0.25">
      <c r="B60" s="4">
        <v>55</v>
      </c>
      <c r="C60" s="36" t="str">
        <f>IF(Order!$C$71="","",Order!$C$71)</f>
        <v/>
      </c>
      <c r="D60" s="36" t="str">
        <f>IF($C60="","",_xlfn.XLOOKUP($C60,Order!$C:$C,Order!$D:$D,"",0,1))</f>
        <v/>
      </c>
      <c r="E60" s="4" t="str">
        <f>IF($C60="","",_xlfn.XLOOKUP($C60,Order!$C:$C,Order!$E:$E,"",0,1))</f>
        <v/>
      </c>
      <c r="F60" s="4" t="str">
        <f>IF($C60="","",_xlfn.XLOOKUP($C60,Order!$C:$C,Order!$F:$F,"",0,1))</f>
        <v/>
      </c>
      <c r="G60" s="4" t="str">
        <f>IF($C60="","",_xlfn.XLOOKUP($C60,Order!$C:$C,Order!$G:$G,"",0,1))</f>
        <v/>
      </c>
      <c r="H60" s="4" t="str">
        <f>IF($C60="","",_xlfn.XLOOKUP($C60,Order!$C:$C,Order!$H:$H,"",0,1))</f>
        <v/>
      </c>
      <c r="I60" s="36" t="str">
        <f>IF($C60="","",_xlfn.XLOOKUP($C60,Order!$C:$C,Order!$I:$I,"",0,1))</f>
        <v/>
      </c>
      <c r="J60" s="4" t="str">
        <f>IF(C60="","",Order!$I$16)</f>
        <v/>
      </c>
      <c r="K60" s="36" t="str">
        <f>IF($C60="","",_xlfn.XLOOKUP($C60,Order!$C:$C,Order!$P:$P,"",0,1))</f>
        <v/>
      </c>
      <c r="L60" s="4" t="str">
        <f t="shared" si="0"/>
        <v/>
      </c>
    </row>
    <row r="61" spans="2:12" ht="23.25" hidden="1" customHeight="1" x14ac:dyDescent="0.25">
      <c r="B61" s="4">
        <v>56</v>
      </c>
      <c r="C61" s="36" t="str">
        <f>IF(Order!$C$72="","",Order!$C$72)</f>
        <v/>
      </c>
      <c r="D61" s="36" t="str">
        <f>IF($C61="","",_xlfn.XLOOKUP($C61,Order!$C:$C,Order!$D:$D,"",0,1))</f>
        <v/>
      </c>
      <c r="E61" s="4" t="str">
        <f>IF($C61="","",_xlfn.XLOOKUP($C61,Order!$C:$C,Order!$E:$E,"",0,1))</f>
        <v/>
      </c>
      <c r="F61" s="4" t="str">
        <f>IF($C61="","",_xlfn.XLOOKUP($C61,Order!$C:$C,Order!$F:$F,"",0,1))</f>
        <v/>
      </c>
      <c r="G61" s="4" t="str">
        <f>IF($C61="","",_xlfn.XLOOKUP($C61,Order!$C:$C,Order!$G:$G,"",0,1))</f>
        <v/>
      </c>
      <c r="H61" s="4" t="str">
        <f>IF($C61="","",_xlfn.XLOOKUP($C61,Order!$C:$C,Order!$H:$H,"",0,1))</f>
        <v/>
      </c>
      <c r="I61" s="36" t="str">
        <f>IF($C61="","",_xlfn.XLOOKUP($C61,Order!$C:$C,Order!$I:$I,"",0,1))</f>
        <v/>
      </c>
      <c r="J61" s="4" t="str">
        <f>IF(C61="","",Order!$I$16)</f>
        <v/>
      </c>
      <c r="K61" s="36" t="str">
        <f>IF($C61="","",_xlfn.XLOOKUP($C61,Order!$C:$C,Order!$P:$P,"",0,1))</f>
        <v/>
      </c>
      <c r="L61" s="4" t="str">
        <f t="shared" si="0"/>
        <v/>
      </c>
    </row>
    <row r="62" spans="2:12" ht="23.25" hidden="1" customHeight="1" x14ac:dyDescent="0.25">
      <c r="B62" s="4">
        <v>57</v>
      </c>
      <c r="C62" s="36" t="str">
        <f>IF(Order!$C$73="","",Order!$C$73)</f>
        <v/>
      </c>
      <c r="D62" s="36" t="str">
        <f>IF($C62="","",_xlfn.XLOOKUP($C62,Order!$C:$C,Order!$D:$D,"",0,1))</f>
        <v/>
      </c>
      <c r="E62" s="4" t="str">
        <f>IF($C62="","",_xlfn.XLOOKUP($C62,Order!$C:$C,Order!$E:$E,"",0,1))</f>
        <v/>
      </c>
      <c r="F62" s="4" t="str">
        <f>IF($C62="","",_xlfn.XLOOKUP($C62,Order!$C:$C,Order!$F:$F,"",0,1))</f>
        <v/>
      </c>
      <c r="G62" s="4" t="str">
        <f>IF($C62="","",_xlfn.XLOOKUP($C62,Order!$C:$C,Order!$G:$G,"",0,1))</f>
        <v/>
      </c>
      <c r="H62" s="4" t="str">
        <f>IF($C62="","",_xlfn.XLOOKUP($C62,Order!$C:$C,Order!$H:$H,"",0,1))</f>
        <v/>
      </c>
      <c r="I62" s="36" t="str">
        <f>IF($C62="","",_xlfn.XLOOKUP($C62,Order!$C:$C,Order!$I:$I,"",0,1))</f>
        <v/>
      </c>
      <c r="J62" s="4" t="str">
        <f>IF(C62="","",Order!$I$16)</f>
        <v/>
      </c>
      <c r="K62" s="36" t="str">
        <f>IF($C62="","",_xlfn.XLOOKUP($C62,Order!$C:$C,Order!$P:$P,"",0,1))</f>
        <v/>
      </c>
      <c r="L62" s="4" t="str">
        <f t="shared" si="0"/>
        <v/>
      </c>
    </row>
    <row r="63" spans="2:12" ht="23.25" hidden="1" customHeight="1" x14ac:dyDescent="0.25">
      <c r="B63" s="4">
        <v>58</v>
      </c>
      <c r="C63" s="36" t="str">
        <f>IF(Order!$C$74="","",Order!$C$74)</f>
        <v>CM200</v>
      </c>
      <c r="D63" s="36" t="str">
        <f>IF($C63="","",_xlfn.XLOOKUP($C63,Order!$C:$C,Order!$D:$D,"",0,1))</f>
        <v>CM200</v>
      </c>
      <c r="E63" s="4" t="e" vm="262">
        <f>IF($C63="","",_xlfn.XLOOKUP($C63,Order!$C:$C,Order!$E:$E,"",0,1))</f>
        <v>#VALUE!</v>
      </c>
      <c r="F63" s="4">
        <f>IF($C63="","",_xlfn.XLOOKUP($C63,Order!$C:$C,Order!$F:$F,"",0,1))</f>
        <v>6000</v>
      </c>
      <c r="G63" s="4" t="str">
        <f>IF($C63="","",_xlfn.XLOOKUP($C63,Order!$C:$C,Order!$G:$G,"",0,1))</f>
        <v>6063T5</v>
      </c>
      <c r="H63" s="4">
        <f>IF($C63="","",_xlfn.XLOOKUP($C63,Order!$C:$C,Order!$H:$H,"",0,1))</f>
        <v>0.128</v>
      </c>
      <c r="I63" s="36">
        <f>IF($C63="","",_xlfn.XLOOKUP($C63,Order!$C:$C,Order!$I:$I,"",0,1))</f>
        <v>0</v>
      </c>
      <c r="J63" s="4" t="str">
        <f>IF(C63="","",Order!$I$16)</f>
        <v>MILL FINISH</v>
      </c>
      <c r="K63" s="36">
        <f>IF($C63="","",_xlfn.XLOOKUP($C63,Order!$C:$C,Order!$P:$P,"",0,1))</f>
        <v>0</v>
      </c>
      <c r="L63" s="4">
        <f t="shared" si="0"/>
        <v>0</v>
      </c>
    </row>
    <row r="64" spans="2:12" ht="23.25" hidden="1" customHeight="1" x14ac:dyDescent="0.25">
      <c r="B64" s="4">
        <v>59</v>
      </c>
      <c r="C64" s="36" t="str">
        <f>IF(Order!$C$75="","",Order!$C$75)</f>
        <v>CL006</v>
      </c>
      <c r="D64" s="36" t="str">
        <f>IF($C64="","",_xlfn.XLOOKUP($C64,Order!$C:$C,Order!$D:$D,"",0,1))</f>
        <v>CL006</v>
      </c>
      <c r="E64" s="4" t="e" vm="263">
        <f>IF($C64="","",_xlfn.XLOOKUP($C64,Order!$C:$C,Order!$E:$E,"",0,1))</f>
        <v>#VALUE!</v>
      </c>
      <c r="F64" s="4">
        <f>IF($C64="","",_xlfn.XLOOKUP($C64,Order!$C:$C,Order!$F:$F,"",0,1))</f>
        <v>6000</v>
      </c>
      <c r="G64" s="4" t="str">
        <f>IF($C64="","",_xlfn.XLOOKUP($C64,Order!$C:$C,Order!$G:$G,"",0,1))</f>
        <v>6063T5</v>
      </c>
      <c r="H64" s="4">
        <f>IF($C64="","",_xlfn.XLOOKUP($C64,Order!$C:$C,Order!$H:$H,"",0,1))</f>
        <v>1.115</v>
      </c>
      <c r="I64" s="36">
        <f>IF($C64="","",_xlfn.XLOOKUP($C64,Order!$C:$C,Order!$I:$I,"",0,1))</f>
        <v>0</v>
      </c>
      <c r="J64" s="4" t="str">
        <f>IF(C64="","",Order!$I$16)</f>
        <v>MILL FINISH</v>
      </c>
      <c r="K64" s="36">
        <f>IF($C64="","",_xlfn.XLOOKUP($C64,Order!$C:$C,Order!$P:$P,"",0,1))</f>
        <v>0</v>
      </c>
      <c r="L64" s="4">
        <f t="shared" si="0"/>
        <v>0</v>
      </c>
    </row>
    <row r="65" spans="2:12" ht="23.25" hidden="1" customHeight="1" x14ac:dyDescent="0.25">
      <c r="B65" s="4">
        <v>60</v>
      </c>
      <c r="C65" s="36" t="str">
        <f>IF(Order!$C$76="","",Order!$C$76)</f>
        <v>CL011</v>
      </c>
      <c r="D65" s="36" t="str">
        <f>IF($C65="","",_xlfn.XLOOKUP($C65,Order!$C:$C,Order!$D:$D,"",0,1))</f>
        <v>CL011</v>
      </c>
      <c r="E65" s="4" t="e" vm="264">
        <f>IF($C65="","",_xlfn.XLOOKUP($C65,Order!$C:$C,Order!$E:$E,"",0,1))</f>
        <v>#VALUE!</v>
      </c>
      <c r="F65" s="4">
        <f>IF($C65="","",_xlfn.XLOOKUP($C65,Order!$C:$C,Order!$F:$F,"",0,1))</f>
        <v>6000</v>
      </c>
      <c r="G65" s="4" t="str">
        <f>IF($C65="","",_xlfn.XLOOKUP($C65,Order!$C:$C,Order!$G:$G,"",0,1))</f>
        <v>6063T5</v>
      </c>
      <c r="H65" s="4">
        <f>IF($C65="","",_xlfn.XLOOKUP($C65,Order!$C:$C,Order!$H:$H,"",0,1))</f>
        <v>0.311</v>
      </c>
      <c r="I65" s="36">
        <f>IF($C65="","",_xlfn.XLOOKUP($C65,Order!$C:$C,Order!$I:$I,"",0,1))</f>
        <v>0</v>
      </c>
      <c r="J65" s="4" t="str">
        <f>IF(C65="","",Order!$I$16)</f>
        <v>MILL FINISH</v>
      </c>
      <c r="K65" s="36">
        <f>IF($C65="","",_xlfn.XLOOKUP($C65,Order!$C:$C,Order!$P:$P,"",0,1))</f>
        <v>0</v>
      </c>
      <c r="L65" s="4">
        <f t="shared" si="0"/>
        <v>0</v>
      </c>
    </row>
    <row r="66" spans="2:12" ht="23.25" hidden="1" customHeight="1" x14ac:dyDescent="0.25">
      <c r="B66" s="4">
        <v>61</v>
      </c>
      <c r="C66" s="36" t="str">
        <f>IF(Order!$C$77="","",Order!$C$77)</f>
        <v>BX810</v>
      </c>
      <c r="D66" s="36" t="str">
        <f>IF($C66="","",_xlfn.XLOOKUP($C66,Order!$C:$C,Order!$D:$D,"",0,1))</f>
        <v>BX810</v>
      </c>
      <c r="E66" s="4" t="e" vm="265">
        <f>IF($C66="","",_xlfn.XLOOKUP($C66,Order!$C:$C,Order!$E:$E,"",0,1))</f>
        <v>#VALUE!</v>
      </c>
      <c r="F66" s="4">
        <f>IF($C66="","",_xlfn.XLOOKUP($C66,Order!$C:$C,Order!$F:$F,"",0,1))</f>
        <v>6000</v>
      </c>
      <c r="G66" s="4" t="str">
        <f>IF($C66="","",_xlfn.XLOOKUP($C66,Order!$C:$C,Order!$G:$G,"",0,1))</f>
        <v>6063T5</v>
      </c>
      <c r="H66" s="4">
        <f>IF($C66="","",_xlfn.XLOOKUP($C66,Order!$C:$C,Order!$H:$H,"",0,1))</f>
        <v>0.53600000000000003</v>
      </c>
      <c r="I66" s="36">
        <f>IF($C66="","",_xlfn.XLOOKUP($C66,Order!$C:$C,Order!$I:$I,"",0,1))</f>
        <v>0</v>
      </c>
      <c r="J66" s="4" t="str">
        <f>IF(C66="","",Order!$I$16)</f>
        <v>MILL FINISH</v>
      </c>
      <c r="K66" s="36">
        <f>IF($C66="","",_xlfn.XLOOKUP($C66,Order!$C:$C,Order!$P:$P,"",0,1))</f>
        <v>0</v>
      </c>
      <c r="L66" s="4">
        <f t="shared" si="0"/>
        <v>0</v>
      </c>
    </row>
    <row r="67" spans="2:12" ht="23.25" hidden="1" customHeight="1" x14ac:dyDescent="0.25">
      <c r="B67" s="4">
        <v>62</v>
      </c>
      <c r="C67" s="36" t="str">
        <f>IF(Order!$C$78="","",Order!$C$78)</f>
        <v>BX811</v>
      </c>
      <c r="D67" s="36" t="str">
        <f>IF($C67="","",_xlfn.XLOOKUP($C67,Order!$C:$C,Order!$D:$D,"",0,1))</f>
        <v>BX811</v>
      </c>
      <c r="E67" s="4" t="e" vm="266">
        <f>IF($C67="","",_xlfn.XLOOKUP($C67,Order!$C:$C,Order!$E:$E,"",0,1))</f>
        <v>#VALUE!</v>
      </c>
      <c r="F67" s="4">
        <f>IF($C67="","",_xlfn.XLOOKUP($C67,Order!$C:$C,Order!$F:$F,"",0,1))</f>
        <v>6000</v>
      </c>
      <c r="G67" s="4" t="str">
        <f>IF($C67="","",_xlfn.XLOOKUP($C67,Order!$C:$C,Order!$G:$G,"",0,1))</f>
        <v>6063T5</v>
      </c>
      <c r="H67" s="4">
        <f>IF($C67="","",_xlfn.XLOOKUP($C67,Order!$C:$C,Order!$H:$H,"",0,1))</f>
        <v>0.35799999999999998</v>
      </c>
      <c r="I67" s="36">
        <f>IF($C67="","",_xlfn.XLOOKUP($C67,Order!$C:$C,Order!$I:$I,"",0,1))</f>
        <v>0</v>
      </c>
      <c r="J67" s="4" t="str">
        <f>IF(C67="","",Order!$I$16)</f>
        <v>MILL FINISH</v>
      </c>
      <c r="K67" s="36">
        <f>IF($C67="","",_xlfn.XLOOKUP($C67,Order!$C:$C,Order!$P:$P,"",0,1))</f>
        <v>0</v>
      </c>
      <c r="L67" s="4">
        <f t="shared" si="0"/>
        <v>0</v>
      </c>
    </row>
    <row r="68" spans="2:12" ht="23.25" hidden="1" customHeight="1" x14ac:dyDescent="0.25">
      <c r="B68" s="4">
        <v>63</v>
      </c>
      <c r="C68" s="36" t="str">
        <f>IF(Order!$C$79="","",Order!$C$79)</f>
        <v>BX856</v>
      </c>
      <c r="D68" s="36" t="str">
        <f>IF($C68="","",_xlfn.XLOOKUP($C68,Order!$C:$C,Order!$D:$D,"",0,1))</f>
        <v>BX856</v>
      </c>
      <c r="E68" s="4" t="e" vm="267">
        <f>IF($C68="","",_xlfn.XLOOKUP($C68,Order!$C:$C,Order!$E:$E,"",0,1))</f>
        <v>#VALUE!</v>
      </c>
      <c r="F68" s="4">
        <f>IF($C68="","",_xlfn.XLOOKUP($C68,Order!$C:$C,Order!$F:$F,"",0,1))</f>
        <v>6000</v>
      </c>
      <c r="G68" s="4" t="str">
        <f>IF($C68="","",_xlfn.XLOOKUP($C68,Order!$C:$C,Order!$G:$G,"",0,1))</f>
        <v>6063T5</v>
      </c>
      <c r="H68" s="4">
        <f>IF($C68="","",_xlfn.XLOOKUP($C68,Order!$C:$C,Order!$H:$H,"",0,1))</f>
        <v>0.22600000000000001</v>
      </c>
      <c r="I68" s="36">
        <f>IF($C68="","",_xlfn.XLOOKUP($C68,Order!$C:$C,Order!$I:$I,"",0,1))</f>
        <v>0</v>
      </c>
      <c r="J68" s="4" t="str">
        <f>IF(C68="","",Order!$I$16)</f>
        <v>MILL FINISH</v>
      </c>
      <c r="K68" s="36">
        <f>IF($C68="","",_xlfn.XLOOKUP($C68,Order!$C:$C,Order!$P:$P,"",0,1))</f>
        <v>0</v>
      </c>
      <c r="L68" s="4">
        <f t="shared" si="0"/>
        <v>0</v>
      </c>
    </row>
    <row r="69" spans="2:12" ht="23.25" hidden="1" customHeight="1" x14ac:dyDescent="0.25">
      <c r="B69" s="4">
        <v>64</v>
      </c>
      <c r="C69" s="36" t="str">
        <f>IF(Order!$C$80="","",Order!$C$80)</f>
        <v>AF051</v>
      </c>
      <c r="D69" s="36" t="str">
        <f>IF($C69="","",_xlfn.XLOOKUP($C69,Order!$C:$C,Order!$D:$D,"",0,1))</f>
        <v>AF051</v>
      </c>
      <c r="E69" s="4" t="e" vm="268">
        <f>IF($C69="","",_xlfn.XLOOKUP($C69,Order!$C:$C,Order!$E:$E,"",0,1))</f>
        <v>#VALUE!</v>
      </c>
      <c r="F69" s="4">
        <f>IF($C69="","",_xlfn.XLOOKUP($C69,Order!$C:$C,Order!$F:$F,"",0,1))</f>
        <v>6000</v>
      </c>
      <c r="G69" s="4" t="str">
        <f>IF($C69="","",_xlfn.XLOOKUP($C69,Order!$C:$C,Order!$G:$G,"",0,1))</f>
        <v>6063T5</v>
      </c>
      <c r="H69" s="4">
        <f>IF($C69="","",_xlfn.XLOOKUP($C69,Order!$C:$C,Order!$H:$H,"",0,1))</f>
        <v>0.2</v>
      </c>
      <c r="I69" s="36">
        <f>IF($C69="","",_xlfn.XLOOKUP($C69,Order!$C:$C,Order!$I:$I,"",0,1))</f>
        <v>0</v>
      </c>
      <c r="J69" s="4" t="str">
        <f>IF(C69="","",Order!$I$16)</f>
        <v>MILL FINISH</v>
      </c>
      <c r="K69" s="36">
        <f>IF($C69="","",_xlfn.XLOOKUP($C69,Order!$C:$C,Order!$P:$P,"",0,1))</f>
        <v>0</v>
      </c>
      <c r="L69" s="4">
        <f t="shared" si="0"/>
        <v>0</v>
      </c>
    </row>
    <row r="70" spans="2:12" ht="23.25" hidden="1" customHeight="1" x14ac:dyDescent="0.25">
      <c r="B70" s="4">
        <v>65</v>
      </c>
      <c r="C70" s="36" t="str">
        <f>IF(Order!$C$81="","",Order!$C$81)</f>
        <v>AF053</v>
      </c>
      <c r="D70" s="36" t="str">
        <f>IF($C70="","",_xlfn.XLOOKUP($C70,Order!$C:$C,Order!$D:$D,"",0,1))</f>
        <v>AF053</v>
      </c>
      <c r="E70" s="4" t="e" vm="269">
        <f>IF($C70="","",_xlfn.XLOOKUP($C70,Order!$C:$C,Order!$E:$E,"",0,1))</f>
        <v>#VALUE!</v>
      </c>
      <c r="F70" s="4">
        <f>IF($C70="","",_xlfn.XLOOKUP($C70,Order!$C:$C,Order!$F:$F,"",0,1))</f>
        <v>6000</v>
      </c>
      <c r="G70" s="4" t="str">
        <f>IF($C70="","",_xlfn.XLOOKUP($C70,Order!$C:$C,Order!$G:$G,"",0,1))</f>
        <v>6063T5</v>
      </c>
      <c r="H70" s="4">
        <f>IF($C70="","",_xlfn.XLOOKUP($C70,Order!$C:$C,Order!$H:$H,"",0,1))</f>
        <v>0.32500000000000001</v>
      </c>
      <c r="I70" s="36">
        <f>IF($C70="","",_xlfn.XLOOKUP($C70,Order!$C:$C,Order!$I:$I,"",0,1))</f>
        <v>0</v>
      </c>
      <c r="J70" s="4" t="str">
        <f>IF(C70="","",Order!$I$16)</f>
        <v>MILL FINISH</v>
      </c>
      <c r="K70" s="36">
        <f>IF($C70="","",_xlfn.XLOOKUP($C70,Order!$C:$C,Order!$P:$P,"",0,1))</f>
        <v>0</v>
      </c>
      <c r="L70" s="4">
        <f t="shared" si="0"/>
        <v>0</v>
      </c>
    </row>
    <row r="71" spans="2:12" ht="23.25" hidden="1" customHeight="1" x14ac:dyDescent="0.25">
      <c r="B71" s="4">
        <v>66</v>
      </c>
      <c r="C71" s="36" t="str">
        <f>IF(Order!$C$82="","",Order!$C$82)</f>
        <v>AF055</v>
      </c>
      <c r="D71" s="36" t="str">
        <f>IF($C71="","",_xlfn.XLOOKUP($C71,Order!$C:$C,Order!$D:$D,"",0,1))</f>
        <v>AF055</v>
      </c>
      <c r="E71" s="4" t="e" vm="270">
        <f>IF($C71="","",_xlfn.XLOOKUP($C71,Order!$C:$C,Order!$E:$E,"",0,1))</f>
        <v>#VALUE!</v>
      </c>
      <c r="F71" s="4">
        <f>IF($C71="","",_xlfn.XLOOKUP($C71,Order!$C:$C,Order!$F:$F,"",0,1))</f>
        <v>6000</v>
      </c>
      <c r="G71" s="4" t="str">
        <f>IF($C71="","",_xlfn.XLOOKUP($C71,Order!$C:$C,Order!$G:$G,"",0,1))</f>
        <v>6063T5</v>
      </c>
      <c r="H71" s="4">
        <f>IF($C71="","",_xlfn.XLOOKUP($C71,Order!$C:$C,Order!$H:$H,"",0,1))</f>
        <v>0.26400000000000001</v>
      </c>
      <c r="I71" s="36">
        <f>IF($C71="","",_xlfn.XLOOKUP($C71,Order!$C:$C,Order!$I:$I,"",0,1))</f>
        <v>0</v>
      </c>
      <c r="J71" s="4" t="str">
        <f>IF(C71="","",Order!$I$16)</f>
        <v>MILL FINISH</v>
      </c>
      <c r="K71" s="36">
        <f>IF($C71="","",_xlfn.XLOOKUP($C71,Order!$C:$C,Order!$P:$P,"",0,1))</f>
        <v>0</v>
      </c>
      <c r="L71" s="4">
        <f t="shared" ref="L71:L134" si="1">IF(C71="","",F71/1000*H71*I71)</f>
        <v>0</v>
      </c>
    </row>
    <row r="72" spans="2:12" ht="23.25" hidden="1" customHeight="1" x14ac:dyDescent="0.25">
      <c r="B72" s="4">
        <v>67</v>
      </c>
      <c r="C72" s="36" t="str">
        <f>IF(Order!$C$83="","",Order!$C$83)</f>
        <v>AF056</v>
      </c>
      <c r="D72" s="36" t="str">
        <f>IF($C72="","",_xlfn.XLOOKUP($C72,Order!$C:$C,Order!$D:$D,"",0,1))</f>
        <v>AF056</v>
      </c>
      <c r="E72" s="4" t="e" vm="271">
        <f>IF($C72="","",_xlfn.XLOOKUP($C72,Order!$C:$C,Order!$E:$E,"",0,1))</f>
        <v>#VALUE!</v>
      </c>
      <c r="F72" s="4">
        <f>IF($C72="","",_xlfn.XLOOKUP($C72,Order!$C:$C,Order!$F:$F,"",0,1))</f>
        <v>6000</v>
      </c>
      <c r="G72" s="4" t="str">
        <f>IF($C72="","",_xlfn.XLOOKUP($C72,Order!$C:$C,Order!$G:$G,"",0,1))</f>
        <v>6063T5</v>
      </c>
      <c r="H72" s="4">
        <f>IF($C72="","",_xlfn.XLOOKUP($C72,Order!$C:$C,Order!$H:$H,"",0,1))</f>
        <v>0</v>
      </c>
      <c r="I72" s="36">
        <f>IF($C72="","",_xlfn.XLOOKUP($C72,Order!$C:$C,Order!$I:$I,"",0,1))</f>
        <v>0</v>
      </c>
      <c r="J72" s="4" t="str">
        <f>IF(C72="","",Order!$I$16)</f>
        <v>MILL FINISH</v>
      </c>
      <c r="K72" s="36">
        <f>IF($C72="","",_xlfn.XLOOKUP($C72,Order!$C:$C,Order!$P:$P,"",0,1))</f>
        <v>0</v>
      </c>
      <c r="L72" s="4">
        <f t="shared" si="1"/>
        <v>0</v>
      </c>
    </row>
    <row r="73" spans="2:12" ht="23.25" hidden="1" customHeight="1" x14ac:dyDescent="0.25">
      <c r="B73" s="4">
        <v>68</v>
      </c>
      <c r="C73" s="36" t="str">
        <f>IF(Order!$C$84="","",Order!$C$84)</f>
        <v>AF057</v>
      </c>
      <c r="D73" s="36" t="str">
        <f>IF($C73="","",_xlfn.XLOOKUP($C73,Order!$C:$C,Order!$D:$D,"",0,1))</f>
        <v>AF057</v>
      </c>
      <c r="E73" s="4" t="e" vm="272">
        <f>IF($C73="","",_xlfn.XLOOKUP($C73,Order!$C:$C,Order!$E:$E,"",0,1))</f>
        <v>#VALUE!</v>
      </c>
      <c r="F73" s="4">
        <f>IF($C73="","",_xlfn.XLOOKUP($C73,Order!$C:$C,Order!$F:$F,"",0,1))</f>
        <v>6000</v>
      </c>
      <c r="G73" s="4" t="str">
        <f>IF($C73="","",_xlfn.XLOOKUP($C73,Order!$C:$C,Order!$G:$G,"",0,1))</f>
        <v>6063T5</v>
      </c>
      <c r="H73" s="4">
        <f>IF($C73="","",_xlfn.XLOOKUP($C73,Order!$C:$C,Order!$H:$H,"",0,1))</f>
        <v>0.39100000000000001</v>
      </c>
      <c r="I73" s="36">
        <f>IF($C73="","",_xlfn.XLOOKUP($C73,Order!$C:$C,Order!$I:$I,"",0,1))</f>
        <v>0</v>
      </c>
      <c r="J73" s="4" t="str">
        <f>IF(C73="","",Order!$I$16)</f>
        <v>MILL FINISH</v>
      </c>
      <c r="K73" s="36">
        <f>IF($C73="","",_xlfn.XLOOKUP($C73,Order!$C:$C,Order!$P:$P,"",0,1))</f>
        <v>0</v>
      </c>
      <c r="L73" s="4">
        <f t="shared" si="1"/>
        <v>0</v>
      </c>
    </row>
    <row r="74" spans="2:12" ht="23.25" hidden="1" customHeight="1" x14ac:dyDescent="0.25">
      <c r="B74" s="4">
        <v>69</v>
      </c>
      <c r="C74" s="36" t="str">
        <f>IF(Order!$C$85="","",Order!$C$85)</f>
        <v>AF059</v>
      </c>
      <c r="D74" s="36" t="str">
        <f>IF($C74="","",_xlfn.XLOOKUP($C74,Order!$C:$C,Order!$D:$D,"",0,1))</f>
        <v>AF059</v>
      </c>
      <c r="E74" s="4" t="e" vm="273">
        <f>IF($C74="","",_xlfn.XLOOKUP($C74,Order!$C:$C,Order!$E:$E,"",0,1))</f>
        <v>#VALUE!</v>
      </c>
      <c r="F74" s="4">
        <f>IF($C74="","",_xlfn.XLOOKUP($C74,Order!$C:$C,Order!$F:$F,"",0,1))</f>
        <v>6000</v>
      </c>
      <c r="G74" s="4" t="str">
        <f>IF($C74="","",_xlfn.XLOOKUP($C74,Order!$C:$C,Order!$G:$G,"",0,1))</f>
        <v>6063T5</v>
      </c>
      <c r="H74" s="4">
        <f>IF($C74="","",_xlfn.XLOOKUP($C74,Order!$C:$C,Order!$H:$H,"",0,1))</f>
        <v>0.443</v>
      </c>
      <c r="I74" s="36">
        <f>IF($C74="","",_xlfn.XLOOKUP($C74,Order!$C:$C,Order!$I:$I,"",0,1))</f>
        <v>0</v>
      </c>
      <c r="J74" s="4" t="str">
        <f>IF(C74="","",Order!$I$16)</f>
        <v>MILL FINISH</v>
      </c>
      <c r="K74" s="36">
        <f>IF($C74="","",_xlfn.XLOOKUP($C74,Order!$C:$C,Order!$P:$P,"",0,1))</f>
        <v>0</v>
      </c>
      <c r="L74" s="4">
        <f t="shared" si="1"/>
        <v>0</v>
      </c>
    </row>
    <row r="75" spans="2:12" ht="23.25" hidden="1" customHeight="1" x14ac:dyDescent="0.25">
      <c r="B75" s="4">
        <v>70</v>
      </c>
      <c r="C75" s="36" t="str">
        <f>IF(Order!$C$86="","",Order!$C$86)</f>
        <v>AF060</v>
      </c>
      <c r="D75" s="36" t="str">
        <f>IF($C75="","",_xlfn.XLOOKUP($C75,Order!$C:$C,Order!$D:$D,"",0,1))</f>
        <v>AF060</v>
      </c>
      <c r="E75" s="4" t="e" vm="274">
        <f>IF($C75="","",_xlfn.XLOOKUP($C75,Order!$C:$C,Order!$E:$E,"",0,1))</f>
        <v>#VALUE!</v>
      </c>
      <c r="F75" s="4">
        <f>IF($C75="","",_xlfn.XLOOKUP($C75,Order!$C:$C,Order!$F:$F,"",0,1))</f>
        <v>6000</v>
      </c>
      <c r="G75" s="4" t="str">
        <f>IF($C75="","",_xlfn.XLOOKUP($C75,Order!$C:$C,Order!$G:$G,"",0,1))</f>
        <v>6063T5</v>
      </c>
      <c r="H75" s="4">
        <f>IF($C75="","",_xlfn.XLOOKUP($C75,Order!$C:$C,Order!$H:$H,"",0,1))</f>
        <v>0.45200000000000001</v>
      </c>
      <c r="I75" s="36">
        <f>IF($C75="","",_xlfn.XLOOKUP($C75,Order!$C:$C,Order!$I:$I,"",0,1))</f>
        <v>0</v>
      </c>
      <c r="J75" s="4" t="str">
        <f>IF(C75="","",Order!$I$16)</f>
        <v>MILL FINISH</v>
      </c>
      <c r="K75" s="36">
        <f>IF($C75="","",_xlfn.XLOOKUP($C75,Order!$C:$C,Order!$P:$P,"",0,1))</f>
        <v>0</v>
      </c>
      <c r="L75" s="4">
        <f t="shared" si="1"/>
        <v>0</v>
      </c>
    </row>
    <row r="76" spans="2:12" ht="23.25" hidden="1" customHeight="1" x14ac:dyDescent="0.25">
      <c r="B76" s="4">
        <v>71</v>
      </c>
      <c r="C76" s="36" t="str">
        <f>IF(Order!$C$87="","",Order!$C$87)</f>
        <v>AF061 15E</v>
      </c>
      <c r="D76" s="36" t="str">
        <f>IF($C76="","",_xlfn.XLOOKUP($C76,Order!$C:$C,Order!$D:$D,"",0,1))</f>
        <v>AF 061 15E</v>
      </c>
      <c r="E76" s="4" t="e" vm="275">
        <f>IF($C76="","",_xlfn.XLOOKUP($C76,Order!$C:$C,Order!$E:$E,"",0,1))</f>
        <v>#VALUE!</v>
      </c>
      <c r="F76" s="4">
        <f>IF($C76="","",_xlfn.XLOOKUP($C76,Order!$C:$C,Order!$F:$F,"",0,1))</f>
        <v>6000</v>
      </c>
      <c r="G76" s="4" t="str">
        <f>IF($C76="","",_xlfn.XLOOKUP($C76,Order!$C:$C,Order!$G:$G,"",0,1))</f>
        <v>6063T5</v>
      </c>
      <c r="H76" s="4">
        <f>IF($C76="","",_xlfn.XLOOKUP($C76,Order!$C:$C,Order!$H:$H,"",0,1))</f>
        <v>0.20200000000000001</v>
      </c>
      <c r="I76" s="36">
        <f>IF($C76="","",_xlfn.XLOOKUP($C76,Order!$C:$C,Order!$I:$I,"",0,1))</f>
        <v>0</v>
      </c>
      <c r="J76" s="4" t="str">
        <f>IF(C76="","",Order!$I$16)</f>
        <v>MILL FINISH</v>
      </c>
      <c r="K76" s="36">
        <f>IF($C76="","",_xlfn.XLOOKUP($C76,Order!$C:$C,Order!$P:$P,"",0,1))</f>
        <v>0</v>
      </c>
      <c r="L76" s="4">
        <f t="shared" si="1"/>
        <v>0</v>
      </c>
    </row>
    <row r="77" spans="2:12" ht="23.25" hidden="1" customHeight="1" x14ac:dyDescent="0.25">
      <c r="B77" s="4">
        <v>72</v>
      </c>
      <c r="C77" s="36" t="str">
        <f>IF(Order!$C$88="","",Order!$C$88)</f>
        <v>AF061 15</v>
      </c>
      <c r="D77" s="36" t="str">
        <f>IF($C77="","",_xlfn.XLOOKUP($C77,Order!$C:$C,Order!$D:$D,"",0,1))</f>
        <v>AF061 15</v>
      </c>
      <c r="E77" s="4" t="e" vm="276">
        <f>IF($C77="","",_xlfn.XLOOKUP($C77,Order!$C:$C,Order!$E:$E,"",0,1))</f>
        <v>#VALUE!</v>
      </c>
      <c r="F77" s="4">
        <f>IF($C77="","",_xlfn.XLOOKUP($C77,Order!$C:$C,Order!$F:$F,"",0,1))</f>
        <v>6000</v>
      </c>
      <c r="G77" s="4" t="str">
        <f>IF($C77="","",_xlfn.XLOOKUP($C77,Order!$C:$C,Order!$G:$G,"",0,1))</f>
        <v>6063T5</v>
      </c>
      <c r="H77" s="4">
        <f>IF($C77="","",_xlfn.XLOOKUP($C77,Order!$C:$C,Order!$H:$H,"",0,1))</f>
        <v>0.36399999999999999</v>
      </c>
      <c r="I77" s="36">
        <f>IF($C77="","",_xlfn.XLOOKUP($C77,Order!$C:$C,Order!$I:$I,"",0,1))</f>
        <v>0</v>
      </c>
      <c r="J77" s="4" t="str">
        <f>IF(C77="","",Order!$I$16)</f>
        <v>MILL FINISH</v>
      </c>
      <c r="K77" s="36">
        <f>IF($C77="","",_xlfn.XLOOKUP($C77,Order!$C:$C,Order!$P:$P,"",0,1))</f>
        <v>0</v>
      </c>
      <c r="L77" s="4">
        <f t="shared" si="1"/>
        <v>0</v>
      </c>
    </row>
    <row r="78" spans="2:12" ht="23.25" hidden="1" customHeight="1" x14ac:dyDescent="0.25">
      <c r="B78" s="4">
        <v>73</v>
      </c>
      <c r="C78" s="36" t="str">
        <f>IF(Order!$C$89="","",Order!$C$89)</f>
        <v>AF061 18</v>
      </c>
      <c r="D78" s="36" t="str">
        <f>IF($C78="","",_xlfn.XLOOKUP($C78,Order!$C:$C,Order!$D:$D,"",0,1))</f>
        <v>AF061 18</v>
      </c>
      <c r="E78" s="4" t="e" vm="277">
        <f>IF($C78="","",_xlfn.XLOOKUP($C78,Order!$C:$C,Order!$E:$E,"",0,1))</f>
        <v>#VALUE!</v>
      </c>
      <c r="F78" s="4">
        <f>IF($C78="","",_xlfn.XLOOKUP($C78,Order!$C:$C,Order!$F:$F,"",0,1))</f>
        <v>6000</v>
      </c>
      <c r="G78" s="4" t="str">
        <f>IF($C78="","",_xlfn.XLOOKUP($C78,Order!$C:$C,Order!$G:$G,"",0,1))</f>
        <v>6063T5</v>
      </c>
      <c r="H78" s="4">
        <f>IF($C78="","",_xlfn.XLOOKUP($C78,Order!$C:$C,Order!$H:$H,"",0,1))</f>
        <v>0</v>
      </c>
      <c r="I78" s="36">
        <f>IF($C78="","",_xlfn.XLOOKUP($C78,Order!$C:$C,Order!$I:$I,"",0,1))</f>
        <v>0</v>
      </c>
      <c r="J78" s="4" t="str">
        <f>IF(C78="","",Order!$I$16)</f>
        <v>MILL FINISH</v>
      </c>
      <c r="K78" s="36">
        <f>IF($C78="","",_xlfn.XLOOKUP($C78,Order!$C:$C,Order!$P:$P,"",0,1))</f>
        <v>0</v>
      </c>
      <c r="L78" s="4">
        <f t="shared" si="1"/>
        <v>0</v>
      </c>
    </row>
    <row r="79" spans="2:12" ht="23.25" hidden="1" customHeight="1" x14ac:dyDescent="0.25">
      <c r="B79" s="4">
        <v>74</v>
      </c>
      <c r="C79" s="36" t="str">
        <f>IF(Order!$C$90="","",Order!$C$90)</f>
        <v>AF066</v>
      </c>
      <c r="D79" s="36" t="str">
        <f>IF($C79="","",_xlfn.XLOOKUP($C79,Order!$C:$C,Order!$D:$D,"",0,1))</f>
        <v>AF066</v>
      </c>
      <c r="E79" s="4" t="e" vm="278">
        <f>IF($C79="","",_xlfn.XLOOKUP($C79,Order!$C:$C,Order!$E:$E,"",0,1))</f>
        <v>#VALUE!</v>
      </c>
      <c r="F79" s="4">
        <f>IF($C79="","",_xlfn.XLOOKUP($C79,Order!$C:$C,Order!$F:$F,"",0,1))</f>
        <v>6000</v>
      </c>
      <c r="G79" s="4" t="str">
        <f>IF($C79="","",_xlfn.XLOOKUP($C79,Order!$C:$C,Order!$G:$G,"",0,1))</f>
        <v>6063T5</v>
      </c>
      <c r="H79" s="4">
        <f>IF($C79="","",_xlfn.XLOOKUP($C79,Order!$C:$C,Order!$H:$H,"",0,1))</f>
        <v>0</v>
      </c>
      <c r="I79" s="36">
        <f>IF($C79="","",_xlfn.XLOOKUP($C79,Order!$C:$C,Order!$I:$I,"",0,1))</f>
        <v>0</v>
      </c>
      <c r="J79" s="4" t="str">
        <f>IF(C79="","",Order!$I$16)</f>
        <v>MILL FINISH</v>
      </c>
      <c r="K79" s="36">
        <f>IF($C79="","",_xlfn.XLOOKUP($C79,Order!$C:$C,Order!$P:$P,"",0,1))</f>
        <v>0</v>
      </c>
      <c r="L79" s="4">
        <f t="shared" si="1"/>
        <v>0</v>
      </c>
    </row>
    <row r="80" spans="2:12" ht="23.25" hidden="1" customHeight="1" x14ac:dyDescent="0.25">
      <c r="B80" s="4">
        <v>75</v>
      </c>
      <c r="C80" s="36" t="str">
        <f>IF(Order!$C$91="","",Order!$C$91)</f>
        <v>AFY-15</v>
      </c>
      <c r="D80" s="36" t="str">
        <f>IF($C80="","",_xlfn.XLOOKUP($C80,Order!$C:$C,Order!$D:$D,"",0,1))</f>
        <v>AFY-15</v>
      </c>
      <c r="E80" s="4" t="e" vm="279">
        <f>IF($C80="","",_xlfn.XLOOKUP($C80,Order!$C:$C,Order!$E:$E,"",0,1))</f>
        <v>#VALUE!</v>
      </c>
      <c r="F80" s="4">
        <f>IF($C80="","",_xlfn.XLOOKUP($C80,Order!$C:$C,Order!$F:$F,"",0,1))</f>
        <v>6000</v>
      </c>
      <c r="G80" s="4" t="str">
        <f>IF($C80="","",_xlfn.XLOOKUP($C80,Order!$C:$C,Order!$G:$G,"",0,1))</f>
        <v>6063T5</v>
      </c>
      <c r="H80" s="4">
        <f>IF($C80="","",_xlfn.XLOOKUP($C80,Order!$C:$C,Order!$H:$H,"",0,1))</f>
        <v>0.308</v>
      </c>
      <c r="I80" s="36">
        <f>IF($C80="","",_xlfn.XLOOKUP($C80,Order!$C:$C,Order!$I:$I,"",0,1))</f>
        <v>0</v>
      </c>
      <c r="J80" s="4" t="str">
        <f>IF(C80="","",Order!$I$16)</f>
        <v>MILL FINISH</v>
      </c>
      <c r="K80" s="36">
        <f>IF($C80="","",_xlfn.XLOOKUP($C80,Order!$C:$C,Order!$P:$P,"",0,1))</f>
        <v>0</v>
      </c>
      <c r="L80" s="4">
        <f t="shared" si="1"/>
        <v>0</v>
      </c>
    </row>
    <row r="81" spans="2:12" ht="23.25" hidden="1" customHeight="1" x14ac:dyDescent="0.25">
      <c r="B81" s="4">
        <v>76</v>
      </c>
      <c r="C81" s="36" t="str">
        <f>IF(Order!$C$92="","",Order!$C$92)</f>
        <v>BX275</v>
      </c>
      <c r="D81" s="36" t="str">
        <f>IF($C81="","",_xlfn.XLOOKUP($C81,Order!$C:$C,Order!$D:$D,"",0,1))</f>
        <v>BX275</v>
      </c>
      <c r="E81" s="4" t="e" vm="280">
        <f>IF($C81="","",_xlfn.XLOOKUP($C81,Order!$C:$C,Order!$E:$E,"",0,1))</f>
        <v>#VALUE!</v>
      </c>
      <c r="F81" s="4">
        <f>IF($C81="","",_xlfn.XLOOKUP($C81,Order!$C:$C,Order!$F:$F,"",0,1))</f>
        <v>6000</v>
      </c>
      <c r="G81" s="4" t="str">
        <f>IF($C81="","",_xlfn.XLOOKUP($C81,Order!$C:$C,Order!$G:$G,"",0,1))</f>
        <v>6063T5</v>
      </c>
      <c r="H81" s="4">
        <f>IF($C81="","",_xlfn.XLOOKUP($C81,Order!$C:$C,Order!$H:$H,"",0,1))</f>
        <v>0.72299999999999998</v>
      </c>
      <c r="I81" s="36">
        <f>IF($C81="","",_xlfn.XLOOKUP($C81,Order!$C:$C,Order!$I:$I,"",0,1))</f>
        <v>0</v>
      </c>
      <c r="J81" s="4" t="str">
        <f>IF(C81="","",Order!$I$16)</f>
        <v>MILL FINISH</v>
      </c>
      <c r="K81" s="36">
        <f>IF($C81="","",_xlfn.XLOOKUP($C81,Order!$C:$C,Order!$P:$P,"",0,1))</f>
        <v>0</v>
      </c>
      <c r="L81" s="4">
        <f t="shared" si="1"/>
        <v>0</v>
      </c>
    </row>
    <row r="82" spans="2:12" ht="23.25" hidden="1" customHeight="1" x14ac:dyDescent="0.25">
      <c r="B82" s="4">
        <v>77</v>
      </c>
      <c r="C82" s="36" t="str">
        <f>IF(Order!$C$93="","",Order!$C$93)</f>
        <v>DV021</v>
      </c>
      <c r="D82" s="36" t="str">
        <f>IF($C82="","",_xlfn.XLOOKUP($C82,Order!$C:$C,Order!$D:$D,"",0,1))</f>
        <v>DV021</v>
      </c>
      <c r="E82" s="4" t="e" vm="281">
        <f>IF($C82="","",_xlfn.XLOOKUP($C82,Order!$C:$C,Order!$E:$E,"",0,1))</f>
        <v>#VALUE!</v>
      </c>
      <c r="F82" s="4">
        <f>IF($C82="","",_xlfn.XLOOKUP($C82,Order!$C:$C,Order!$F:$F,"",0,1))</f>
        <v>6000</v>
      </c>
      <c r="G82" s="4" t="str">
        <f>IF($C82="","",_xlfn.XLOOKUP($C82,Order!$C:$C,Order!$G:$G,"",0,1))</f>
        <v>6063T5</v>
      </c>
      <c r="H82" s="4">
        <f>IF($C82="","",_xlfn.XLOOKUP($C82,Order!$C:$C,Order!$H:$H,"",0,1))</f>
        <v>0.32800000000000001</v>
      </c>
      <c r="I82" s="36">
        <f>IF($C82="","",_xlfn.XLOOKUP($C82,Order!$C:$C,Order!$I:$I,"",0,1))</f>
        <v>0</v>
      </c>
      <c r="J82" s="4" t="str">
        <f>IF(C82="","",Order!$I$16)</f>
        <v>MILL FINISH</v>
      </c>
      <c r="K82" s="36">
        <f>IF($C82="","",_xlfn.XLOOKUP($C82,Order!$C:$C,Order!$P:$P,"",0,1))</f>
        <v>0</v>
      </c>
      <c r="L82" s="4">
        <f t="shared" si="1"/>
        <v>0</v>
      </c>
    </row>
    <row r="83" spans="2:12" ht="23.25" hidden="1" customHeight="1" x14ac:dyDescent="0.25">
      <c r="B83" s="4">
        <v>78</v>
      </c>
      <c r="C83" s="36" t="str">
        <f>IF(Order!$C$94="","",Order!$C$94)</f>
        <v>DV021A</v>
      </c>
      <c r="D83" s="36" t="str">
        <f>IF($C83="","",_xlfn.XLOOKUP($C83,Order!$C:$C,Order!$D:$D,"",0,1))</f>
        <v>DV021A</v>
      </c>
      <c r="E83" s="4" t="e" vm="282">
        <f>IF($C83="","",_xlfn.XLOOKUP($C83,Order!$C:$C,Order!$E:$E,"",0,1))</f>
        <v>#VALUE!</v>
      </c>
      <c r="F83" s="4">
        <f>IF($C83="","",_xlfn.XLOOKUP($C83,Order!$C:$C,Order!$F:$F,"",0,1))</f>
        <v>6000</v>
      </c>
      <c r="G83" s="4" t="str">
        <f>IF($C83="","",_xlfn.XLOOKUP($C83,Order!$C:$C,Order!$G:$G,"",0,1))</f>
        <v>6063T5</v>
      </c>
      <c r="H83" s="4">
        <f>IF($C83="","",_xlfn.XLOOKUP($C83,Order!$C:$C,Order!$H:$H,"",0,1))</f>
        <v>0.317</v>
      </c>
      <c r="I83" s="36">
        <f>IF($C83="","",_xlfn.XLOOKUP($C83,Order!$C:$C,Order!$I:$I,"",0,1))</f>
        <v>0</v>
      </c>
      <c r="J83" s="4" t="str">
        <f>IF(C83="","",Order!$I$16)</f>
        <v>MILL FINISH</v>
      </c>
      <c r="K83" s="36">
        <f>IF($C83="","",_xlfn.XLOOKUP($C83,Order!$C:$C,Order!$P:$P,"",0,1))</f>
        <v>0</v>
      </c>
      <c r="L83" s="4">
        <f t="shared" si="1"/>
        <v>0</v>
      </c>
    </row>
    <row r="84" spans="2:12" ht="23.25" hidden="1" customHeight="1" x14ac:dyDescent="0.25">
      <c r="B84" s="4">
        <v>79</v>
      </c>
      <c r="C84" s="36" t="str">
        <f>IF(Order!$C$95="","",Order!$C$95)</f>
        <v>DV022</v>
      </c>
      <c r="D84" s="36" t="str">
        <f>IF($C84="","",_xlfn.XLOOKUP($C84,Order!$C:$C,Order!$D:$D,"",0,1))</f>
        <v>DV022</v>
      </c>
      <c r="E84" s="4" t="e" vm="283">
        <f>IF($C84="","",_xlfn.XLOOKUP($C84,Order!$C:$C,Order!$E:$E,"",0,1))</f>
        <v>#VALUE!</v>
      </c>
      <c r="F84" s="4">
        <f>IF($C84="","",_xlfn.XLOOKUP($C84,Order!$C:$C,Order!$F:$F,"",0,1))</f>
        <v>6000</v>
      </c>
      <c r="G84" s="4" t="str">
        <f>IF($C84="","",_xlfn.XLOOKUP($C84,Order!$C:$C,Order!$G:$G,"",0,1))</f>
        <v>6063T5</v>
      </c>
      <c r="H84" s="4">
        <f>IF($C84="","",_xlfn.XLOOKUP($C84,Order!$C:$C,Order!$H:$H,"",0,1))</f>
        <v>0.32400000000000001</v>
      </c>
      <c r="I84" s="36">
        <f>IF($C84="","",_xlfn.XLOOKUP($C84,Order!$C:$C,Order!$I:$I,"",0,1))</f>
        <v>0</v>
      </c>
      <c r="J84" s="4" t="str">
        <f>IF(C84="","",Order!$I$16)</f>
        <v>MILL FINISH</v>
      </c>
      <c r="K84" s="36">
        <f>IF($C84="","",_xlfn.XLOOKUP($C84,Order!$C:$C,Order!$P:$P,"",0,1))</f>
        <v>0</v>
      </c>
      <c r="L84" s="4">
        <f t="shared" si="1"/>
        <v>0</v>
      </c>
    </row>
    <row r="85" spans="2:12" ht="23.25" hidden="1" customHeight="1" x14ac:dyDescent="0.25">
      <c r="B85" s="4">
        <v>80</v>
      </c>
      <c r="C85" s="36" t="str">
        <f>IF(Order!$C$96="","",Order!$C$96)</f>
        <v>DV185</v>
      </c>
      <c r="D85" s="36" t="str">
        <f>IF($C85="","",_xlfn.XLOOKUP($C85,Order!$C:$C,Order!$D:$D,"",0,1))</f>
        <v>DV185</v>
      </c>
      <c r="E85" s="4" t="e" vm="284">
        <f>IF($C85="","",_xlfn.XLOOKUP($C85,Order!$C:$C,Order!$E:$E,"",0,1))</f>
        <v>#VALUE!</v>
      </c>
      <c r="F85" s="4">
        <f>IF($C85="","",_xlfn.XLOOKUP($C85,Order!$C:$C,Order!$F:$F,"",0,1))</f>
        <v>6000</v>
      </c>
      <c r="G85" s="4" t="str">
        <f>IF($C85="","",_xlfn.XLOOKUP($C85,Order!$C:$C,Order!$G:$G,"",0,1))</f>
        <v>6063T5</v>
      </c>
      <c r="H85" s="4">
        <f>IF($C85="","",_xlfn.XLOOKUP($C85,Order!$C:$C,Order!$H:$H,"",0,1))</f>
        <v>0.34499999999999997</v>
      </c>
      <c r="I85" s="36">
        <f>IF($C85="","",_xlfn.XLOOKUP($C85,Order!$C:$C,Order!$I:$I,"",0,1))</f>
        <v>0</v>
      </c>
      <c r="J85" s="4" t="str">
        <f>IF(C85="","",Order!$I$16)</f>
        <v>MILL FINISH</v>
      </c>
      <c r="K85" s="36">
        <f>IF($C85="","",_xlfn.XLOOKUP($C85,Order!$C:$C,Order!$P:$P,"",0,1))</f>
        <v>0</v>
      </c>
      <c r="L85" s="4">
        <f t="shared" si="1"/>
        <v>0</v>
      </c>
    </row>
    <row r="86" spans="2:12" ht="23.25" hidden="1" customHeight="1" x14ac:dyDescent="0.25">
      <c r="B86" s="4">
        <v>81</v>
      </c>
      <c r="C86" s="36" t="str">
        <f>IF(Order!$C$97="","",Order!$C$97)</f>
        <v>DV389</v>
      </c>
      <c r="D86" s="36" t="str">
        <f>IF($C86="","",_xlfn.XLOOKUP($C86,Order!$C:$C,Order!$D:$D,"",0,1))</f>
        <v>DV389</v>
      </c>
      <c r="E86" s="4" t="e" vm="285">
        <f>IF($C86="","",_xlfn.XLOOKUP($C86,Order!$C:$C,Order!$E:$E,"",0,1))</f>
        <v>#VALUE!</v>
      </c>
      <c r="F86" s="4">
        <f>IF($C86="","",_xlfn.XLOOKUP($C86,Order!$C:$C,Order!$F:$F,"",0,1))</f>
        <v>6000</v>
      </c>
      <c r="G86" s="4" t="str">
        <f>IF($C86="","",_xlfn.XLOOKUP($C86,Order!$C:$C,Order!$G:$G,"",0,1))</f>
        <v>6063T5</v>
      </c>
      <c r="H86" s="4">
        <f>IF($C86="","",_xlfn.XLOOKUP($C86,Order!$C:$C,Order!$H:$H,"",0,1))</f>
        <v>0.79700000000000004</v>
      </c>
      <c r="I86" s="36">
        <f>IF($C86="","",_xlfn.XLOOKUP($C86,Order!$C:$C,Order!$I:$I,"",0,1))</f>
        <v>0</v>
      </c>
      <c r="J86" s="4" t="str">
        <f>IF(C86="","",Order!$I$16)</f>
        <v>MILL FINISH</v>
      </c>
      <c r="K86" s="36">
        <f>IF($C86="","",_xlfn.XLOOKUP($C86,Order!$C:$C,Order!$P:$P,"",0,1))</f>
        <v>0</v>
      </c>
      <c r="L86" s="4">
        <f t="shared" si="1"/>
        <v>0</v>
      </c>
    </row>
    <row r="87" spans="2:12" ht="23.25" hidden="1" customHeight="1" x14ac:dyDescent="0.25">
      <c r="B87" s="4">
        <v>82</v>
      </c>
      <c r="C87" s="36" t="str">
        <f>IF(Order!$C$98="","",Order!$C$98)</f>
        <v>BX628</v>
      </c>
      <c r="D87" s="36" t="str">
        <f>IF($C87="","",_xlfn.XLOOKUP($C87,Order!$C:$C,Order!$D:$D,"",0,1))</f>
        <v>BX628</v>
      </c>
      <c r="E87" s="4" t="e" vm="286">
        <f>IF($C87="","",_xlfn.XLOOKUP($C87,Order!$C:$C,Order!$E:$E,"",0,1))</f>
        <v>#VALUE!</v>
      </c>
      <c r="F87" s="4">
        <f>IF($C87="","",_xlfn.XLOOKUP($C87,Order!$C:$C,Order!$F:$F,"",0,1))</f>
        <v>6000</v>
      </c>
      <c r="G87" s="4" t="str">
        <f>IF($C87="","",_xlfn.XLOOKUP($C87,Order!$C:$C,Order!$G:$G,"",0,1))</f>
        <v>6063T5</v>
      </c>
      <c r="H87" s="4">
        <f>IF($C87="","",_xlfn.XLOOKUP($C87,Order!$C:$C,Order!$H:$H,"",0,1))</f>
        <v>0.42199999999999999</v>
      </c>
      <c r="I87" s="36">
        <f>IF($C87="","",_xlfn.XLOOKUP($C87,Order!$C:$C,Order!$I:$I,"",0,1))</f>
        <v>0</v>
      </c>
      <c r="J87" s="4" t="str">
        <f>IF(C87="","",Order!$I$16)</f>
        <v>MILL FINISH</v>
      </c>
      <c r="K87" s="36">
        <f>IF($C87="","",_xlfn.XLOOKUP($C87,Order!$C:$C,Order!$P:$P,"",0,1))</f>
        <v>0</v>
      </c>
      <c r="L87" s="4">
        <f t="shared" si="1"/>
        <v>0</v>
      </c>
    </row>
    <row r="88" spans="2:12" ht="23.25" hidden="1" customHeight="1" x14ac:dyDescent="0.25">
      <c r="B88" s="4">
        <v>83</v>
      </c>
      <c r="C88" s="36" t="str">
        <f>IF(Order!$C$99="","",Order!$C$99)</f>
        <v>BX705</v>
      </c>
      <c r="D88" s="36" t="str">
        <f>IF($C88="","",_xlfn.XLOOKUP($C88,Order!$C:$C,Order!$D:$D,"",0,1))</f>
        <v>BX705</v>
      </c>
      <c r="E88" s="4" t="e" vm="287">
        <f>IF($C88="","",_xlfn.XLOOKUP($C88,Order!$C:$C,Order!$E:$E,"",0,1))</f>
        <v>#VALUE!</v>
      </c>
      <c r="F88" s="4">
        <f>IF($C88="","",_xlfn.XLOOKUP($C88,Order!$C:$C,Order!$F:$F,"",0,1))</f>
        <v>6000</v>
      </c>
      <c r="G88" s="4" t="str">
        <f>IF($C88="","",_xlfn.XLOOKUP($C88,Order!$C:$C,Order!$G:$G,"",0,1))</f>
        <v>6063T5</v>
      </c>
      <c r="H88" s="4">
        <f>IF($C88="","",_xlfn.XLOOKUP($C88,Order!$C:$C,Order!$H:$H,"",0,1))</f>
        <v>0.21199999999999999</v>
      </c>
      <c r="I88" s="36">
        <f>IF($C88="","",_xlfn.XLOOKUP($C88,Order!$C:$C,Order!$I:$I,"",0,1))</f>
        <v>0</v>
      </c>
      <c r="J88" s="4" t="str">
        <f>IF(C88="","",Order!$I$16)</f>
        <v>MILL FINISH</v>
      </c>
      <c r="K88" s="36">
        <f>IF($C88="","",_xlfn.XLOOKUP($C88,Order!$C:$C,Order!$P:$P,"",0,1))</f>
        <v>0</v>
      </c>
      <c r="L88" s="4">
        <f t="shared" si="1"/>
        <v>0</v>
      </c>
    </row>
    <row r="89" spans="2:12" ht="23.25" hidden="1" customHeight="1" x14ac:dyDescent="0.25">
      <c r="B89" s="4">
        <v>84</v>
      </c>
      <c r="C89" s="36" t="str">
        <f>IF(Order!$C$100="","",Order!$C$100)</f>
        <v>BX818</v>
      </c>
      <c r="D89" s="36" t="str">
        <f>IF($C89="","",_xlfn.XLOOKUP($C89,Order!$C:$C,Order!$D:$D,"",0,1))</f>
        <v>BX818</v>
      </c>
      <c r="E89" s="4" t="e" vm="288">
        <f>IF($C89="","",_xlfn.XLOOKUP($C89,Order!$C:$C,Order!$E:$E,"",0,1))</f>
        <v>#VALUE!</v>
      </c>
      <c r="F89" s="4">
        <f>IF($C89="","",_xlfn.XLOOKUP($C89,Order!$C:$C,Order!$F:$F,"",0,1))</f>
        <v>6000</v>
      </c>
      <c r="G89" s="4" t="str">
        <f>IF($C89="","",_xlfn.XLOOKUP($C89,Order!$C:$C,Order!$G:$G,"",0,1))</f>
        <v>6063T5</v>
      </c>
      <c r="H89" s="4">
        <f>IF($C89="","",_xlfn.XLOOKUP($C89,Order!$C:$C,Order!$H:$H,"",0,1))</f>
        <v>0</v>
      </c>
      <c r="I89" s="36">
        <f>IF($C89="","",_xlfn.XLOOKUP($C89,Order!$C:$C,Order!$I:$I,"",0,1))</f>
        <v>0</v>
      </c>
      <c r="J89" s="4" t="str">
        <f>IF(C89="","",Order!$I$16)</f>
        <v>MILL FINISH</v>
      </c>
      <c r="K89" s="36">
        <f>IF($C89="","",_xlfn.XLOOKUP($C89,Order!$C:$C,Order!$P:$P,"",0,1))</f>
        <v>0</v>
      </c>
      <c r="L89" s="4">
        <f t="shared" si="1"/>
        <v>0</v>
      </c>
    </row>
    <row r="90" spans="2:12" ht="23.25" hidden="1" customHeight="1" x14ac:dyDescent="0.25">
      <c r="B90" s="4">
        <v>85</v>
      </c>
      <c r="C90" s="36" t="str">
        <f>IF(Order!$C$101="","",Order!$C$101)</f>
        <v>BX819</v>
      </c>
      <c r="D90" s="36" t="str">
        <f>IF($C90="","",_xlfn.XLOOKUP($C90,Order!$C:$C,Order!$D:$D,"",0,1))</f>
        <v>BX819</v>
      </c>
      <c r="E90" s="4" t="e" vm="289">
        <f>IF($C90="","",_xlfn.XLOOKUP($C90,Order!$C:$C,Order!$E:$E,"",0,1))</f>
        <v>#VALUE!</v>
      </c>
      <c r="F90" s="4">
        <f>IF($C90="","",_xlfn.XLOOKUP($C90,Order!$C:$C,Order!$F:$F,"",0,1))</f>
        <v>6000</v>
      </c>
      <c r="G90" s="4" t="str">
        <f>IF($C90="","",_xlfn.XLOOKUP($C90,Order!$C:$C,Order!$G:$G,"",0,1))</f>
        <v>6063T5</v>
      </c>
      <c r="H90" s="4">
        <f>IF($C90="","",_xlfn.XLOOKUP($C90,Order!$C:$C,Order!$H:$H,"",0,1))</f>
        <v>0.216</v>
      </c>
      <c r="I90" s="36">
        <f>IF($C90="","",_xlfn.XLOOKUP($C90,Order!$C:$C,Order!$I:$I,"",0,1))</f>
        <v>0</v>
      </c>
      <c r="J90" s="4" t="str">
        <f>IF(C90="","",Order!$I$16)</f>
        <v>MILL FINISH</v>
      </c>
      <c r="K90" s="36">
        <f>IF($C90="","",_xlfn.XLOOKUP($C90,Order!$C:$C,Order!$P:$P,"",0,1))</f>
        <v>0</v>
      </c>
      <c r="L90" s="4">
        <f t="shared" si="1"/>
        <v>0</v>
      </c>
    </row>
    <row r="91" spans="2:12" ht="23.25" hidden="1" customHeight="1" x14ac:dyDescent="0.25">
      <c r="B91" s="4">
        <v>86</v>
      </c>
      <c r="C91" s="36" t="str">
        <f>IF(Order!$C$102="","",Order!$C$102)</f>
        <v>BX820</v>
      </c>
      <c r="D91" s="36" t="str">
        <f>IF($C91="","",_xlfn.XLOOKUP($C91,Order!$C:$C,Order!$D:$D,"",0,1))</f>
        <v>BX820</v>
      </c>
      <c r="E91" s="4" t="e" vm="290">
        <f>IF($C91="","",_xlfn.XLOOKUP($C91,Order!$C:$C,Order!$E:$E,"",0,1))</f>
        <v>#VALUE!</v>
      </c>
      <c r="F91" s="4">
        <f>IF($C91="","",_xlfn.XLOOKUP($C91,Order!$C:$C,Order!$F:$F,"",0,1))</f>
        <v>6000</v>
      </c>
      <c r="G91" s="4" t="str">
        <f>IF($C91="","",_xlfn.XLOOKUP($C91,Order!$C:$C,Order!$G:$G,"",0,1))</f>
        <v>6063T5</v>
      </c>
      <c r="H91" s="4">
        <f>IF($C91="","",_xlfn.XLOOKUP($C91,Order!$C:$C,Order!$H:$H,"",0,1))</f>
        <v>0.74299999999999999</v>
      </c>
      <c r="I91" s="36">
        <f>IF($C91="","",_xlfn.XLOOKUP($C91,Order!$C:$C,Order!$I:$I,"",0,1))</f>
        <v>0</v>
      </c>
      <c r="J91" s="4" t="str">
        <f>IF(C91="","",Order!$I$16)</f>
        <v>MILL FINISH</v>
      </c>
      <c r="K91" s="36">
        <f>IF($C91="","",_xlfn.XLOOKUP($C91,Order!$C:$C,Order!$P:$P,"",0,1))</f>
        <v>0</v>
      </c>
      <c r="L91" s="4">
        <f t="shared" si="1"/>
        <v>0</v>
      </c>
    </row>
    <row r="92" spans="2:12" ht="23.25" hidden="1" customHeight="1" x14ac:dyDescent="0.25">
      <c r="B92" s="4">
        <v>87</v>
      </c>
      <c r="C92" s="36" t="str">
        <f>IF(Order!$C$103="","",Order!$C$103)</f>
        <v>BX838</v>
      </c>
      <c r="D92" s="36" t="str">
        <f>IF($C92="","",_xlfn.XLOOKUP($C92,Order!$C:$C,Order!$D:$D,"",0,1))</f>
        <v>BX838</v>
      </c>
      <c r="E92" s="4" t="e" vm="291">
        <f>IF($C92="","",_xlfn.XLOOKUP($C92,Order!$C:$C,Order!$E:$E,"",0,1))</f>
        <v>#VALUE!</v>
      </c>
      <c r="F92" s="4">
        <f>IF($C92="","",_xlfn.XLOOKUP($C92,Order!$C:$C,Order!$F:$F,"",0,1))</f>
        <v>6000</v>
      </c>
      <c r="G92" s="4" t="str">
        <f>IF($C92="","",_xlfn.XLOOKUP($C92,Order!$C:$C,Order!$G:$G,"",0,1))</f>
        <v>6063T5</v>
      </c>
      <c r="H92" s="4">
        <f>IF($C92="","",_xlfn.XLOOKUP($C92,Order!$C:$C,Order!$H:$H,"",0,1))</f>
        <v>0.26800000000000002</v>
      </c>
      <c r="I92" s="36">
        <f>IF($C92="","",_xlfn.XLOOKUP($C92,Order!$C:$C,Order!$I:$I,"",0,1))</f>
        <v>0</v>
      </c>
      <c r="J92" s="4" t="str">
        <f>IF(C92="","",Order!$I$16)</f>
        <v>MILL FINISH</v>
      </c>
      <c r="K92" s="36">
        <f>IF($C92="","",_xlfn.XLOOKUP($C92,Order!$C:$C,Order!$P:$P,"",0,1))</f>
        <v>0</v>
      </c>
      <c r="L92" s="4">
        <f t="shared" si="1"/>
        <v>0</v>
      </c>
    </row>
    <row r="93" spans="2:12" ht="23.25" hidden="1" customHeight="1" x14ac:dyDescent="0.25">
      <c r="B93" s="4">
        <v>88</v>
      </c>
      <c r="C93" s="36" t="str">
        <f>IF(Order!$C$104="","",Order!$C$104)</f>
        <v>BX855</v>
      </c>
      <c r="D93" s="36" t="str">
        <f>IF($C93="","",_xlfn.XLOOKUP($C93,Order!$C:$C,Order!$D:$D,"",0,1))</f>
        <v>BX855</v>
      </c>
      <c r="E93" s="4" t="e" vm="292">
        <f>IF($C93="","",_xlfn.XLOOKUP($C93,Order!$C:$C,Order!$E:$E,"",0,1))</f>
        <v>#VALUE!</v>
      </c>
      <c r="F93" s="4">
        <f>IF($C93="","",_xlfn.XLOOKUP($C93,Order!$C:$C,Order!$F:$F,"",0,1))</f>
        <v>6000</v>
      </c>
      <c r="G93" s="4" t="str">
        <f>IF($C93="","",_xlfn.XLOOKUP($C93,Order!$C:$C,Order!$G:$G,"",0,1))</f>
        <v>6063T5</v>
      </c>
      <c r="H93" s="4">
        <f>IF($C93="","",_xlfn.XLOOKUP($C93,Order!$C:$C,Order!$H:$H,"",0,1))</f>
        <v>0.34599999999999997</v>
      </c>
      <c r="I93" s="36">
        <f>IF($C93="","",_xlfn.XLOOKUP($C93,Order!$C:$C,Order!$I:$I,"",0,1))</f>
        <v>0</v>
      </c>
      <c r="J93" s="4" t="str">
        <f>IF(C93="","",Order!$I$16)</f>
        <v>MILL FINISH</v>
      </c>
      <c r="K93" s="36">
        <f>IF($C93="","",_xlfn.XLOOKUP($C93,Order!$C:$C,Order!$P:$P,"",0,1))</f>
        <v>0</v>
      </c>
      <c r="L93" s="4">
        <f t="shared" si="1"/>
        <v>0</v>
      </c>
    </row>
    <row r="94" spans="2:12" ht="23.25" hidden="1" customHeight="1" x14ac:dyDescent="0.25">
      <c r="B94" s="4">
        <v>89</v>
      </c>
      <c r="C94" s="36" t="str">
        <f>IF(Order!$C$105="","",Order!$C$105)</f>
        <v>BX952</v>
      </c>
      <c r="D94" s="36" t="str">
        <f>IF($C94="","",_xlfn.XLOOKUP($C94,Order!$C:$C,Order!$D:$D,"",0,1))</f>
        <v>BX952</v>
      </c>
      <c r="E94" s="4" t="e" vm="293">
        <f>IF($C94="","",_xlfn.XLOOKUP($C94,Order!$C:$C,Order!$E:$E,"",0,1))</f>
        <v>#VALUE!</v>
      </c>
      <c r="F94" s="4">
        <f>IF($C94="","",_xlfn.XLOOKUP($C94,Order!$C:$C,Order!$F:$F,"",0,1))</f>
        <v>6000</v>
      </c>
      <c r="G94" s="4" t="str">
        <f>IF($C94="","",_xlfn.XLOOKUP($C94,Order!$C:$C,Order!$G:$G,"",0,1))</f>
        <v>6063T5</v>
      </c>
      <c r="H94" s="4">
        <f>IF($C94="","",_xlfn.XLOOKUP($C94,Order!$C:$C,Order!$H:$H,"",0,1))</f>
        <v>0.22900000000000001</v>
      </c>
      <c r="I94" s="36">
        <f>IF($C94="","",_xlfn.XLOOKUP($C94,Order!$C:$C,Order!$I:$I,"",0,1))</f>
        <v>0</v>
      </c>
      <c r="J94" s="4" t="str">
        <f>IF(C94="","",Order!$I$16)</f>
        <v>MILL FINISH</v>
      </c>
      <c r="K94" s="36">
        <f>IF($C94="","",_xlfn.XLOOKUP($C94,Order!$C:$C,Order!$P:$P,"",0,1))</f>
        <v>0</v>
      </c>
      <c r="L94" s="4">
        <f t="shared" si="1"/>
        <v>0</v>
      </c>
    </row>
    <row r="95" spans="2:12" ht="23.25" hidden="1" customHeight="1" x14ac:dyDescent="0.25">
      <c r="B95" s="4">
        <v>90</v>
      </c>
      <c r="C95" s="36" t="str">
        <f>IF(Order!$C$106="","",Order!$C$106)</f>
        <v>BX954</v>
      </c>
      <c r="D95" s="36" t="str">
        <f>IF($C95="","",_xlfn.XLOOKUP($C95,Order!$C:$C,Order!$D:$D,"",0,1))</f>
        <v>BX954</v>
      </c>
      <c r="E95" s="4" t="e" vm="294">
        <f>IF($C95="","",_xlfn.XLOOKUP($C95,Order!$C:$C,Order!$E:$E,"",0,1))</f>
        <v>#VALUE!</v>
      </c>
      <c r="F95" s="4">
        <f>IF($C95="","",_xlfn.XLOOKUP($C95,Order!$C:$C,Order!$F:$F,"",0,1))</f>
        <v>6000</v>
      </c>
      <c r="G95" s="4" t="str">
        <f>IF($C95="","",_xlfn.XLOOKUP($C95,Order!$C:$C,Order!$G:$G,"",0,1))</f>
        <v>6063T5</v>
      </c>
      <c r="H95" s="4">
        <f>IF($C95="","",_xlfn.XLOOKUP($C95,Order!$C:$C,Order!$H:$H,"",0,1))</f>
        <v>0.47199999999999998</v>
      </c>
      <c r="I95" s="36">
        <f>IF($C95="","",_xlfn.XLOOKUP($C95,Order!$C:$C,Order!$I:$I,"",0,1))</f>
        <v>0</v>
      </c>
      <c r="J95" s="4" t="str">
        <f>IF(C95="","",Order!$I$16)</f>
        <v>MILL FINISH</v>
      </c>
      <c r="K95" s="36">
        <f>IF($C95="","",_xlfn.XLOOKUP($C95,Order!$C:$C,Order!$P:$P,"",0,1))</f>
        <v>0</v>
      </c>
      <c r="L95" s="4">
        <f t="shared" si="1"/>
        <v>0</v>
      </c>
    </row>
    <row r="96" spans="2:12" ht="23.25" hidden="1" customHeight="1" x14ac:dyDescent="0.25">
      <c r="B96" s="4">
        <v>91</v>
      </c>
      <c r="C96" s="36" t="str">
        <f>IF(Order!$C$107="","",Order!$C$107)</f>
        <v>BX955</v>
      </c>
      <c r="D96" s="36" t="str">
        <f>IF($C96="","",_xlfn.XLOOKUP($C96,Order!$C:$C,Order!$D:$D,"",0,1))</f>
        <v>BX955</v>
      </c>
      <c r="E96" s="4" t="e" vm="295">
        <f>IF($C96="","",_xlfn.XLOOKUP($C96,Order!$C:$C,Order!$E:$E,"",0,1))</f>
        <v>#VALUE!</v>
      </c>
      <c r="F96" s="4">
        <f>IF($C96="","",_xlfn.XLOOKUP($C96,Order!$C:$C,Order!$F:$F,"",0,1))</f>
        <v>6000</v>
      </c>
      <c r="G96" s="4" t="str">
        <f>IF($C96="","",_xlfn.XLOOKUP($C96,Order!$C:$C,Order!$G:$G,"",0,1))</f>
        <v>6063T5</v>
      </c>
      <c r="H96" s="4">
        <f>IF($C96="","",_xlfn.XLOOKUP($C96,Order!$C:$C,Order!$H:$H,"",0,1))</f>
        <v>0.18</v>
      </c>
      <c r="I96" s="36">
        <f>IF($C96="","",_xlfn.XLOOKUP($C96,Order!$C:$C,Order!$I:$I,"",0,1))</f>
        <v>0</v>
      </c>
      <c r="J96" s="4" t="str">
        <f>IF(C96="","",Order!$I$16)</f>
        <v>MILL FINISH</v>
      </c>
      <c r="K96" s="36">
        <f>IF($C96="","",_xlfn.XLOOKUP($C96,Order!$C:$C,Order!$P:$P,"",0,1))</f>
        <v>0</v>
      </c>
      <c r="L96" s="4">
        <f t="shared" si="1"/>
        <v>0</v>
      </c>
    </row>
    <row r="97" spans="2:12" ht="23.25" hidden="1" customHeight="1" x14ac:dyDescent="0.25">
      <c r="B97" s="4">
        <v>92</v>
      </c>
      <c r="C97" s="36" t="str">
        <f>IF(Order!$C$108="","",Order!$C$108)</f>
        <v>BG011</v>
      </c>
      <c r="D97" s="36" t="str">
        <f>IF($C97="","",_xlfn.XLOOKUP($C97,Order!$C:$C,Order!$D:$D,"",0,1))</f>
        <v>BG011</v>
      </c>
      <c r="E97" s="4" t="e" vm="296">
        <f>IF($C97="","",_xlfn.XLOOKUP($C97,Order!$C:$C,Order!$E:$E,"",0,1))</f>
        <v>#VALUE!</v>
      </c>
      <c r="F97" s="4">
        <f>IF($C97="","",_xlfn.XLOOKUP($C97,Order!$C:$C,Order!$F:$F,"",0,1))</f>
        <v>6000</v>
      </c>
      <c r="G97" s="4" t="str">
        <f>IF($C97="","",_xlfn.XLOOKUP($C97,Order!$C:$C,Order!$G:$G,"",0,1))</f>
        <v>6063T5</v>
      </c>
      <c r="H97" s="4">
        <f>IF($C97="","",_xlfn.XLOOKUP($C97,Order!$C:$C,Order!$H:$H,"",0,1))</f>
        <v>8.4000000000000005E-2</v>
      </c>
      <c r="I97" s="36">
        <f>IF($C97="","",_xlfn.XLOOKUP($C97,Order!$C:$C,Order!$I:$I,"",0,1))</f>
        <v>0</v>
      </c>
      <c r="J97" s="4" t="str">
        <f>IF(C97="","",Order!$I$16)</f>
        <v>MILL FINISH</v>
      </c>
      <c r="K97" s="36">
        <f>IF($C97="","",_xlfn.XLOOKUP($C97,Order!$C:$C,Order!$P:$P,"",0,1))</f>
        <v>0</v>
      </c>
      <c r="L97" s="4">
        <f t="shared" si="1"/>
        <v>0</v>
      </c>
    </row>
    <row r="98" spans="2:12" ht="23.25" hidden="1" customHeight="1" x14ac:dyDescent="0.25">
      <c r="B98" s="4">
        <v>93</v>
      </c>
      <c r="C98" s="36" t="str">
        <f>IF(Order!$C$109="","",Order!$C$109)</f>
        <v>DV110</v>
      </c>
      <c r="D98" s="36" t="str">
        <f>IF($C98="","",_xlfn.XLOOKUP($C98,Order!$C:$C,Order!$D:$D,"",0,1))</f>
        <v>DV110</v>
      </c>
      <c r="E98" s="4" t="e" vm="297">
        <f>IF($C98="","",_xlfn.XLOOKUP($C98,Order!$C:$C,Order!$E:$E,"",0,1))</f>
        <v>#VALUE!</v>
      </c>
      <c r="F98" s="4">
        <f>IF($C98="","",_xlfn.XLOOKUP($C98,Order!$C:$C,Order!$F:$F,"",0,1))</f>
        <v>6000</v>
      </c>
      <c r="G98" s="4" t="str">
        <f>IF($C98="","",_xlfn.XLOOKUP($C98,Order!$C:$C,Order!$G:$G,"",0,1))</f>
        <v>6063T5</v>
      </c>
      <c r="H98" s="4">
        <f>IF($C98="","",_xlfn.XLOOKUP($C98,Order!$C:$C,Order!$H:$H,"",0,1))</f>
        <v>0.28299999999999997</v>
      </c>
      <c r="I98" s="36">
        <f>IF($C98="","",_xlfn.XLOOKUP($C98,Order!$C:$C,Order!$I:$I,"",0,1))</f>
        <v>0</v>
      </c>
      <c r="J98" s="4" t="str">
        <f>IF(C98="","",Order!$I$16)</f>
        <v>MILL FINISH</v>
      </c>
      <c r="K98" s="36">
        <f>IF($C98="","",_xlfn.XLOOKUP($C98,Order!$C:$C,Order!$P:$P,"",0,1))</f>
        <v>0</v>
      </c>
      <c r="L98" s="4">
        <f t="shared" si="1"/>
        <v>0</v>
      </c>
    </row>
    <row r="99" spans="2:12" ht="23.25" hidden="1" customHeight="1" x14ac:dyDescent="0.25">
      <c r="B99" s="4">
        <v>94</v>
      </c>
      <c r="C99" s="36" t="str">
        <f>IF(Order!$C$110="","",Order!$C$110)</f>
        <v>DV111</v>
      </c>
      <c r="D99" s="36" t="str">
        <f>IF($C99="","",_xlfn.XLOOKUP($C99,Order!$C:$C,Order!$D:$D,"",0,1))</f>
        <v>DV111</v>
      </c>
      <c r="E99" s="4" t="e" vm="298">
        <f>IF($C99="","",_xlfn.XLOOKUP($C99,Order!$C:$C,Order!$E:$E,"",0,1))</f>
        <v>#VALUE!</v>
      </c>
      <c r="F99" s="4">
        <f>IF($C99="","",_xlfn.XLOOKUP($C99,Order!$C:$C,Order!$F:$F,"",0,1))</f>
        <v>6000</v>
      </c>
      <c r="G99" s="4" t="str">
        <f>IF($C99="","",_xlfn.XLOOKUP($C99,Order!$C:$C,Order!$G:$G,"",0,1))</f>
        <v>6063T5</v>
      </c>
      <c r="H99" s="4">
        <f>IF($C99="","",_xlfn.XLOOKUP($C99,Order!$C:$C,Order!$H:$H,"",0,1))</f>
        <v>0.188</v>
      </c>
      <c r="I99" s="36">
        <f>IF($C99="","",_xlfn.XLOOKUP($C99,Order!$C:$C,Order!$I:$I,"",0,1))</f>
        <v>0</v>
      </c>
      <c r="J99" s="4" t="str">
        <f>IF(C99="","",Order!$I$16)</f>
        <v>MILL FINISH</v>
      </c>
      <c r="K99" s="36">
        <f>IF($C99="","",_xlfn.XLOOKUP($C99,Order!$C:$C,Order!$P:$P,"",0,1))</f>
        <v>0</v>
      </c>
      <c r="L99" s="4">
        <f t="shared" si="1"/>
        <v>0</v>
      </c>
    </row>
    <row r="100" spans="2:12" ht="23.25" hidden="1" customHeight="1" x14ac:dyDescent="0.25">
      <c r="B100" s="4">
        <v>95</v>
      </c>
      <c r="C100" s="36" t="str">
        <f>IF(Order!$C$111="","",Order!$C$111)</f>
        <v>DV112</v>
      </c>
      <c r="D100" s="36" t="str">
        <f>IF($C100="","",_xlfn.XLOOKUP($C100,Order!$C:$C,Order!$D:$D,"",0,1))</f>
        <v>DV112</v>
      </c>
      <c r="E100" s="4" t="e" vm="299">
        <f>IF($C100="","",_xlfn.XLOOKUP($C100,Order!$C:$C,Order!$E:$E,"",0,1))</f>
        <v>#VALUE!</v>
      </c>
      <c r="F100" s="4">
        <f>IF($C100="","",_xlfn.XLOOKUP($C100,Order!$C:$C,Order!$F:$F,"",0,1))</f>
        <v>6000</v>
      </c>
      <c r="G100" s="4" t="str">
        <f>IF($C100="","",_xlfn.XLOOKUP($C100,Order!$C:$C,Order!$G:$G,"",0,1))</f>
        <v>6063T5</v>
      </c>
      <c r="H100" s="4">
        <f>IF($C100="","",_xlfn.XLOOKUP($C100,Order!$C:$C,Order!$H:$H,"",0,1))</f>
        <v>0.23200000000000001</v>
      </c>
      <c r="I100" s="36">
        <f>IF($C100="","",_xlfn.XLOOKUP($C100,Order!$C:$C,Order!$I:$I,"",0,1))</f>
        <v>0</v>
      </c>
      <c r="J100" s="4" t="str">
        <f>IF(C100="","",Order!$I$16)</f>
        <v>MILL FINISH</v>
      </c>
      <c r="K100" s="36">
        <f>IF($C100="","",_xlfn.XLOOKUP($C100,Order!$C:$C,Order!$P:$P,"",0,1))</f>
        <v>0</v>
      </c>
      <c r="L100" s="4">
        <f t="shared" si="1"/>
        <v>0</v>
      </c>
    </row>
    <row r="101" spans="2:12" ht="23.25" hidden="1" customHeight="1" x14ac:dyDescent="0.25">
      <c r="B101" s="4">
        <v>96</v>
      </c>
      <c r="C101" s="36" t="str">
        <f>IF(Order!$C$112="","",Order!$C$112)</f>
        <v>DV132</v>
      </c>
      <c r="D101" s="36" t="str">
        <f>IF($C101="","",_xlfn.XLOOKUP($C101,Order!$C:$C,Order!$D:$D,"",0,1))</f>
        <v>DV132</v>
      </c>
      <c r="E101" s="4" t="e" vm="300">
        <f>IF($C101="","",_xlfn.XLOOKUP($C101,Order!$C:$C,Order!$E:$E,"",0,1))</f>
        <v>#VALUE!</v>
      </c>
      <c r="F101" s="4">
        <f>IF($C101="","",_xlfn.XLOOKUP($C101,Order!$C:$C,Order!$F:$F,"",0,1))</f>
        <v>6000</v>
      </c>
      <c r="G101" s="4" t="str">
        <f>IF($C101="","",_xlfn.XLOOKUP($C101,Order!$C:$C,Order!$G:$G,"",0,1))</f>
        <v>6063T5</v>
      </c>
      <c r="H101" s="4">
        <f>IF($C101="","",_xlfn.XLOOKUP($C101,Order!$C:$C,Order!$H:$H,"",0,1))</f>
        <v>0.246</v>
      </c>
      <c r="I101" s="36">
        <f>IF($C101="","",_xlfn.XLOOKUP($C101,Order!$C:$C,Order!$I:$I,"",0,1))</f>
        <v>0</v>
      </c>
      <c r="J101" s="4" t="str">
        <f>IF(C101="","",Order!$I$16)</f>
        <v>MILL FINISH</v>
      </c>
      <c r="K101" s="36">
        <f>IF($C101="","",_xlfn.XLOOKUP($C101,Order!$C:$C,Order!$P:$P,"",0,1))</f>
        <v>0</v>
      </c>
      <c r="L101" s="4">
        <f t="shared" si="1"/>
        <v>0</v>
      </c>
    </row>
    <row r="102" spans="2:12" ht="23.25" hidden="1" customHeight="1" x14ac:dyDescent="0.25">
      <c r="B102" s="4">
        <v>97</v>
      </c>
      <c r="C102" s="36" t="str">
        <f>IF(Order!$C$113="","",Order!$C$113)</f>
        <v>BX796</v>
      </c>
      <c r="D102" s="36" t="str">
        <f>IF($C102="","",_xlfn.XLOOKUP($C102,Order!$C:$C,Order!$D:$D,"",0,1))</f>
        <v>BX796</v>
      </c>
      <c r="E102" s="4" t="e" vm="301">
        <f>IF($C102="","",_xlfn.XLOOKUP($C102,Order!$C:$C,Order!$E:$E,"",0,1))</f>
        <v>#VALUE!</v>
      </c>
      <c r="F102" s="4">
        <f>IF($C102="","",_xlfn.XLOOKUP($C102,Order!$C:$C,Order!$F:$F,"",0,1))</f>
        <v>6000</v>
      </c>
      <c r="G102" s="4" t="str">
        <f>IF($C102="","",_xlfn.XLOOKUP($C102,Order!$C:$C,Order!$G:$G,"",0,1))</f>
        <v>6063T5</v>
      </c>
      <c r="H102" s="4">
        <f>IF($C102="","",_xlfn.XLOOKUP($C102,Order!$C:$C,Order!$H:$H,"",0,1))</f>
        <v>0.22700000000000001</v>
      </c>
      <c r="I102" s="36">
        <f>IF($C102="","",_xlfn.XLOOKUP($C102,Order!$C:$C,Order!$I:$I,"",0,1))</f>
        <v>0</v>
      </c>
      <c r="J102" s="4" t="str">
        <f>IF(C102="","",Order!$I$16)</f>
        <v>MILL FINISH</v>
      </c>
      <c r="K102" s="36">
        <f>IF($C102="","",_xlfn.XLOOKUP($C102,Order!$C:$C,Order!$P:$P,"",0,1))</f>
        <v>0</v>
      </c>
      <c r="L102" s="4">
        <f t="shared" si="1"/>
        <v>0</v>
      </c>
    </row>
    <row r="103" spans="2:12" ht="23.25" hidden="1" customHeight="1" x14ac:dyDescent="0.25">
      <c r="B103" s="4">
        <v>98</v>
      </c>
      <c r="C103" s="36" t="str">
        <f>IF(Order!$C$114="","",Order!$C$114)</f>
        <v>BX797</v>
      </c>
      <c r="D103" s="36" t="str">
        <f>IF($C103="","",_xlfn.XLOOKUP($C103,Order!$C:$C,Order!$D:$D,"",0,1))</f>
        <v>BX797</v>
      </c>
      <c r="E103" s="4" t="e" vm="302">
        <f>IF($C103="","",_xlfn.XLOOKUP($C103,Order!$C:$C,Order!$E:$E,"",0,1))</f>
        <v>#VALUE!</v>
      </c>
      <c r="F103" s="4">
        <f>IF($C103="","",_xlfn.XLOOKUP($C103,Order!$C:$C,Order!$F:$F,"",0,1))</f>
        <v>6000</v>
      </c>
      <c r="G103" s="4" t="str">
        <f>IF($C103="","",_xlfn.XLOOKUP($C103,Order!$C:$C,Order!$G:$G,"",0,1))</f>
        <v>6063T5</v>
      </c>
      <c r="H103" s="4">
        <f>IF($C103="","",_xlfn.XLOOKUP($C103,Order!$C:$C,Order!$H:$H,"",0,1))</f>
        <v>8.6999999999999994E-2</v>
      </c>
      <c r="I103" s="36">
        <f>IF($C103="","",_xlfn.XLOOKUP($C103,Order!$C:$C,Order!$I:$I,"",0,1))</f>
        <v>0</v>
      </c>
      <c r="J103" s="4" t="str">
        <f>IF(C103="","",Order!$I$16)</f>
        <v>MILL FINISH</v>
      </c>
      <c r="K103" s="36">
        <f>IF($C103="","",_xlfn.XLOOKUP($C103,Order!$C:$C,Order!$P:$P,"",0,1))</f>
        <v>0</v>
      </c>
      <c r="L103" s="4">
        <f t="shared" si="1"/>
        <v>0</v>
      </c>
    </row>
    <row r="104" spans="2:12" ht="23.25" hidden="1" customHeight="1" x14ac:dyDescent="0.25">
      <c r="B104" s="4">
        <v>99</v>
      </c>
      <c r="C104" s="36" t="str">
        <f>IF(Order!$C$115="","",Order!$C$115)</f>
        <v>BX798</v>
      </c>
      <c r="D104" s="36" t="str">
        <f>IF($C104="","",_xlfn.XLOOKUP($C104,Order!$C:$C,Order!$D:$D,"",0,1))</f>
        <v>BX798</v>
      </c>
      <c r="E104" s="4" t="e" vm="303">
        <f>IF($C104="","",_xlfn.XLOOKUP($C104,Order!$C:$C,Order!$E:$E,"",0,1))</f>
        <v>#VALUE!</v>
      </c>
      <c r="F104" s="4">
        <f>IF($C104="","",_xlfn.XLOOKUP($C104,Order!$C:$C,Order!$F:$F,"",0,1))</f>
        <v>6000</v>
      </c>
      <c r="G104" s="4" t="str">
        <f>IF($C104="","",_xlfn.XLOOKUP($C104,Order!$C:$C,Order!$G:$G,"",0,1))</f>
        <v>6063T5</v>
      </c>
      <c r="H104" s="4">
        <f>IF($C104="","",_xlfn.XLOOKUP($C104,Order!$C:$C,Order!$H:$H,"",0,1))</f>
        <v>0.20300000000000001</v>
      </c>
      <c r="I104" s="36">
        <f>IF($C104="","",_xlfn.XLOOKUP($C104,Order!$C:$C,Order!$I:$I,"",0,1))</f>
        <v>0</v>
      </c>
      <c r="J104" s="4" t="str">
        <f>IF(C104="","",Order!$I$16)</f>
        <v>MILL FINISH</v>
      </c>
      <c r="K104" s="36">
        <f>IF($C104="","",_xlfn.XLOOKUP($C104,Order!$C:$C,Order!$P:$P,"",0,1))</f>
        <v>0</v>
      </c>
      <c r="L104" s="4">
        <f t="shared" si="1"/>
        <v>0</v>
      </c>
    </row>
    <row r="105" spans="2:12" ht="23.25" hidden="1" customHeight="1" x14ac:dyDescent="0.25">
      <c r="B105" s="4">
        <v>100</v>
      </c>
      <c r="C105" s="36" t="str">
        <f>IF(Order!$C$116="","",Order!$C$116)</f>
        <v>BX799</v>
      </c>
      <c r="D105" s="36" t="str">
        <f>IF($C105="","",_xlfn.XLOOKUP($C105,Order!$C:$C,Order!$D:$D,"",0,1))</f>
        <v>BX799</v>
      </c>
      <c r="E105" s="4" t="e" vm="304">
        <f>IF($C105="","",_xlfn.XLOOKUP($C105,Order!$C:$C,Order!$E:$E,"",0,1))</f>
        <v>#VALUE!</v>
      </c>
      <c r="F105" s="4">
        <f>IF($C105="","",_xlfn.XLOOKUP($C105,Order!$C:$C,Order!$F:$F,"",0,1))</f>
        <v>6000</v>
      </c>
      <c r="G105" s="4" t="str">
        <f>IF($C105="","",_xlfn.XLOOKUP($C105,Order!$C:$C,Order!$G:$G,"",0,1))</f>
        <v>6063T5</v>
      </c>
      <c r="H105" s="4">
        <f>IF($C105="","",_xlfn.XLOOKUP($C105,Order!$C:$C,Order!$H:$H,"",0,1))</f>
        <v>0.16300000000000001</v>
      </c>
      <c r="I105" s="36">
        <f>IF($C105="","",_xlfn.XLOOKUP($C105,Order!$C:$C,Order!$I:$I,"",0,1))</f>
        <v>0</v>
      </c>
      <c r="J105" s="4" t="str">
        <f>IF(C105="","",Order!$I$16)</f>
        <v>MILL FINISH</v>
      </c>
      <c r="K105" s="36">
        <f>IF($C105="","",_xlfn.XLOOKUP($C105,Order!$C:$C,Order!$P:$P,"",0,1))</f>
        <v>0</v>
      </c>
      <c r="L105" s="4">
        <f t="shared" si="1"/>
        <v>0</v>
      </c>
    </row>
    <row r="106" spans="2:12" ht="23.25" hidden="1" customHeight="1" x14ac:dyDescent="0.25">
      <c r="B106" s="4">
        <v>101</v>
      </c>
      <c r="C106" s="36" t="str">
        <f>IF(Order!$C$117="","",Order!$C$117)</f>
        <v>BX958</v>
      </c>
      <c r="D106" s="36" t="str">
        <f>IF($C106="","",_xlfn.XLOOKUP($C106,Order!$C:$C,Order!$D:$D,"",0,1))</f>
        <v>BX958</v>
      </c>
      <c r="E106" s="4" t="e" vm="305">
        <f>IF($C106="","",_xlfn.XLOOKUP($C106,Order!$C:$C,Order!$E:$E,"",0,1))</f>
        <v>#VALUE!</v>
      </c>
      <c r="F106" s="4">
        <f>IF($C106="","",_xlfn.XLOOKUP($C106,Order!$C:$C,Order!$F:$F,"",0,1))</f>
        <v>6000</v>
      </c>
      <c r="G106" s="4" t="str">
        <f>IF($C106="","",_xlfn.XLOOKUP($C106,Order!$C:$C,Order!$G:$G,"",0,1))</f>
        <v>6063T5</v>
      </c>
      <c r="H106" s="4">
        <f>IF($C106="","",_xlfn.XLOOKUP($C106,Order!$C:$C,Order!$H:$H,"",0,1))</f>
        <v>0.48199999999999998</v>
      </c>
      <c r="I106" s="36">
        <f>IF($C106="","",_xlfn.XLOOKUP($C106,Order!$C:$C,Order!$I:$I,"",0,1))</f>
        <v>0</v>
      </c>
      <c r="J106" s="4" t="str">
        <f>IF(C106="","",Order!$I$16)</f>
        <v>MILL FINISH</v>
      </c>
      <c r="K106" s="36">
        <f>IF($C106="","",_xlfn.XLOOKUP($C106,Order!$C:$C,Order!$P:$P,"",0,1))</f>
        <v>0</v>
      </c>
      <c r="L106" s="4">
        <f t="shared" si="1"/>
        <v>0</v>
      </c>
    </row>
    <row r="107" spans="2:12" ht="23.25" hidden="1" customHeight="1" x14ac:dyDescent="0.25">
      <c r="B107" s="4">
        <v>102</v>
      </c>
      <c r="C107" s="36" t="str">
        <f>IF(Order!$C$118="","",Order!$C$118)</f>
        <v>BG202</v>
      </c>
      <c r="D107" s="36" t="str">
        <f>IF($C107="","",_xlfn.XLOOKUP($C107,Order!$C:$C,Order!$D:$D,"",0,1))</f>
        <v>BG202</v>
      </c>
      <c r="E107" s="4" t="e" vm="306">
        <f>IF($C107="","",_xlfn.XLOOKUP($C107,Order!$C:$C,Order!$E:$E,"",0,1))</f>
        <v>#VALUE!</v>
      </c>
      <c r="F107" s="4">
        <f>IF($C107="","",_xlfn.XLOOKUP($C107,Order!$C:$C,Order!$F:$F,"",0,1))</f>
        <v>6000</v>
      </c>
      <c r="G107" s="4" t="str">
        <f>IF($C107="","",_xlfn.XLOOKUP($C107,Order!$C:$C,Order!$G:$G,"",0,1))</f>
        <v>6063T5</v>
      </c>
      <c r="H107" s="4">
        <f>IF($C107="","",_xlfn.XLOOKUP($C107,Order!$C:$C,Order!$H:$H,"",0,1))</f>
        <v>8.8999999999999996E-2</v>
      </c>
      <c r="I107" s="36">
        <f>IF($C107="","",_xlfn.XLOOKUP($C107,Order!$C:$C,Order!$I:$I,"",0,1))</f>
        <v>0</v>
      </c>
      <c r="J107" s="4" t="str">
        <f>IF(C107="","",Order!$I$16)</f>
        <v>MILL FINISH</v>
      </c>
      <c r="K107" s="36">
        <f>IF($C107="","",_xlfn.XLOOKUP($C107,Order!$C:$C,Order!$P:$P,"",0,1))</f>
        <v>0</v>
      </c>
      <c r="L107" s="4">
        <f t="shared" si="1"/>
        <v>0</v>
      </c>
    </row>
    <row r="108" spans="2:12" ht="23.25" hidden="1" customHeight="1" x14ac:dyDescent="0.25">
      <c r="B108" s="4">
        <v>103</v>
      </c>
      <c r="C108" s="36" t="str">
        <f>IF(Order!$C$119="","",Order!$C$119)</f>
        <v>MP069</v>
      </c>
      <c r="D108" s="36" t="str">
        <f>IF($C108="","",_xlfn.XLOOKUP($C108,Order!$C:$C,Order!$D:$D,"",0,1))</f>
        <v>MP069</v>
      </c>
      <c r="E108" s="4" t="e" vm="307">
        <f>IF($C108="","",_xlfn.XLOOKUP($C108,Order!$C:$C,Order!$E:$E,"",0,1))</f>
        <v>#VALUE!</v>
      </c>
      <c r="F108" s="4">
        <f>IF($C108="","",_xlfn.XLOOKUP($C108,Order!$C:$C,Order!$F:$F,"",0,1))</f>
        <v>0</v>
      </c>
      <c r="G108" s="4" t="str">
        <f>IF($C108="","",_xlfn.XLOOKUP($C108,Order!$C:$C,Order!$G:$G,"",0,1))</f>
        <v>6063T5</v>
      </c>
      <c r="H108" s="4">
        <f>IF($C108="","",_xlfn.XLOOKUP($C108,Order!$C:$C,Order!$H:$H,"",0,1))</f>
        <v>0.57799999999999996</v>
      </c>
      <c r="I108" s="36">
        <f>IF($C108="","",_xlfn.XLOOKUP($C108,Order!$C:$C,Order!$I:$I,"",0,1))</f>
        <v>0</v>
      </c>
      <c r="J108" s="4" t="str">
        <f>IF(C108="","",Order!$I$16)</f>
        <v>MILL FINISH</v>
      </c>
      <c r="K108" s="36">
        <f>IF($C108="","",_xlfn.XLOOKUP($C108,Order!$C:$C,Order!$P:$P,"",0,1))</f>
        <v>0</v>
      </c>
      <c r="L108" s="4">
        <f t="shared" si="1"/>
        <v>0</v>
      </c>
    </row>
    <row r="109" spans="2:12" ht="23.25" hidden="1" customHeight="1" x14ac:dyDescent="0.25">
      <c r="B109" s="4">
        <v>104</v>
      </c>
      <c r="C109" s="36" t="str">
        <f>IF(Order!$C$120="","",Order!$C$120)</f>
        <v>MP070</v>
      </c>
      <c r="D109" s="36" t="str">
        <f>IF($C109="","",_xlfn.XLOOKUP($C109,Order!$C:$C,Order!$D:$D,"",0,1))</f>
        <v>MP070</v>
      </c>
      <c r="E109" s="4" t="e" vm="308">
        <f>IF($C109="","",_xlfn.XLOOKUP($C109,Order!$C:$C,Order!$E:$E,"",0,1))</f>
        <v>#VALUE!</v>
      </c>
      <c r="F109" s="4">
        <f>IF($C109="","",_xlfn.XLOOKUP($C109,Order!$C:$C,Order!$F:$F,"",0,1))</f>
        <v>0</v>
      </c>
      <c r="G109" s="4" t="str">
        <f>IF($C109="","",_xlfn.XLOOKUP($C109,Order!$C:$C,Order!$G:$G,"",0,1))</f>
        <v>6063T5</v>
      </c>
      <c r="H109" s="4">
        <f>IF($C109="","",_xlfn.XLOOKUP($C109,Order!$C:$C,Order!$H:$H,"",0,1))</f>
        <v>0.46800000000000003</v>
      </c>
      <c r="I109" s="36">
        <f>IF($C109="","",_xlfn.XLOOKUP($C109,Order!$C:$C,Order!$I:$I,"",0,1))</f>
        <v>0</v>
      </c>
      <c r="J109" s="4" t="str">
        <f>IF(C109="","",Order!$I$16)</f>
        <v>MILL FINISH</v>
      </c>
      <c r="K109" s="36">
        <f>IF($C109="","",_xlfn.XLOOKUP($C109,Order!$C:$C,Order!$P:$P,"",0,1))</f>
        <v>0</v>
      </c>
      <c r="L109" s="4">
        <f t="shared" si="1"/>
        <v>0</v>
      </c>
    </row>
    <row r="110" spans="2:12" ht="23.25" hidden="1" customHeight="1" x14ac:dyDescent="0.25">
      <c r="B110" s="4">
        <v>105</v>
      </c>
      <c r="C110" s="36" t="str">
        <f>IF(Order!$C$121="","",Order!$C$121)</f>
        <v>MP300</v>
      </c>
      <c r="D110" s="36" t="str">
        <f>IF($C110="","",_xlfn.XLOOKUP($C110,Order!$C:$C,Order!$D:$D,"",0,1))</f>
        <v>MP300MP</v>
      </c>
      <c r="E110" s="4" t="e" vm="309">
        <f>IF($C110="","",_xlfn.XLOOKUP($C110,Order!$C:$C,Order!$E:$E,"",0,1))</f>
        <v>#VALUE!</v>
      </c>
      <c r="F110" s="4">
        <f>IF($C110="","",_xlfn.XLOOKUP($C110,Order!$C:$C,Order!$F:$F,"",0,1))</f>
        <v>6000</v>
      </c>
      <c r="G110" s="4" t="str">
        <f>IF($C110="","",_xlfn.XLOOKUP($C110,Order!$C:$C,Order!$G:$G,"",0,1))</f>
        <v>6063T5</v>
      </c>
      <c r="H110" s="4">
        <f>IF($C110="","",_xlfn.XLOOKUP($C110,Order!$C:$C,Order!$H:$H,"",0,1))</f>
        <v>0.29799999999999999</v>
      </c>
      <c r="I110" s="36">
        <f>IF($C110="","",_xlfn.XLOOKUP($C110,Order!$C:$C,Order!$I:$I,"",0,1))</f>
        <v>0</v>
      </c>
      <c r="J110" s="4" t="str">
        <f>IF(C110="","",Order!$I$16)</f>
        <v>MILL FINISH</v>
      </c>
      <c r="K110" s="36">
        <f>IF($C110="","",_xlfn.XLOOKUP($C110,Order!$C:$C,Order!$P:$P,"",0,1))</f>
        <v>0</v>
      </c>
      <c r="L110" s="4">
        <f t="shared" si="1"/>
        <v>0</v>
      </c>
    </row>
    <row r="111" spans="2:12" ht="23.25" hidden="1" customHeight="1" x14ac:dyDescent="0.25">
      <c r="B111" s="4">
        <v>106</v>
      </c>
      <c r="C111" s="36" t="str">
        <f>IF(Order!$C$122="","",Order!$C$122)</f>
        <v>MP302</v>
      </c>
      <c r="D111" s="36" t="str">
        <f>IF($C111="","",_xlfn.XLOOKUP($C111,Order!$C:$C,Order!$D:$D,"",0,1))</f>
        <v>MP302</v>
      </c>
      <c r="E111" s="4" t="e" vm="310">
        <f>IF($C111="","",_xlfn.XLOOKUP($C111,Order!$C:$C,Order!$E:$E,"",0,1))</f>
        <v>#VALUE!</v>
      </c>
      <c r="F111" s="4">
        <f>IF($C111="","",_xlfn.XLOOKUP($C111,Order!$C:$C,Order!$F:$F,"",0,1))</f>
        <v>6000</v>
      </c>
      <c r="G111" s="4" t="str">
        <f>IF($C111="","",_xlfn.XLOOKUP($C111,Order!$C:$C,Order!$G:$G,"",0,1))</f>
        <v>6063T5</v>
      </c>
      <c r="H111" s="4">
        <f>IF($C111="","",_xlfn.XLOOKUP($C111,Order!$C:$C,Order!$H:$H,"",0,1))</f>
        <v>0.34399999999999997</v>
      </c>
      <c r="I111" s="36">
        <f>IF($C111="","",_xlfn.XLOOKUP($C111,Order!$C:$C,Order!$I:$I,"",0,1))</f>
        <v>0</v>
      </c>
      <c r="J111" s="4" t="str">
        <f>IF(C111="","",Order!$I$16)</f>
        <v>MILL FINISH</v>
      </c>
      <c r="K111" s="36">
        <f>IF($C111="","",_xlfn.XLOOKUP($C111,Order!$C:$C,Order!$P:$P,"",0,1))</f>
        <v>0</v>
      </c>
      <c r="L111" s="4">
        <f t="shared" si="1"/>
        <v>0</v>
      </c>
    </row>
    <row r="112" spans="2:12" ht="23.25" hidden="1" customHeight="1" x14ac:dyDescent="0.25">
      <c r="B112" s="4">
        <v>107</v>
      </c>
      <c r="C112" s="36" t="str">
        <f>IF(Order!$C$123="","",Order!$C$123)</f>
        <v>MP309</v>
      </c>
      <c r="D112" s="36" t="str">
        <f>IF($C112="","",_xlfn.XLOOKUP($C112,Order!$C:$C,Order!$D:$D,"",0,1))</f>
        <v>MP309</v>
      </c>
      <c r="E112" s="4" t="e" vm="311">
        <f>IF($C112="","",_xlfn.XLOOKUP($C112,Order!$C:$C,Order!$E:$E,"",0,1))</f>
        <v>#VALUE!</v>
      </c>
      <c r="F112" s="4">
        <f>IF($C112="","",_xlfn.XLOOKUP($C112,Order!$C:$C,Order!$F:$F,"",0,1))</f>
        <v>6000</v>
      </c>
      <c r="G112" s="4" t="str">
        <f>IF($C112="","",_xlfn.XLOOKUP($C112,Order!$C:$C,Order!$G:$G,"",0,1))</f>
        <v>6063T5</v>
      </c>
      <c r="H112" s="4">
        <f>IF($C112="","",_xlfn.XLOOKUP($C112,Order!$C:$C,Order!$H:$H,"",0,1))</f>
        <v>0.36499999999999999</v>
      </c>
      <c r="I112" s="36">
        <f>IF($C112="","",_xlfn.XLOOKUP($C112,Order!$C:$C,Order!$I:$I,"",0,1))</f>
        <v>0</v>
      </c>
      <c r="J112" s="4" t="str">
        <f>IF(C112="","",Order!$I$16)</f>
        <v>MILL FINISH</v>
      </c>
      <c r="K112" s="36">
        <f>IF($C112="","",_xlfn.XLOOKUP($C112,Order!$C:$C,Order!$P:$P,"",0,1))</f>
        <v>0</v>
      </c>
      <c r="L112" s="4">
        <f t="shared" si="1"/>
        <v>0</v>
      </c>
    </row>
    <row r="113" spans="2:12" ht="23.25" hidden="1" customHeight="1" x14ac:dyDescent="0.25">
      <c r="B113" s="4">
        <v>108</v>
      </c>
      <c r="C113" s="36" t="str">
        <f>IF(Order!$C$124="","",Order!$C$124)</f>
        <v>MP321</v>
      </c>
      <c r="D113" s="36" t="str">
        <f>IF($C113="","",_xlfn.XLOOKUP($C113,Order!$C:$C,Order!$D:$D,"",0,1))</f>
        <v>MP321MP</v>
      </c>
      <c r="E113" s="4" t="e" vm="312">
        <f>IF($C113="","",_xlfn.XLOOKUP($C113,Order!$C:$C,Order!$E:$E,"",0,1))</f>
        <v>#VALUE!</v>
      </c>
      <c r="F113" s="4">
        <f>IF($C113="","",_xlfn.XLOOKUP($C113,Order!$C:$C,Order!$F:$F,"",0,1))</f>
        <v>6000</v>
      </c>
      <c r="G113" s="4" t="str">
        <f>IF($C113="","",_xlfn.XLOOKUP($C113,Order!$C:$C,Order!$G:$G,"",0,1))</f>
        <v>6063T5</v>
      </c>
      <c r="H113" s="4">
        <f>IF($C113="","",_xlfn.XLOOKUP($C113,Order!$C:$C,Order!$H:$H,"",0,1))</f>
        <v>0.33900000000000002</v>
      </c>
      <c r="I113" s="36">
        <f>IF($C113="","",_xlfn.XLOOKUP($C113,Order!$C:$C,Order!$I:$I,"",0,1))</f>
        <v>0</v>
      </c>
      <c r="J113" s="4" t="str">
        <f>IF(C113="","",Order!$I$16)</f>
        <v>MILL FINISH</v>
      </c>
      <c r="K113" s="36">
        <f>IF($C113="","",_xlfn.XLOOKUP($C113,Order!$C:$C,Order!$P:$P,"",0,1))</f>
        <v>0</v>
      </c>
      <c r="L113" s="4">
        <f t="shared" si="1"/>
        <v>0</v>
      </c>
    </row>
    <row r="114" spans="2:12" ht="23.25" hidden="1" customHeight="1" x14ac:dyDescent="0.25">
      <c r="B114" s="4">
        <v>109</v>
      </c>
      <c r="C114" s="36" t="str">
        <f>IF(Order!$C$125="","",Order!$C$125)</f>
        <v>MP332</v>
      </c>
      <c r="D114" s="36" t="str">
        <f>IF($C114="","",_xlfn.XLOOKUP($C114,Order!$C:$C,Order!$D:$D,"",0,1))</f>
        <v>MP332</v>
      </c>
      <c r="E114" s="4" t="e" vm="313">
        <f>IF($C114="","",_xlfn.XLOOKUP($C114,Order!$C:$C,Order!$E:$E,"",0,1))</f>
        <v>#VALUE!</v>
      </c>
      <c r="F114" s="4">
        <f>IF($C114="","",_xlfn.XLOOKUP($C114,Order!$C:$C,Order!$F:$F,"",0,1))</f>
        <v>6000</v>
      </c>
      <c r="G114" s="4" t="str">
        <f>IF($C114="","",_xlfn.XLOOKUP($C114,Order!$C:$C,Order!$G:$G,"",0,1))</f>
        <v>6063T5</v>
      </c>
      <c r="H114" s="4">
        <f>IF($C114="","",_xlfn.XLOOKUP($C114,Order!$C:$C,Order!$H:$H,"",0,1))</f>
        <v>0.47599999999999998</v>
      </c>
      <c r="I114" s="36">
        <f>IF($C114="","",_xlfn.XLOOKUP($C114,Order!$C:$C,Order!$I:$I,"",0,1))</f>
        <v>0</v>
      </c>
      <c r="J114" s="4" t="str">
        <f>IF(C114="","",Order!$I$16)</f>
        <v>MILL FINISH</v>
      </c>
      <c r="K114" s="36">
        <f>IF($C114="","",_xlfn.XLOOKUP($C114,Order!$C:$C,Order!$P:$P,"",0,1))</f>
        <v>0</v>
      </c>
      <c r="L114" s="4">
        <f t="shared" si="1"/>
        <v>0</v>
      </c>
    </row>
    <row r="115" spans="2:12" ht="23.25" hidden="1" customHeight="1" x14ac:dyDescent="0.25">
      <c r="B115" s="4">
        <v>110</v>
      </c>
      <c r="C115" s="36" t="str">
        <f>IF(Order!$C$126="","",Order!$C$126)</f>
        <v>MP336</v>
      </c>
      <c r="D115" s="36" t="str">
        <f>IF($C115="","",_xlfn.XLOOKUP($C115,Order!$C:$C,Order!$D:$D,"",0,1))</f>
        <v>MP336MP</v>
      </c>
      <c r="E115" s="4" t="e" vm="314">
        <f>IF($C115="","",_xlfn.XLOOKUP($C115,Order!$C:$C,Order!$E:$E,"",0,1))</f>
        <v>#VALUE!</v>
      </c>
      <c r="F115" s="4">
        <f>IF($C115="","",_xlfn.XLOOKUP($C115,Order!$C:$C,Order!$F:$F,"",0,1))</f>
        <v>0</v>
      </c>
      <c r="G115" s="4" t="str">
        <f>IF($C115="","",_xlfn.XLOOKUP($C115,Order!$C:$C,Order!$G:$G,"",0,1))</f>
        <v>6063T5</v>
      </c>
      <c r="H115" s="4">
        <f>IF($C115="","",_xlfn.XLOOKUP($C115,Order!$C:$C,Order!$H:$H,"",0,1))</f>
        <v>0.42299999999999999</v>
      </c>
      <c r="I115" s="36">
        <f>IF($C115="","",_xlfn.XLOOKUP($C115,Order!$C:$C,Order!$I:$I,"",0,1))</f>
        <v>0</v>
      </c>
      <c r="J115" s="4" t="str">
        <f>IF(C115="","",Order!$I$16)</f>
        <v>MILL FINISH</v>
      </c>
      <c r="K115" s="36">
        <f>IF($C115="","",_xlfn.XLOOKUP($C115,Order!$C:$C,Order!$P:$P,"",0,1))</f>
        <v>0</v>
      </c>
      <c r="L115" s="4">
        <f t="shared" si="1"/>
        <v>0</v>
      </c>
    </row>
    <row r="116" spans="2:12" ht="23.25" hidden="1" customHeight="1" x14ac:dyDescent="0.25">
      <c r="B116" s="4">
        <v>111</v>
      </c>
      <c r="C116" s="36" t="str">
        <f>IF(Order!$C$127="","",Order!$C$127)</f>
        <v>MP352</v>
      </c>
      <c r="D116" s="36" t="str">
        <f>IF($C116="","",_xlfn.XLOOKUP($C116,Order!$C:$C,Order!$D:$D,"",0,1))</f>
        <v>MP352</v>
      </c>
      <c r="E116" s="4" t="e" vm="315">
        <f>IF($C116="","",_xlfn.XLOOKUP($C116,Order!$C:$C,Order!$E:$E,"",0,1))</f>
        <v>#VALUE!</v>
      </c>
      <c r="F116" s="4">
        <f>IF($C116="","",_xlfn.XLOOKUP($C116,Order!$C:$C,Order!$F:$F,"",0,1))</f>
        <v>6000</v>
      </c>
      <c r="G116" s="4" t="str">
        <f>IF($C116="","",_xlfn.XLOOKUP($C116,Order!$C:$C,Order!$G:$G,"",0,1))</f>
        <v>6063T5</v>
      </c>
      <c r="H116" s="4">
        <f>IF($C116="","",_xlfn.XLOOKUP($C116,Order!$C:$C,Order!$H:$H,"",0,1))</f>
        <v>0.159</v>
      </c>
      <c r="I116" s="36">
        <f>IF($C116="","",_xlfn.XLOOKUP($C116,Order!$C:$C,Order!$I:$I,"",0,1))</f>
        <v>0</v>
      </c>
      <c r="J116" s="4" t="str">
        <f>IF(C116="","",Order!$I$16)</f>
        <v>MILL FINISH</v>
      </c>
      <c r="K116" s="36">
        <f>IF($C116="","",_xlfn.XLOOKUP($C116,Order!$C:$C,Order!$P:$P,"",0,1))</f>
        <v>0</v>
      </c>
      <c r="L116" s="4">
        <f t="shared" si="1"/>
        <v>0</v>
      </c>
    </row>
    <row r="117" spans="2:12" ht="23.25" hidden="1" customHeight="1" x14ac:dyDescent="0.25">
      <c r="B117" s="4">
        <v>112</v>
      </c>
      <c r="C117" s="36" t="str">
        <f>IF(Order!$C$128="","",Order!$C$128)</f>
        <v>MP354</v>
      </c>
      <c r="D117" s="36" t="str">
        <f>IF($C117="","",_xlfn.XLOOKUP($C117,Order!$C:$C,Order!$D:$D,"",0,1))</f>
        <v>MP354</v>
      </c>
      <c r="E117" s="4" t="e" vm="316">
        <f>IF($C117="","",_xlfn.XLOOKUP($C117,Order!$C:$C,Order!$E:$E,"",0,1))</f>
        <v>#VALUE!</v>
      </c>
      <c r="F117" s="4">
        <f>IF($C117="","",_xlfn.XLOOKUP($C117,Order!$C:$C,Order!$F:$F,"",0,1))</f>
        <v>6000</v>
      </c>
      <c r="G117" s="4" t="str">
        <f>IF($C117="","",_xlfn.XLOOKUP($C117,Order!$C:$C,Order!$G:$G,"",0,1))</f>
        <v>6063T5</v>
      </c>
      <c r="H117" s="4">
        <f>IF($C117="","",_xlfn.XLOOKUP($C117,Order!$C:$C,Order!$H:$H,"",0,1))</f>
        <v>0.78700000000000003</v>
      </c>
      <c r="I117" s="36">
        <f>IF($C117="","",_xlfn.XLOOKUP($C117,Order!$C:$C,Order!$I:$I,"",0,1))</f>
        <v>0</v>
      </c>
      <c r="J117" s="4" t="str">
        <f>IF(C117="","",Order!$I$16)</f>
        <v>MILL FINISH</v>
      </c>
      <c r="K117" s="36">
        <f>IF($C117="","",_xlfn.XLOOKUP($C117,Order!$C:$C,Order!$P:$P,"",0,1))</f>
        <v>0</v>
      </c>
      <c r="L117" s="4">
        <f t="shared" si="1"/>
        <v>0</v>
      </c>
    </row>
    <row r="118" spans="2:12" ht="23.25" hidden="1" customHeight="1" x14ac:dyDescent="0.25">
      <c r="B118" s="4">
        <v>113</v>
      </c>
      <c r="C118" s="36" t="str">
        <f>IF(Order!$C$129="","",Order!$C$129)</f>
        <v>MP357</v>
      </c>
      <c r="D118" s="36" t="str">
        <f>IF($C118="","",_xlfn.XLOOKUP($C118,Order!$C:$C,Order!$D:$D,"",0,1))</f>
        <v>MP357</v>
      </c>
      <c r="E118" s="4" t="e" vm="317">
        <f>IF($C118="","",_xlfn.XLOOKUP($C118,Order!$C:$C,Order!$E:$E,"",0,1))</f>
        <v>#VALUE!</v>
      </c>
      <c r="F118" s="4">
        <f>IF($C118="","",_xlfn.XLOOKUP($C118,Order!$C:$C,Order!$F:$F,"",0,1))</f>
        <v>6000</v>
      </c>
      <c r="G118" s="4" t="str">
        <f>IF($C118="","",_xlfn.XLOOKUP($C118,Order!$C:$C,Order!$G:$G,"",0,1))</f>
        <v>6063T5</v>
      </c>
      <c r="H118" s="4">
        <f>IF($C118="","",_xlfn.XLOOKUP($C118,Order!$C:$C,Order!$H:$H,"",0,1))</f>
        <v>0.46200000000000002</v>
      </c>
      <c r="I118" s="36">
        <f>IF($C118="","",_xlfn.XLOOKUP($C118,Order!$C:$C,Order!$I:$I,"",0,1))</f>
        <v>0</v>
      </c>
      <c r="J118" s="4" t="str">
        <f>IF(C118="","",Order!$I$16)</f>
        <v>MILL FINISH</v>
      </c>
      <c r="K118" s="36">
        <f>IF($C118="","",_xlfn.XLOOKUP($C118,Order!$C:$C,Order!$P:$P,"",0,1))</f>
        <v>0</v>
      </c>
      <c r="L118" s="4">
        <f t="shared" si="1"/>
        <v>0</v>
      </c>
    </row>
    <row r="119" spans="2:12" ht="23.25" hidden="1" customHeight="1" x14ac:dyDescent="0.25">
      <c r="B119" s="4">
        <v>114</v>
      </c>
      <c r="C119" s="36" t="str">
        <f>IF(Order!$C$130="","",Order!$C$130)</f>
        <v>MP358</v>
      </c>
      <c r="D119" s="36" t="str">
        <f>IF($C119="","",_xlfn.XLOOKUP($C119,Order!$C:$C,Order!$D:$D,"",0,1))</f>
        <v>MP358</v>
      </c>
      <c r="E119" s="4" t="e" vm="318">
        <f>IF($C119="","",_xlfn.XLOOKUP($C119,Order!$C:$C,Order!$E:$E,"",0,1))</f>
        <v>#VALUE!</v>
      </c>
      <c r="F119" s="4">
        <f>IF($C119="","",_xlfn.XLOOKUP($C119,Order!$C:$C,Order!$F:$F,"",0,1))</f>
        <v>6000</v>
      </c>
      <c r="G119" s="4" t="str">
        <f>IF($C119="","",_xlfn.XLOOKUP($C119,Order!$C:$C,Order!$G:$G,"",0,1))</f>
        <v>6063T5</v>
      </c>
      <c r="H119" s="4">
        <f>IF($C119="","",_xlfn.XLOOKUP($C119,Order!$C:$C,Order!$H:$H,"",0,1))</f>
        <v>0.42799999999999999</v>
      </c>
      <c r="I119" s="36">
        <f>IF($C119="","",_xlfn.XLOOKUP($C119,Order!$C:$C,Order!$I:$I,"",0,1))</f>
        <v>0</v>
      </c>
      <c r="J119" s="4" t="str">
        <f>IF(C119="","",Order!$I$16)</f>
        <v>MILL FINISH</v>
      </c>
      <c r="K119" s="36">
        <f>IF($C119="","",_xlfn.XLOOKUP($C119,Order!$C:$C,Order!$P:$P,"",0,1))</f>
        <v>0</v>
      </c>
      <c r="L119" s="4">
        <f t="shared" si="1"/>
        <v>0</v>
      </c>
    </row>
    <row r="120" spans="2:12" ht="23.25" hidden="1" customHeight="1" x14ac:dyDescent="0.25">
      <c r="B120" s="4">
        <v>115</v>
      </c>
      <c r="C120" s="36" t="str">
        <f>IF(Order!$C$131="","",Order!$C$131)</f>
        <v>MP359</v>
      </c>
      <c r="D120" s="36" t="str">
        <f>IF($C120="","",_xlfn.XLOOKUP($C120,Order!$C:$C,Order!$D:$D,"",0,1))</f>
        <v>MP359</v>
      </c>
      <c r="E120" s="4" t="e" vm="319">
        <f>IF($C120="","",_xlfn.XLOOKUP($C120,Order!$C:$C,Order!$E:$E,"",0,1))</f>
        <v>#VALUE!</v>
      </c>
      <c r="F120" s="4">
        <f>IF($C120="","",_xlfn.XLOOKUP($C120,Order!$C:$C,Order!$F:$F,"",0,1))</f>
        <v>6000</v>
      </c>
      <c r="G120" s="4" t="str">
        <f>IF($C120="","",_xlfn.XLOOKUP($C120,Order!$C:$C,Order!$G:$G,"",0,1))</f>
        <v>6063T5</v>
      </c>
      <c r="H120" s="4">
        <f>IF($C120="","",_xlfn.XLOOKUP($C120,Order!$C:$C,Order!$H:$H,"",0,1))</f>
        <v>0.38200000000000001</v>
      </c>
      <c r="I120" s="36">
        <f>IF($C120="","",_xlfn.XLOOKUP($C120,Order!$C:$C,Order!$I:$I,"",0,1))</f>
        <v>0</v>
      </c>
      <c r="J120" s="4" t="str">
        <f>IF(C120="","",Order!$I$16)</f>
        <v>MILL FINISH</v>
      </c>
      <c r="K120" s="36">
        <f>IF($C120="","",_xlfn.XLOOKUP($C120,Order!$C:$C,Order!$P:$P,"",0,1))</f>
        <v>0</v>
      </c>
      <c r="L120" s="4">
        <f t="shared" si="1"/>
        <v>0</v>
      </c>
    </row>
    <row r="121" spans="2:12" ht="23.25" hidden="1" customHeight="1" x14ac:dyDescent="0.25">
      <c r="B121" s="4">
        <v>116</v>
      </c>
      <c r="C121" s="36" t="str">
        <f>IF(Order!$C$132="","",Order!$C$132)</f>
        <v>MP360</v>
      </c>
      <c r="D121" s="36" t="str">
        <f>IF($C121="","",_xlfn.XLOOKUP($C121,Order!$C:$C,Order!$D:$D,"",0,1))</f>
        <v>MP360</v>
      </c>
      <c r="E121" s="4" t="e" vm="320">
        <f>IF($C121="","",_xlfn.XLOOKUP($C121,Order!$C:$C,Order!$E:$E,"",0,1))</f>
        <v>#VALUE!</v>
      </c>
      <c r="F121" s="4">
        <f>IF($C121="","",_xlfn.XLOOKUP($C121,Order!$C:$C,Order!$F:$F,"",0,1))</f>
        <v>6000</v>
      </c>
      <c r="G121" s="4" t="str">
        <f>IF($C121="","",_xlfn.XLOOKUP($C121,Order!$C:$C,Order!$G:$G,"",0,1))</f>
        <v>6063T5</v>
      </c>
      <c r="H121" s="4">
        <f>IF($C121="","",_xlfn.XLOOKUP($C121,Order!$C:$C,Order!$H:$H,"",0,1))</f>
        <v>0.313</v>
      </c>
      <c r="I121" s="36">
        <f>IF($C121="","",_xlfn.XLOOKUP($C121,Order!$C:$C,Order!$I:$I,"",0,1))</f>
        <v>0</v>
      </c>
      <c r="J121" s="4" t="str">
        <f>IF(C121="","",Order!$I$16)</f>
        <v>MILL FINISH</v>
      </c>
      <c r="K121" s="36">
        <f>IF($C121="","",_xlfn.XLOOKUP($C121,Order!$C:$C,Order!$P:$P,"",0,1))</f>
        <v>0</v>
      </c>
      <c r="L121" s="4">
        <f t="shared" si="1"/>
        <v>0</v>
      </c>
    </row>
    <row r="122" spans="2:12" ht="23.25" hidden="1" customHeight="1" x14ac:dyDescent="0.25">
      <c r="B122" s="4">
        <v>117</v>
      </c>
      <c r="C122" s="36" t="str">
        <f>IF(Order!$C$133="","",Order!$C$133)</f>
        <v>MP361</v>
      </c>
      <c r="D122" s="36" t="str">
        <f>IF($C122="","",_xlfn.XLOOKUP($C122,Order!$C:$C,Order!$D:$D,"",0,1))</f>
        <v>MP361</v>
      </c>
      <c r="E122" s="4" t="e" vm="321">
        <f>IF($C122="","",_xlfn.XLOOKUP($C122,Order!$C:$C,Order!$E:$E,"",0,1))</f>
        <v>#VALUE!</v>
      </c>
      <c r="F122" s="4">
        <f>IF($C122="","",_xlfn.XLOOKUP($C122,Order!$C:$C,Order!$F:$F,"",0,1))</f>
        <v>6000</v>
      </c>
      <c r="G122" s="4" t="str">
        <f>IF($C122="","",_xlfn.XLOOKUP($C122,Order!$C:$C,Order!$G:$G,"",0,1))</f>
        <v>6063T5</v>
      </c>
      <c r="H122" s="4">
        <f>IF($C122="","",_xlfn.XLOOKUP($C122,Order!$C:$C,Order!$H:$H,"",0,1))</f>
        <v>1.06</v>
      </c>
      <c r="I122" s="36">
        <f>IF($C122="","",_xlfn.XLOOKUP($C122,Order!$C:$C,Order!$I:$I,"",0,1))</f>
        <v>0</v>
      </c>
      <c r="J122" s="4" t="str">
        <f>IF(C122="","",Order!$I$16)</f>
        <v>MILL FINISH</v>
      </c>
      <c r="K122" s="36">
        <f>IF($C122="","",_xlfn.XLOOKUP($C122,Order!$C:$C,Order!$P:$P,"",0,1))</f>
        <v>0</v>
      </c>
      <c r="L122" s="4">
        <f t="shared" si="1"/>
        <v>0</v>
      </c>
    </row>
    <row r="123" spans="2:12" ht="23.25" hidden="1" customHeight="1" x14ac:dyDescent="0.25">
      <c r="B123" s="4">
        <v>118</v>
      </c>
      <c r="C123" s="36" t="str">
        <f>IF(Order!$C$134="","",Order!$C$134)</f>
        <v>MP362</v>
      </c>
      <c r="D123" s="36" t="str">
        <f>IF($C123="","",_xlfn.XLOOKUP($C123,Order!$C:$C,Order!$D:$D,"",0,1))</f>
        <v>MP362</v>
      </c>
      <c r="E123" s="4" t="e" vm="322">
        <f>IF($C123="","",_xlfn.XLOOKUP($C123,Order!$C:$C,Order!$E:$E,"",0,1))</f>
        <v>#VALUE!</v>
      </c>
      <c r="F123" s="4">
        <f>IF($C123="","",_xlfn.XLOOKUP($C123,Order!$C:$C,Order!$F:$F,"",0,1))</f>
        <v>6000</v>
      </c>
      <c r="G123" s="4" t="str">
        <f>IF($C123="","",_xlfn.XLOOKUP($C123,Order!$C:$C,Order!$G:$G,"",0,1))</f>
        <v>6063T5</v>
      </c>
      <c r="H123" s="4">
        <f>IF($C123="","",_xlfn.XLOOKUP($C123,Order!$C:$C,Order!$H:$H,"",0,1))</f>
        <v>0.98199999999999998</v>
      </c>
      <c r="I123" s="36">
        <f>IF($C123="","",_xlfn.XLOOKUP($C123,Order!$C:$C,Order!$I:$I,"",0,1))</f>
        <v>0</v>
      </c>
      <c r="J123" s="4" t="str">
        <f>IF(C123="","",Order!$I$16)</f>
        <v>MILL FINISH</v>
      </c>
      <c r="K123" s="36">
        <f>IF($C123="","",_xlfn.XLOOKUP($C123,Order!$C:$C,Order!$P:$P,"",0,1))</f>
        <v>0</v>
      </c>
      <c r="L123" s="4">
        <f t="shared" si="1"/>
        <v>0</v>
      </c>
    </row>
    <row r="124" spans="2:12" ht="23.25" hidden="1" customHeight="1" x14ac:dyDescent="0.25">
      <c r="B124" s="4">
        <v>119</v>
      </c>
      <c r="C124" s="36" t="str">
        <f>IF(Order!$C$135="","",Order!$C$135)</f>
        <v>MP363</v>
      </c>
      <c r="D124" s="36" t="str">
        <f>IF($C124="","",_xlfn.XLOOKUP($C124,Order!$C:$C,Order!$D:$D,"",0,1))</f>
        <v>MP363</v>
      </c>
      <c r="E124" s="4" t="e" vm="323">
        <f>IF($C124="","",_xlfn.XLOOKUP($C124,Order!$C:$C,Order!$E:$E,"",0,1))</f>
        <v>#VALUE!</v>
      </c>
      <c r="F124" s="4">
        <f>IF($C124="","",_xlfn.XLOOKUP($C124,Order!$C:$C,Order!$F:$F,"",0,1))</f>
        <v>6000</v>
      </c>
      <c r="G124" s="4" t="str">
        <f>IF($C124="","",_xlfn.XLOOKUP($C124,Order!$C:$C,Order!$G:$G,"",0,1))</f>
        <v>6063T5</v>
      </c>
      <c r="H124" s="4">
        <f>IF($C124="","",_xlfn.XLOOKUP($C124,Order!$C:$C,Order!$H:$H,"",0,1))</f>
        <v>0.49</v>
      </c>
      <c r="I124" s="36">
        <f>IF($C124="","",_xlfn.XLOOKUP($C124,Order!$C:$C,Order!$I:$I,"",0,1))</f>
        <v>0</v>
      </c>
      <c r="J124" s="4" t="str">
        <f>IF(C124="","",Order!$I$16)</f>
        <v>MILL FINISH</v>
      </c>
      <c r="K124" s="36">
        <f>IF($C124="","",_xlfn.XLOOKUP($C124,Order!$C:$C,Order!$P:$P,"",0,1))</f>
        <v>0</v>
      </c>
      <c r="L124" s="4">
        <f t="shared" si="1"/>
        <v>0</v>
      </c>
    </row>
    <row r="125" spans="2:12" ht="23.25" hidden="1" customHeight="1" x14ac:dyDescent="0.25">
      <c r="B125" s="4">
        <v>120</v>
      </c>
      <c r="C125" s="36" t="str">
        <f>IF(Order!$C$136="","",Order!$C$136)</f>
        <v>MP370</v>
      </c>
      <c r="D125" s="36" t="str">
        <f>IF($C125="","",_xlfn.XLOOKUP($C125,Order!$C:$C,Order!$D:$D,"",0,1))</f>
        <v>MP370</v>
      </c>
      <c r="E125" s="4" t="e" vm="324">
        <f>IF($C125="","",_xlfn.XLOOKUP($C125,Order!$C:$C,Order!$E:$E,"",0,1))</f>
        <v>#VALUE!</v>
      </c>
      <c r="F125" s="4">
        <f>IF($C125="","",_xlfn.XLOOKUP($C125,Order!$C:$C,Order!$F:$F,"",0,1))</f>
        <v>6000</v>
      </c>
      <c r="G125" s="4" t="str">
        <f>IF($C125="","",_xlfn.XLOOKUP($C125,Order!$C:$C,Order!$G:$G,"",0,1))</f>
        <v>6063T5</v>
      </c>
      <c r="H125" s="4">
        <f>IF($C125="","",_xlfn.XLOOKUP($C125,Order!$C:$C,Order!$H:$H,"",0,1))</f>
        <v>0.58099999999999996</v>
      </c>
      <c r="I125" s="36">
        <f>IF($C125="","",_xlfn.XLOOKUP($C125,Order!$C:$C,Order!$I:$I,"",0,1))</f>
        <v>0</v>
      </c>
      <c r="J125" s="4" t="str">
        <f>IF(C125="","",Order!$I$16)</f>
        <v>MILL FINISH</v>
      </c>
      <c r="K125" s="36">
        <f>IF($C125="","",_xlfn.XLOOKUP($C125,Order!$C:$C,Order!$P:$P,"",0,1))</f>
        <v>0</v>
      </c>
      <c r="L125" s="4">
        <f t="shared" si="1"/>
        <v>0</v>
      </c>
    </row>
    <row r="126" spans="2:12" ht="23.25" hidden="1" customHeight="1" x14ac:dyDescent="0.25">
      <c r="B126" s="4">
        <v>121</v>
      </c>
      <c r="C126" s="36" t="str">
        <f>IF(Order!$C$137="","",Order!$C$137)</f>
        <v>BG001</v>
      </c>
      <c r="D126" s="36" t="str">
        <f>IF($C126="","",_xlfn.XLOOKUP($C126,Order!$C:$C,Order!$D:$D,"",0,1))</f>
        <v>BG001</v>
      </c>
      <c r="E126" s="4" t="e" vm="325">
        <f>IF($C126="","",_xlfn.XLOOKUP($C126,Order!$C:$C,Order!$E:$E,"",0,1))</f>
        <v>#VALUE!</v>
      </c>
      <c r="F126" s="4">
        <f>IF($C126="","",_xlfn.XLOOKUP($C126,Order!$C:$C,Order!$F:$F,"",0,1))</f>
        <v>6000</v>
      </c>
      <c r="G126" s="4" t="str">
        <f>IF($C126="","",_xlfn.XLOOKUP($C126,Order!$C:$C,Order!$G:$G,"",0,1))</f>
        <v>6063T5</v>
      </c>
      <c r="H126" s="4">
        <f>IF($C126="","",_xlfn.XLOOKUP($C126,Order!$C:$C,Order!$H:$H,"",0,1))</f>
        <v>0.10299999999999999</v>
      </c>
      <c r="I126" s="36">
        <f>IF($C126="","",_xlfn.XLOOKUP($C126,Order!$C:$C,Order!$I:$I,"",0,1))</f>
        <v>0</v>
      </c>
      <c r="J126" s="4" t="str">
        <f>IF(C126="","",Order!$I$16)</f>
        <v>MILL FINISH</v>
      </c>
      <c r="K126" s="36">
        <f>IF($C126="","",_xlfn.XLOOKUP($C126,Order!$C:$C,Order!$P:$P,"",0,1))</f>
        <v>0</v>
      </c>
      <c r="L126" s="4">
        <f t="shared" si="1"/>
        <v>0</v>
      </c>
    </row>
    <row r="127" spans="2:12" ht="23.25" hidden="1" customHeight="1" x14ac:dyDescent="0.25">
      <c r="B127" s="4">
        <v>122</v>
      </c>
      <c r="C127" s="36" t="str">
        <f>IF(Order!$C$138="","",Order!$C$138)</f>
        <v>BG035</v>
      </c>
      <c r="D127" s="36" t="str">
        <f>IF($C127="","",_xlfn.XLOOKUP($C127,Order!$C:$C,Order!$D:$D,"",0,1))</f>
        <v>BG035</v>
      </c>
      <c r="E127" s="4" t="e" vm="326">
        <f>IF($C127="","",_xlfn.XLOOKUP($C127,Order!$C:$C,Order!$E:$E,"",0,1))</f>
        <v>#VALUE!</v>
      </c>
      <c r="F127" s="4">
        <f>IF($C127="","",_xlfn.XLOOKUP($C127,Order!$C:$C,Order!$F:$F,"",0,1))</f>
        <v>6000</v>
      </c>
      <c r="G127" s="4" t="str">
        <f>IF($C127="","",_xlfn.XLOOKUP($C127,Order!$C:$C,Order!$G:$G,"",0,1))</f>
        <v>6063T5</v>
      </c>
      <c r="H127" s="4">
        <f>IF($C127="","",_xlfn.XLOOKUP($C127,Order!$C:$C,Order!$H:$H,"",0,1))</f>
        <v>0.108</v>
      </c>
      <c r="I127" s="36">
        <f>IF($C127="","",_xlfn.XLOOKUP($C127,Order!$C:$C,Order!$I:$I,"",0,1))</f>
        <v>0</v>
      </c>
      <c r="J127" s="4" t="str">
        <f>IF(C127="","",Order!$I$16)</f>
        <v>MILL FINISH</v>
      </c>
      <c r="K127" s="36">
        <f>IF($C127="","",_xlfn.XLOOKUP($C127,Order!$C:$C,Order!$P:$P,"",0,1))</f>
        <v>0</v>
      </c>
      <c r="L127" s="4">
        <f t="shared" si="1"/>
        <v>0</v>
      </c>
    </row>
    <row r="128" spans="2:12" ht="23.25" hidden="1" customHeight="1" x14ac:dyDescent="0.25">
      <c r="B128" s="4">
        <v>123</v>
      </c>
      <c r="C128" s="36" t="str">
        <f>IF(Order!$C$139="","",Order!$C$139)</f>
        <v>ME056</v>
      </c>
      <c r="D128" s="36" t="str">
        <f>IF($C128="","",_xlfn.XLOOKUP($C128,Order!$C:$C,Order!$D:$D,"",0,1))</f>
        <v>ME056</v>
      </c>
      <c r="E128" s="4" t="e" vm="327">
        <f>IF($C128="","",_xlfn.XLOOKUP($C128,Order!$C:$C,Order!$E:$E,"",0,1))</f>
        <v>#VALUE!</v>
      </c>
      <c r="F128" s="4">
        <f>IF($C128="","",_xlfn.XLOOKUP($C128,Order!$C:$C,Order!$F:$F,"",0,1))</f>
        <v>6000</v>
      </c>
      <c r="G128" s="4" t="str">
        <f>IF($C128="","",_xlfn.XLOOKUP($C128,Order!$C:$C,Order!$G:$G,"",0,1))</f>
        <v>6063T5</v>
      </c>
      <c r="H128" s="4">
        <f>IF($C128="","",_xlfn.XLOOKUP($C128,Order!$C:$C,Order!$H:$H,"",0,1))</f>
        <v>0.16900000000000001</v>
      </c>
      <c r="I128" s="36">
        <f>IF($C128="","",_xlfn.XLOOKUP($C128,Order!$C:$C,Order!$I:$I,"",0,1))</f>
        <v>0</v>
      </c>
      <c r="J128" s="4" t="str">
        <f>IF(C128="","",Order!$I$16)</f>
        <v>MILL FINISH</v>
      </c>
      <c r="K128" s="36">
        <f>IF($C128="","",_xlfn.XLOOKUP($C128,Order!$C:$C,Order!$P:$P,"",0,1))</f>
        <v>0</v>
      </c>
      <c r="L128" s="4">
        <f t="shared" si="1"/>
        <v>0</v>
      </c>
    </row>
    <row r="129" spans="2:12" ht="23.25" hidden="1" customHeight="1" x14ac:dyDescent="0.25">
      <c r="B129" s="4">
        <v>124</v>
      </c>
      <c r="C129" s="36">
        <f>IF(Order!$C$140="","",Order!$C$140)</f>
        <v>25001</v>
      </c>
      <c r="D129" s="36">
        <f>IF($C129="","",_xlfn.XLOOKUP($C129,Order!$C:$C,Order!$D:$D,"",0,1))</f>
        <v>25001</v>
      </c>
      <c r="E129" s="4" t="e" vm="328">
        <f>IF($C129="","",_xlfn.XLOOKUP($C129,Order!$C:$C,Order!$E:$E,"",0,1))</f>
        <v>#VALUE!</v>
      </c>
      <c r="F129" s="4">
        <f>IF($C129="","",_xlfn.XLOOKUP($C129,Order!$C:$C,Order!$F:$F,"",0,1))</f>
        <v>6000</v>
      </c>
      <c r="G129" s="4" t="str">
        <f>IF($C129="","",_xlfn.XLOOKUP($C129,Order!$C:$C,Order!$G:$G,"",0,1))</f>
        <v>6063T5</v>
      </c>
      <c r="H129" s="4">
        <f>IF($C129="","",_xlfn.XLOOKUP($C129,Order!$C:$C,Order!$H:$H,"",0,1))</f>
        <v>0.28599999999999998</v>
      </c>
      <c r="I129" s="36">
        <f>IF($C129="","",_xlfn.XLOOKUP($C129,Order!$C:$C,Order!$I:$I,"",0,1))</f>
        <v>0</v>
      </c>
      <c r="J129" s="4" t="str">
        <f>IF(C129="","",Order!$I$16)</f>
        <v>MILL FINISH</v>
      </c>
      <c r="K129" s="36">
        <f>IF($C129="","",_xlfn.XLOOKUP($C129,Order!$C:$C,Order!$P:$P,"",0,1))</f>
        <v>0</v>
      </c>
      <c r="L129" s="4">
        <f t="shared" si="1"/>
        <v>0</v>
      </c>
    </row>
    <row r="130" spans="2:12" ht="23.25" hidden="1" customHeight="1" x14ac:dyDescent="0.25">
      <c r="B130" s="4">
        <v>125</v>
      </c>
      <c r="C130" s="36" t="str">
        <f>IF(Order!$C$141="","",Order!$C$141)</f>
        <v>25002L</v>
      </c>
      <c r="D130" s="36" t="str">
        <f>IF($C130="","",_xlfn.XLOOKUP($C130,Order!$C:$C,Order!$D:$D,"",0,1))</f>
        <v>25002L</v>
      </c>
      <c r="E130" s="4" t="e" vm="329">
        <f>IF($C130="","",_xlfn.XLOOKUP($C130,Order!$C:$C,Order!$E:$E,"",0,1))</f>
        <v>#VALUE!</v>
      </c>
      <c r="F130" s="4">
        <f>IF($C130="","",_xlfn.XLOOKUP($C130,Order!$C:$C,Order!$F:$F,"",0,1))</f>
        <v>6000</v>
      </c>
      <c r="G130" s="4" t="str">
        <f>IF($C130="","",_xlfn.XLOOKUP($C130,Order!$C:$C,Order!$G:$G,"",0,1))</f>
        <v>6063T5</v>
      </c>
      <c r="H130" s="4">
        <f>IF($C130="","",_xlfn.XLOOKUP($C130,Order!$C:$C,Order!$H:$H,"",0,1))</f>
        <v>0.24399999999999999</v>
      </c>
      <c r="I130" s="36">
        <f>IF($C130="","",_xlfn.XLOOKUP($C130,Order!$C:$C,Order!$I:$I,"",0,1))</f>
        <v>0</v>
      </c>
      <c r="J130" s="4" t="str">
        <f>IF(C130="","",Order!$I$16)</f>
        <v>MILL FINISH</v>
      </c>
      <c r="K130" s="36">
        <f>IF($C130="","",_xlfn.XLOOKUP($C130,Order!$C:$C,Order!$P:$P,"",0,1))</f>
        <v>0</v>
      </c>
      <c r="L130" s="4">
        <f t="shared" si="1"/>
        <v>0</v>
      </c>
    </row>
    <row r="131" spans="2:12" ht="23.25" hidden="1" customHeight="1" x14ac:dyDescent="0.25">
      <c r="B131" s="4">
        <v>126</v>
      </c>
      <c r="C131" s="36">
        <f>IF(Order!$C$142="","",Order!$C$142)</f>
        <v>25016</v>
      </c>
      <c r="D131" s="36">
        <f>IF($C131="","",_xlfn.XLOOKUP($C131,Order!$C:$C,Order!$D:$D,"",0,1))</f>
        <v>25016</v>
      </c>
      <c r="E131" s="4" t="e" vm="330">
        <f>IF($C131="","",_xlfn.XLOOKUP($C131,Order!$C:$C,Order!$E:$E,"",0,1))</f>
        <v>#VALUE!</v>
      </c>
      <c r="F131" s="4">
        <f>IF($C131="","",_xlfn.XLOOKUP($C131,Order!$C:$C,Order!$F:$F,"",0,1))</f>
        <v>6000</v>
      </c>
      <c r="G131" s="4" t="str">
        <f>IF($C131="","",_xlfn.XLOOKUP($C131,Order!$C:$C,Order!$G:$G,"",0,1))</f>
        <v>6063T5</v>
      </c>
      <c r="H131" s="4">
        <f>IF($C131="","",_xlfn.XLOOKUP($C131,Order!$C:$C,Order!$H:$H,"",0,1))</f>
        <v>0.32300000000000001</v>
      </c>
      <c r="I131" s="36">
        <f>IF($C131="","",_xlfn.XLOOKUP($C131,Order!$C:$C,Order!$I:$I,"",0,1))</f>
        <v>0</v>
      </c>
      <c r="J131" s="4" t="str">
        <f>IF(C131="","",Order!$I$16)</f>
        <v>MILL FINISH</v>
      </c>
      <c r="K131" s="36">
        <f>IF($C131="","",_xlfn.XLOOKUP($C131,Order!$C:$C,Order!$P:$P,"",0,1))</f>
        <v>0</v>
      </c>
      <c r="L131" s="4">
        <f t="shared" si="1"/>
        <v>0</v>
      </c>
    </row>
    <row r="132" spans="2:12" ht="23.25" hidden="1" customHeight="1" x14ac:dyDescent="0.25">
      <c r="B132" s="4">
        <v>127</v>
      </c>
      <c r="C132" s="36">
        <f>IF(Order!$C$143="","",Order!$C$143)</f>
        <v>25021</v>
      </c>
      <c r="D132" s="36">
        <f>IF($C132="","",_xlfn.XLOOKUP($C132,Order!$C:$C,Order!$D:$D,"",0,1))</f>
        <v>25021</v>
      </c>
      <c r="E132" s="4" t="e" vm="331">
        <f>IF($C132="","",_xlfn.XLOOKUP($C132,Order!$C:$C,Order!$E:$E,"",0,1))</f>
        <v>#VALUE!</v>
      </c>
      <c r="F132" s="4">
        <f>IF($C132="","",_xlfn.XLOOKUP($C132,Order!$C:$C,Order!$F:$F,"",0,1))</f>
        <v>6000</v>
      </c>
      <c r="G132" s="4" t="str">
        <f>IF($C132="","",_xlfn.XLOOKUP($C132,Order!$C:$C,Order!$G:$G,"",0,1))</f>
        <v>6063T5</v>
      </c>
      <c r="H132" s="4">
        <f>IF($C132="","",_xlfn.XLOOKUP($C132,Order!$C:$C,Order!$H:$H,"",0,1))</f>
        <v>0.21299999999999999</v>
      </c>
      <c r="I132" s="36">
        <f>IF($C132="","",_xlfn.XLOOKUP($C132,Order!$C:$C,Order!$I:$I,"",0,1))</f>
        <v>0</v>
      </c>
      <c r="J132" s="4" t="str">
        <f>IF(C132="","",Order!$I$16)</f>
        <v>MILL FINISH</v>
      </c>
      <c r="K132" s="36">
        <f>IF($C132="","",_xlfn.XLOOKUP($C132,Order!$C:$C,Order!$P:$P,"",0,1))</f>
        <v>0</v>
      </c>
      <c r="L132" s="4">
        <f t="shared" si="1"/>
        <v>0</v>
      </c>
    </row>
    <row r="133" spans="2:12" ht="23.25" hidden="1" customHeight="1" x14ac:dyDescent="0.25">
      <c r="B133" s="4">
        <v>128</v>
      </c>
      <c r="C133" s="36">
        <f>IF(Order!$C$144="","",Order!$C$144)</f>
        <v>25026</v>
      </c>
      <c r="D133" s="36">
        <f>IF($C133="","",_xlfn.XLOOKUP($C133,Order!$C:$C,Order!$D:$D,"",0,1))</f>
        <v>25026</v>
      </c>
      <c r="E133" s="4" t="e" vm="332">
        <f>IF($C133="","",_xlfn.XLOOKUP($C133,Order!$C:$C,Order!$E:$E,"",0,1))</f>
        <v>#VALUE!</v>
      </c>
      <c r="F133" s="4">
        <f>IF($C133="","",_xlfn.XLOOKUP($C133,Order!$C:$C,Order!$F:$F,"",0,1))</f>
        <v>6000</v>
      </c>
      <c r="G133" s="4" t="str">
        <f>IF($C133="","",_xlfn.XLOOKUP($C133,Order!$C:$C,Order!$G:$G,"",0,1))</f>
        <v>6063T5</v>
      </c>
      <c r="H133" s="4">
        <f>IF($C133="","",_xlfn.XLOOKUP($C133,Order!$C:$C,Order!$H:$H,"",0,1))</f>
        <v>0.47599999999999998</v>
      </c>
      <c r="I133" s="36">
        <f>IF($C133="","",_xlfn.XLOOKUP($C133,Order!$C:$C,Order!$I:$I,"",0,1))</f>
        <v>0</v>
      </c>
      <c r="J133" s="4" t="str">
        <f>IF(C133="","",Order!$I$16)</f>
        <v>MILL FINISH</v>
      </c>
      <c r="K133" s="36">
        <f>IF($C133="","",_xlfn.XLOOKUP($C133,Order!$C:$C,Order!$P:$P,"",0,1))</f>
        <v>0</v>
      </c>
      <c r="L133" s="4">
        <f t="shared" si="1"/>
        <v>0</v>
      </c>
    </row>
    <row r="134" spans="2:12" ht="23.25" hidden="1" customHeight="1" x14ac:dyDescent="0.25">
      <c r="B134" s="4">
        <v>129</v>
      </c>
      <c r="C134" s="36" t="str">
        <f>IF(Order!$C$145="","",Order!$C$145)</f>
        <v>25048 (MM-376)</v>
      </c>
      <c r="D134" s="36">
        <f>IF($C134="","",_xlfn.XLOOKUP($C134,Order!$C:$C,Order!$D:$D,"",0,1))</f>
        <v>25048</v>
      </c>
      <c r="E134" s="4" t="e" vm="333">
        <f>IF($C134="","",_xlfn.XLOOKUP($C134,Order!$C:$C,Order!$E:$E,"",0,1))</f>
        <v>#VALUE!</v>
      </c>
      <c r="F134" s="4">
        <f>IF($C134="","",_xlfn.XLOOKUP($C134,Order!$C:$C,Order!$F:$F,"",0,1))</f>
        <v>6000</v>
      </c>
      <c r="G134" s="4" t="str">
        <f>IF($C134="","",_xlfn.XLOOKUP($C134,Order!$C:$C,Order!$G:$G,"",0,1))</f>
        <v>6063T5</v>
      </c>
      <c r="H134" s="4">
        <f>IF($C134="","",_xlfn.XLOOKUP($C134,Order!$C:$C,Order!$H:$H,"",0,1))</f>
        <v>0.436</v>
      </c>
      <c r="I134" s="36">
        <f>IF($C134="","",_xlfn.XLOOKUP($C134,Order!$C:$C,Order!$I:$I,"",0,1))</f>
        <v>0</v>
      </c>
      <c r="J134" s="4" t="str">
        <f>IF(C134="","",Order!$I$16)</f>
        <v>MILL FINISH</v>
      </c>
      <c r="K134" s="36">
        <f>IF($C134="","",_xlfn.XLOOKUP($C134,Order!$C:$C,Order!$P:$P,"",0,1))</f>
        <v>0</v>
      </c>
      <c r="L134" s="4">
        <f t="shared" si="1"/>
        <v>0</v>
      </c>
    </row>
    <row r="135" spans="2:12" ht="23.25" hidden="1" customHeight="1" x14ac:dyDescent="0.25">
      <c r="B135" s="4">
        <v>130</v>
      </c>
      <c r="C135" s="36" t="str">
        <f>IF(Order!$C$146="","",Order!$C$146)</f>
        <v>25052 (MM-375)</v>
      </c>
      <c r="D135" s="36">
        <f>IF($C135="","",_xlfn.XLOOKUP($C135,Order!$C:$C,Order!$D:$D,"",0,1))</f>
        <v>25052</v>
      </c>
      <c r="E135" s="4" t="e" vm="334">
        <f>IF($C135="","",_xlfn.XLOOKUP($C135,Order!$C:$C,Order!$E:$E,"",0,1))</f>
        <v>#VALUE!</v>
      </c>
      <c r="F135" s="4">
        <f>IF($C135="","",_xlfn.XLOOKUP($C135,Order!$C:$C,Order!$F:$F,"",0,1))</f>
        <v>6000</v>
      </c>
      <c r="G135" s="4" t="str">
        <f>IF($C135="","",_xlfn.XLOOKUP($C135,Order!$C:$C,Order!$G:$G,"",0,1))</f>
        <v>6063T5</v>
      </c>
      <c r="H135" s="4">
        <f>IF($C135="","",_xlfn.XLOOKUP($C135,Order!$C:$C,Order!$H:$H,"",0,1))</f>
        <v>0.33</v>
      </c>
      <c r="I135" s="36">
        <f>IF($C135="","",_xlfn.XLOOKUP($C135,Order!$C:$C,Order!$I:$I,"",0,1))</f>
        <v>0</v>
      </c>
      <c r="J135" s="4" t="str">
        <f>IF(C135="","",Order!$I$16)</f>
        <v>MILL FINISH</v>
      </c>
      <c r="K135" s="36">
        <f>IF($C135="","",_xlfn.XLOOKUP($C135,Order!$C:$C,Order!$P:$P,"",0,1))</f>
        <v>0</v>
      </c>
      <c r="L135" s="4">
        <f t="shared" ref="L135:L198" si="2">IF(C135="","",F135/1000*H135*I135)</f>
        <v>0</v>
      </c>
    </row>
    <row r="136" spans="2:12" ht="23.25" hidden="1" customHeight="1" x14ac:dyDescent="0.25">
      <c r="B136" s="4">
        <v>131</v>
      </c>
      <c r="C136" s="36">
        <f>IF(Order!$C$147="","",Order!$C$147)</f>
        <v>25301</v>
      </c>
      <c r="D136" s="36">
        <f>IF($C136="","",_xlfn.XLOOKUP($C136,Order!$C:$C,Order!$D:$D,"",0,1))</f>
        <v>25301</v>
      </c>
      <c r="E136" s="4" t="e" vm="335">
        <f>IF($C136="","",_xlfn.XLOOKUP($C136,Order!$C:$C,Order!$E:$E,"",0,1))</f>
        <v>#VALUE!</v>
      </c>
      <c r="F136" s="4">
        <f>IF($C136="","",_xlfn.XLOOKUP($C136,Order!$C:$C,Order!$F:$F,"",0,1))</f>
        <v>6000</v>
      </c>
      <c r="G136" s="4" t="str">
        <f>IF($C136="","",_xlfn.XLOOKUP($C136,Order!$C:$C,Order!$G:$G,"",0,1))</f>
        <v>6063T5</v>
      </c>
      <c r="H136" s="4">
        <f>IF($C136="","",_xlfn.XLOOKUP($C136,Order!$C:$C,Order!$H:$H,"",0,1))</f>
        <v>0.29299999999999998</v>
      </c>
      <c r="I136" s="36">
        <f>IF($C136="","",_xlfn.XLOOKUP($C136,Order!$C:$C,Order!$I:$I,"",0,1))</f>
        <v>0</v>
      </c>
      <c r="J136" s="4" t="str">
        <f>IF(C136="","",Order!$I$16)</f>
        <v>MILL FINISH</v>
      </c>
      <c r="K136" s="36">
        <f>IF($C136="","",_xlfn.XLOOKUP($C136,Order!$C:$C,Order!$P:$P,"",0,1))</f>
        <v>0</v>
      </c>
      <c r="L136" s="4">
        <f t="shared" si="2"/>
        <v>0</v>
      </c>
    </row>
    <row r="137" spans="2:12" ht="23.25" hidden="1" customHeight="1" x14ac:dyDescent="0.25">
      <c r="B137" s="4">
        <v>132</v>
      </c>
      <c r="C137" s="36">
        <f>IF(Order!$C$148="","",Order!$C$148)</f>
        <v>25311</v>
      </c>
      <c r="D137" s="36">
        <f>IF($C137="","",_xlfn.XLOOKUP($C137,Order!$C:$C,Order!$D:$D,"",0,1))</f>
        <v>25311</v>
      </c>
      <c r="E137" s="4" t="e" vm="336">
        <f>IF($C137="","",_xlfn.XLOOKUP($C137,Order!$C:$C,Order!$E:$E,"",0,1))</f>
        <v>#VALUE!</v>
      </c>
      <c r="F137" s="4">
        <f>IF($C137="","",_xlfn.XLOOKUP($C137,Order!$C:$C,Order!$F:$F,"",0,1))</f>
        <v>6000</v>
      </c>
      <c r="G137" s="4" t="str">
        <f>IF($C137="","",_xlfn.XLOOKUP($C137,Order!$C:$C,Order!$G:$G,"",0,1))</f>
        <v>6063T5</v>
      </c>
      <c r="H137" s="4">
        <f>IF($C137="","",_xlfn.XLOOKUP($C137,Order!$C:$C,Order!$H:$H,"",0,1))</f>
        <v>0.28899999999999998</v>
      </c>
      <c r="I137" s="36">
        <f>IF($C137="","",_xlfn.XLOOKUP($C137,Order!$C:$C,Order!$I:$I,"",0,1))</f>
        <v>0</v>
      </c>
      <c r="J137" s="4" t="str">
        <f>IF(C137="","",Order!$I$16)</f>
        <v>MILL FINISH</v>
      </c>
      <c r="K137" s="36">
        <f>IF($C137="","",_xlfn.XLOOKUP($C137,Order!$C:$C,Order!$P:$P,"",0,1))</f>
        <v>0</v>
      </c>
      <c r="L137" s="4">
        <f t="shared" si="2"/>
        <v>0</v>
      </c>
    </row>
    <row r="138" spans="2:12" ht="23.25" hidden="1" customHeight="1" x14ac:dyDescent="0.25">
      <c r="B138" s="4">
        <v>133</v>
      </c>
      <c r="C138" s="36" t="str">
        <f>IF(Order!$C$149="","",Order!$C$149)</f>
        <v>25312(25046)</v>
      </c>
      <c r="D138" s="36">
        <f>IF($C138="","",_xlfn.XLOOKUP($C138,Order!$C:$C,Order!$D:$D,"",0,1))</f>
        <v>25312</v>
      </c>
      <c r="E138" s="4" t="e" vm="337">
        <f>IF($C138="","",_xlfn.XLOOKUP($C138,Order!$C:$C,Order!$E:$E,"",0,1))</f>
        <v>#VALUE!</v>
      </c>
      <c r="F138" s="4">
        <f>IF($C138="","",_xlfn.XLOOKUP($C138,Order!$C:$C,Order!$F:$F,"",0,1))</f>
        <v>6000</v>
      </c>
      <c r="G138" s="4" t="str">
        <f>IF($C138="","",_xlfn.XLOOKUP($C138,Order!$C:$C,Order!$G:$G,"",0,1))</f>
        <v>6063T5</v>
      </c>
      <c r="H138" s="4">
        <f>IF($C138="","",_xlfn.XLOOKUP($C138,Order!$C:$C,Order!$H:$H,"",0,1))</f>
        <v>0.316</v>
      </c>
      <c r="I138" s="36">
        <f>IF($C138="","",_xlfn.XLOOKUP($C138,Order!$C:$C,Order!$I:$I,"",0,1))</f>
        <v>0</v>
      </c>
      <c r="J138" s="4" t="str">
        <f>IF(C138="","",Order!$I$16)</f>
        <v>MILL FINISH</v>
      </c>
      <c r="K138" s="36">
        <f>IF($C138="","",_xlfn.XLOOKUP($C138,Order!$C:$C,Order!$P:$P,"",0,1))</f>
        <v>0</v>
      </c>
      <c r="L138" s="4">
        <f t="shared" si="2"/>
        <v>0</v>
      </c>
    </row>
    <row r="139" spans="2:12" ht="23.25" hidden="1" customHeight="1" x14ac:dyDescent="0.25">
      <c r="B139" s="4">
        <v>134</v>
      </c>
      <c r="C139" s="36" t="str">
        <f>IF(Order!$C$150="","",Order!$C$150)</f>
        <v>25504L</v>
      </c>
      <c r="D139" s="36" t="str">
        <f>IF($C139="","",_xlfn.XLOOKUP($C139,Order!$C:$C,Order!$D:$D,"",0,1))</f>
        <v>25504L</v>
      </c>
      <c r="E139" s="4" t="e" vm="338">
        <f>IF($C139="","",_xlfn.XLOOKUP($C139,Order!$C:$C,Order!$E:$E,"",0,1))</f>
        <v>#VALUE!</v>
      </c>
      <c r="F139" s="4">
        <f>IF($C139="","",_xlfn.XLOOKUP($C139,Order!$C:$C,Order!$F:$F,"",0,1))</f>
        <v>6000</v>
      </c>
      <c r="G139" s="4" t="str">
        <f>IF($C139="","",_xlfn.XLOOKUP($C139,Order!$C:$C,Order!$G:$G,"",0,1))</f>
        <v>6063T5</v>
      </c>
      <c r="H139" s="4">
        <f>IF($C139="","",_xlfn.XLOOKUP($C139,Order!$C:$C,Order!$H:$H,"",0,1))</f>
        <v>0.39200000000000002</v>
      </c>
      <c r="I139" s="36">
        <f>IF($C139="","",_xlfn.XLOOKUP($C139,Order!$C:$C,Order!$I:$I,"",0,1))</f>
        <v>0</v>
      </c>
      <c r="J139" s="4" t="str">
        <f>IF(C139="","",Order!$I$16)</f>
        <v>MILL FINISH</v>
      </c>
      <c r="K139" s="36">
        <f>IF($C139="","",_xlfn.XLOOKUP($C139,Order!$C:$C,Order!$P:$P,"",0,1))</f>
        <v>0</v>
      </c>
      <c r="L139" s="4">
        <f t="shared" si="2"/>
        <v>0</v>
      </c>
    </row>
    <row r="140" spans="2:12" ht="23.25" hidden="1" customHeight="1" x14ac:dyDescent="0.25">
      <c r="B140" s="4">
        <v>135</v>
      </c>
      <c r="C140" s="36">
        <f>IF(Order!$C$151="","",Order!$C$151)</f>
        <v>25508</v>
      </c>
      <c r="D140" s="36">
        <f>IF($C140="","",_xlfn.XLOOKUP($C140,Order!$C:$C,Order!$D:$D,"",0,1))</f>
        <v>25508</v>
      </c>
      <c r="E140" s="4" t="e" vm="339">
        <f>IF($C140="","",_xlfn.XLOOKUP($C140,Order!$C:$C,Order!$E:$E,"",0,1))</f>
        <v>#VALUE!</v>
      </c>
      <c r="F140" s="4">
        <f>IF($C140="","",_xlfn.XLOOKUP($C140,Order!$C:$C,Order!$F:$F,"",0,1))</f>
        <v>6000</v>
      </c>
      <c r="G140" s="4" t="str">
        <f>IF($C140="","",_xlfn.XLOOKUP($C140,Order!$C:$C,Order!$G:$G,"",0,1))</f>
        <v>6063T5</v>
      </c>
      <c r="H140" s="4">
        <f>IF($C140="","",_xlfn.XLOOKUP($C140,Order!$C:$C,Order!$H:$H,"",0,1))</f>
        <v>0.53300000000000003</v>
      </c>
      <c r="I140" s="36">
        <f>IF($C140="","",_xlfn.XLOOKUP($C140,Order!$C:$C,Order!$I:$I,"",0,1))</f>
        <v>0</v>
      </c>
      <c r="J140" s="4" t="str">
        <f>IF(C140="","",Order!$I$16)</f>
        <v>MILL FINISH</v>
      </c>
      <c r="K140" s="36">
        <f>IF($C140="","",_xlfn.XLOOKUP($C140,Order!$C:$C,Order!$P:$P,"",0,1))</f>
        <v>0</v>
      </c>
      <c r="L140" s="4">
        <f t="shared" si="2"/>
        <v>0</v>
      </c>
    </row>
    <row r="141" spans="2:12" ht="23.25" hidden="1" customHeight="1" x14ac:dyDescent="0.25">
      <c r="B141" s="4">
        <v>136</v>
      </c>
      <c r="C141" s="36">
        <f>IF(Order!$C$152="","",Order!$C$152)</f>
        <v>25515</v>
      </c>
      <c r="D141" s="36">
        <f>IF($C141="","",_xlfn.XLOOKUP($C141,Order!$C:$C,Order!$D:$D,"",0,1))</f>
        <v>25515</v>
      </c>
      <c r="E141" s="4" t="e" vm="340">
        <f>IF($C141="","",_xlfn.XLOOKUP($C141,Order!$C:$C,Order!$E:$E,"",0,1))</f>
        <v>#VALUE!</v>
      </c>
      <c r="F141" s="4">
        <f>IF($C141="","",_xlfn.XLOOKUP($C141,Order!$C:$C,Order!$F:$F,"",0,1))</f>
        <v>6000</v>
      </c>
      <c r="G141" s="4" t="str">
        <f>IF($C141="","",_xlfn.XLOOKUP($C141,Order!$C:$C,Order!$G:$G,"",0,1))</f>
        <v>6063T5</v>
      </c>
      <c r="H141" s="4">
        <f>IF($C141="","",_xlfn.XLOOKUP($C141,Order!$C:$C,Order!$H:$H,"",0,1))</f>
        <v>0.48399999999999999</v>
      </c>
      <c r="I141" s="36">
        <f>IF($C141="","",_xlfn.XLOOKUP($C141,Order!$C:$C,Order!$I:$I,"",0,1))</f>
        <v>0</v>
      </c>
      <c r="J141" s="4" t="str">
        <f>IF(C141="","",Order!$I$16)</f>
        <v>MILL FINISH</v>
      </c>
      <c r="K141" s="36">
        <f>IF($C141="","",_xlfn.XLOOKUP($C141,Order!$C:$C,Order!$P:$P,"",0,1))</f>
        <v>0</v>
      </c>
      <c r="L141" s="4">
        <f t="shared" si="2"/>
        <v>0</v>
      </c>
    </row>
    <row r="142" spans="2:12" ht="23.25" hidden="1" customHeight="1" x14ac:dyDescent="0.25">
      <c r="B142" s="4">
        <v>137</v>
      </c>
      <c r="C142" s="36">
        <f>IF(Order!$C$153="","",Order!$C$153)</f>
        <v>25516</v>
      </c>
      <c r="D142" s="36">
        <f>IF($C142="","",_xlfn.XLOOKUP($C142,Order!$C:$C,Order!$D:$D,"",0,1))</f>
        <v>25516</v>
      </c>
      <c r="E142" s="4" t="e" vm="341">
        <f>IF($C142="","",_xlfn.XLOOKUP($C142,Order!$C:$C,Order!$E:$E,"",0,1))</f>
        <v>#VALUE!</v>
      </c>
      <c r="F142" s="4">
        <f>IF($C142="","",_xlfn.XLOOKUP($C142,Order!$C:$C,Order!$F:$F,"",0,1))</f>
        <v>6000</v>
      </c>
      <c r="G142" s="4" t="str">
        <f>IF($C142="","",_xlfn.XLOOKUP($C142,Order!$C:$C,Order!$G:$G,"",0,1))</f>
        <v>6063T5</v>
      </c>
      <c r="H142" s="4">
        <f>IF($C142="","",_xlfn.XLOOKUP($C142,Order!$C:$C,Order!$H:$H,"",0,1))</f>
        <v>0.56000000000000005</v>
      </c>
      <c r="I142" s="36">
        <f>IF($C142="","",_xlfn.XLOOKUP($C142,Order!$C:$C,Order!$I:$I,"",0,1))</f>
        <v>0</v>
      </c>
      <c r="J142" s="4" t="str">
        <f>IF(C142="","",Order!$I$16)</f>
        <v>MILL FINISH</v>
      </c>
      <c r="K142" s="36">
        <f>IF($C142="","",_xlfn.XLOOKUP($C142,Order!$C:$C,Order!$P:$P,"",0,1))</f>
        <v>0</v>
      </c>
      <c r="L142" s="4">
        <f t="shared" si="2"/>
        <v>0</v>
      </c>
    </row>
    <row r="143" spans="2:12" ht="23.25" hidden="1" customHeight="1" x14ac:dyDescent="0.25">
      <c r="B143" s="4">
        <v>138</v>
      </c>
      <c r="C143" s="36">
        <f>IF(Order!$C$154="","",Order!$C$154)</f>
        <v>25540</v>
      </c>
      <c r="D143" s="36">
        <f>IF($C143="","",_xlfn.XLOOKUP($C143,Order!$C:$C,Order!$D:$D,"",0,1))</f>
        <v>25540</v>
      </c>
      <c r="E143" s="4" t="e" vm="342">
        <f>IF($C143="","",_xlfn.XLOOKUP($C143,Order!$C:$C,Order!$E:$E,"",0,1))</f>
        <v>#VALUE!</v>
      </c>
      <c r="F143" s="4">
        <f>IF($C143="","",_xlfn.XLOOKUP($C143,Order!$C:$C,Order!$F:$F,"",0,1))</f>
        <v>6000</v>
      </c>
      <c r="G143" s="4" t="str">
        <f>IF($C143="","",_xlfn.XLOOKUP($C143,Order!$C:$C,Order!$G:$G,"",0,1))</f>
        <v>6063T5</v>
      </c>
      <c r="H143" s="4">
        <f>IF($C143="","",_xlfn.XLOOKUP($C143,Order!$C:$C,Order!$H:$H,"",0,1))</f>
        <v>0.45</v>
      </c>
      <c r="I143" s="36">
        <f>IF($C143="","",_xlfn.XLOOKUP($C143,Order!$C:$C,Order!$I:$I,"",0,1))</f>
        <v>0</v>
      </c>
      <c r="J143" s="4" t="str">
        <f>IF(C143="","",Order!$I$16)</f>
        <v>MILL FINISH</v>
      </c>
      <c r="K143" s="36">
        <f>IF($C143="","",_xlfn.XLOOKUP($C143,Order!$C:$C,Order!$P:$P,"",0,1))</f>
        <v>0</v>
      </c>
      <c r="L143" s="4">
        <f t="shared" si="2"/>
        <v>0</v>
      </c>
    </row>
    <row r="144" spans="2:12" ht="23.25" hidden="1" customHeight="1" x14ac:dyDescent="0.25">
      <c r="B144" s="4">
        <v>139</v>
      </c>
      <c r="C144" s="36">
        <f>IF(Order!$C$155="","",Order!$C$155)</f>
        <v>25542</v>
      </c>
      <c r="D144" s="36">
        <f>IF($C144="","",_xlfn.XLOOKUP($C144,Order!$C:$C,Order!$D:$D,"",0,1))</f>
        <v>25542</v>
      </c>
      <c r="E144" s="4" t="e" vm="343">
        <f>IF($C144="","",_xlfn.XLOOKUP($C144,Order!$C:$C,Order!$E:$E,"",0,1))</f>
        <v>#VALUE!</v>
      </c>
      <c r="F144" s="4">
        <f>IF($C144="","",_xlfn.XLOOKUP($C144,Order!$C:$C,Order!$F:$F,"",0,1))</f>
        <v>6000</v>
      </c>
      <c r="G144" s="4" t="str">
        <f>IF($C144="","",_xlfn.XLOOKUP($C144,Order!$C:$C,Order!$G:$G,"",0,1))</f>
        <v>6063T5</v>
      </c>
      <c r="H144" s="4">
        <f>IF($C144="","",_xlfn.XLOOKUP($C144,Order!$C:$C,Order!$H:$H,"",0,1))</f>
        <v>0.54200000000000004</v>
      </c>
      <c r="I144" s="36">
        <f>IF($C144="","",_xlfn.XLOOKUP($C144,Order!$C:$C,Order!$I:$I,"",0,1))</f>
        <v>0</v>
      </c>
      <c r="J144" s="4" t="str">
        <f>IF(C144="","",Order!$I$16)</f>
        <v>MILL FINISH</v>
      </c>
      <c r="K144" s="36">
        <f>IF($C144="","",_xlfn.XLOOKUP($C144,Order!$C:$C,Order!$P:$P,"",0,1))</f>
        <v>0</v>
      </c>
      <c r="L144" s="4">
        <f t="shared" si="2"/>
        <v>0</v>
      </c>
    </row>
    <row r="145" spans="2:12" ht="23.25" hidden="1" customHeight="1" x14ac:dyDescent="0.25">
      <c r="B145" s="4">
        <v>140</v>
      </c>
      <c r="C145" s="36" t="str">
        <f>IF(Order!$C$156="","",Order!$C$156)</f>
        <v>VZ024L</v>
      </c>
      <c r="D145" s="36" t="str">
        <f>IF($C145="","",_xlfn.XLOOKUP($C145,Order!$C:$C,Order!$D:$D,"",0,1))</f>
        <v>VZ024L</v>
      </c>
      <c r="E145" s="4" t="e" vm="344">
        <f>IF($C145="","",_xlfn.XLOOKUP($C145,Order!$C:$C,Order!$E:$E,"",0,1))</f>
        <v>#VALUE!</v>
      </c>
      <c r="F145" s="4">
        <f>IF($C145="","",_xlfn.XLOOKUP($C145,Order!$C:$C,Order!$F:$F,"",0,1))</f>
        <v>6000</v>
      </c>
      <c r="G145" s="4" t="str">
        <f>IF($C145="","",_xlfn.XLOOKUP($C145,Order!$C:$C,Order!$G:$G,"",0,1))</f>
        <v>6063T5</v>
      </c>
      <c r="H145" s="4">
        <f>IF($C145="","",_xlfn.XLOOKUP($C145,Order!$C:$C,Order!$H:$H,"",0,1))</f>
        <v>0.19800000000000001</v>
      </c>
      <c r="I145" s="36">
        <f>IF($C145="","",_xlfn.XLOOKUP($C145,Order!$C:$C,Order!$I:$I,"",0,1))</f>
        <v>0</v>
      </c>
      <c r="J145" s="4" t="str">
        <f>IF(C145="","",Order!$I$16)</f>
        <v>MILL FINISH</v>
      </c>
      <c r="K145" s="36">
        <f>IF($C145="","",_xlfn.XLOOKUP($C145,Order!$C:$C,Order!$P:$P,"",0,1))</f>
        <v>0</v>
      </c>
      <c r="L145" s="4">
        <f t="shared" si="2"/>
        <v>0</v>
      </c>
    </row>
    <row r="146" spans="2:12" ht="23.25" hidden="1" customHeight="1" x14ac:dyDescent="0.25">
      <c r="B146" s="4">
        <v>141</v>
      </c>
      <c r="C146" s="36" t="str">
        <f>IF(Order!$C$157="","",Order!$C$157)</f>
        <v/>
      </c>
      <c r="D146" s="36" t="str">
        <f>IF($C146="","",_xlfn.XLOOKUP($C146,Order!$C:$C,Order!$D:$D,"",0,1))</f>
        <v/>
      </c>
      <c r="E146" s="4" t="str">
        <f>IF($C146="","",_xlfn.XLOOKUP($C146,Order!$C:$C,Order!$E:$E,"",0,1))</f>
        <v/>
      </c>
      <c r="F146" s="4" t="str">
        <f>IF($C146="","",_xlfn.XLOOKUP($C146,Order!$C:$C,Order!$F:$F,"",0,1))</f>
        <v/>
      </c>
      <c r="G146" s="4" t="str">
        <f>IF($C146="","",_xlfn.XLOOKUP($C146,Order!$C:$C,Order!$G:$G,"",0,1))</f>
        <v/>
      </c>
      <c r="H146" s="4" t="str">
        <f>IF($C146="","",_xlfn.XLOOKUP($C146,Order!$C:$C,Order!$H:$H,"",0,1))</f>
        <v/>
      </c>
      <c r="I146" s="36" t="str">
        <f>IF($C146="","",_xlfn.XLOOKUP($C146,Order!$C:$C,Order!$I:$I,"",0,1))</f>
        <v/>
      </c>
      <c r="J146" s="4" t="str">
        <f>IF(C146="","",Order!$I$16)</f>
        <v/>
      </c>
      <c r="K146" s="36" t="str">
        <f>IF($C146="","",_xlfn.XLOOKUP($C146,Order!$C:$C,Order!$P:$P,"",0,1))</f>
        <v/>
      </c>
      <c r="L146" s="4" t="str">
        <f t="shared" si="2"/>
        <v/>
      </c>
    </row>
    <row r="147" spans="2:12" ht="23.25" hidden="1" customHeight="1" x14ac:dyDescent="0.25">
      <c r="B147" s="4">
        <v>142</v>
      </c>
      <c r="C147" s="36" t="str">
        <f>IF(Order!$C$158="","",Order!$C$158)</f>
        <v>VZ060L</v>
      </c>
      <c r="D147" s="36" t="str">
        <f>IF($C147="","",_xlfn.XLOOKUP($C147,Order!$C:$C,Order!$D:$D,"",0,1))</f>
        <v>VZ060L</v>
      </c>
      <c r="E147" s="4" t="e" vm="345">
        <f>IF($C147="","",_xlfn.XLOOKUP($C147,Order!$C:$C,Order!$E:$E,"",0,1))</f>
        <v>#VALUE!</v>
      </c>
      <c r="F147" s="4">
        <f>IF($C147="","",_xlfn.XLOOKUP($C147,Order!$C:$C,Order!$F:$F,"",0,1))</f>
        <v>6000</v>
      </c>
      <c r="G147" s="4" t="str">
        <f>IF($C147="","",_xlfn.XLOOKUP($C147,Order!$C:$C,Order!$G:$G,"",0,1))</f>
        <v>6063T5</v>
      </c>
      <c r="H147" s="4">
        <f>IF($C147="","",_xlfn.XLOOKUP($C147,Order!$C:$C,Order!$H:$H,"",0,1))</f>
        <v>0.28799999999999998</v>
      </c>
      <c r="I147" s="36">
        <f>IF($C147="","",_xlfn.XLOOKUP($C147,Order!$C:$C,Order!$I:$I,"",0,1))</f>
        <v>0</v>
      </c>
      <c r="J147" s="4" t="str">
        <f>IF(C147="","",Order!$I$16)</f>
        <v>MILL FINISH</v>
      </c>
      <c r="K147" s="36">
        <f>IF($C147="","",_xlfn.XLOOKUP($C147,Order!$C:$C,Order!$P:$P,"",0,1))</f>
        <v>0</v>
      </c>
      <c r="L147" s="4">
        <f t="shared" si="2"/>
        <v>0</v>
      </c>
    </row>
    <row r="148" spans="2:12" ht="23.25" hidden="1" customHeight="1" x14ac:dyDescent="0.25">
      <c r="B148" s="4">
        <v>143</v>
      </c>
      <c r="C148" s="36" t="str">
        <f>IF(Order!$C$159="","",Order!$C$159)</f>
        <v>VZ201</v>
      </c>
      <c r="D148" s="36" t="str">
        <f>IF($C148="","",_xlfn.XLOOKUP($C148,Order!$C:$C,Order!$D:$D,"",0,1))</f>
        <v>VZ201</v>
      </c>
      <c r="E148" s="4" t="e" vm="346">
        <f>IF($C148="","",_xlfn.XLOOKUP($C148,Order!$C:$C,Order!$E:$E,"",0,1))</f>
        <v>#VALUE!</v>
      </c>
      <c r="F148" s="4">
        <f>IF($C148="","",_xlfn.XLOOKUP($C148,Order!$C:$C,Order!$F:$F,"",0,1))</f>
        <v>6000</v>
      </c>
      <c r="G148" s="4" t="str">
        <f>IF($C148="","",_xlfn.XLOOKUP($C148,Order!$C:$C,Order!$G:$G,"",0,1))</f>
        <v>6063T5</v>
      </c>
      <c r="H148" s="4">
        <f>IF($C148="","",_xlfn.XLOOKUP($C148,Order!$C:$C,Order!$H:$H,"",0,1))</f>
        <v>0.21</v>
      </c>
      <c r="I148" s="36">
        <f>IF($C148="","",_xlfn.XLOOKUP($C148,Order!$C:$C,Order!$I:$I,"",0,1))</f>
        <v>0</v>
      </c>
      <c r="J148" s="4" t="str">
        <f>IF(C148="","",Order!$I$16)</f>
        <v>MILL FINISH</v>
      </c>
      <c r="K148" s="36">
        <f>IF($C148="","",_xlfn.XLOOKUP($C148,Order!$C:$C,Order!$P:$P,"",0,1))</f>
        <v>0</v>
      </c>
      <c r="L148" s="4">
        <f t="shared" si="2"/>
        <v>0</v>
      </c>
    </row>
    <row r="149" spans="2:12" ht="23.25" hidden="1" customHeight="1" x14ac:dyDescent="0.25">
      <c r="B149" s="4">
        <v>144</v>
      </c>
      <c r="C149" s="36" t="str">
        <f>IF(Order!$C$160="","",Order!$C$160)</f>
        <v/>
      </c>
      <c r="D149" s="36" t="str">
        <f>IF($C149="","",_xlfn.XLOOKUP($C149,Order!$C:$C,Order!$D:$D,"",0,1))</f>
        <v/>
      </c>
      <c r="E149" s="4" t="str">
        <f>IF($C149="","",_xlfn.XLOOKUP($C149,Order!$C:$C,Order!$E:$E,"",0,1))</f>
        <v/>
      </c>
      <c r="F149" s="4" t="str">
        <f>IF($C149="","",_xlfn.XLOOKUP($C149,Order!$C:$C,Order!$F:$F,"",0,1))</f>
        <v/>
      </c>
      <c r="G149" s="4" t="str">
        <f>IF($C149="","",_xlfn.XLOOKUP($C149,Order!$C:$C,Order!$G:$G,"",0,1))</f>
        <v/>
      </c>
      <c r="H149" s="4" t="str">
        <f>IF($C149="","",_xlfn.XLOOKUP($C149,Order!$C:$C,Order!$H:$H,"",0,1))</f>
        <v/>
      </c>
      <c r="I149" s="36" t="str">
        <f>IF($C149="","",_xlfn.XLOOKUP($C149,Order!$C:$C,Order!$I:$I,"",0,1))</f>
        <v/>
      </c>
      <c r="J149" s="4" t="str">
        <f>IF(C149="","",Order!$I$16)</f>
        <v/>
      </c>
      <c r="K149" s="36" t="str">
        <f>IF($C149="","",_xlfn.XLOOKUP($C149,Order!$C:$C,Order!$P:$P,"",0,1))</f>
        <v/>
      </c>
      <c r="L149" s="4" t="str">
        <f t="shared" si="2"/>
        <v/>
      </c>
    </row>
    <row r="150" spans="2:12" ht="23.25" hidden="1" customHeight="1" x14ac:dyDescent="0.25">
      <c r="B150" s="4">
        <v>145</v>
      </c>
      <c r="C150" s="36" t="str">
        <f>IF(Order!$C$161="","",Order!$C$161)</f>
        <v xml:space="preserve">BX828 </v>
      </c>
      <c r="D150" s="36" t="str">
        <f>IF($C150="","",_xlfn.XLOOKUP($C150,Order!$C:$C,Order!$D:$D,"",0,1))</f>
        <v>BX828</v>
      </c>
      <c r="E150" s="4" t="e" vm="347">
        <f>IF($C150="","",_xlfn.XLOOKUP($C150,Order!$C:$C,Order!$E:$E,"",0,1))</f>
        <v>#VALUE!</v>
      </c>
      <c r="F150" s="4">
        <f>IF($C150="","",_xlfn.XLOOKUP($C150,Order!$C:$C,Order!$F:$F,"",0,1))</f>
        <v>6000</v>
      </c>
      <c r="G150" s="4" t="str">
        <f>IF($C150="","",_xlfn.XLOOKUP($C150,Order!$C:$C,Order!$G:$G,"",0,1))</f>
        <v>6063T5</v>
      </c>
      <c r="H150" s="4">
        <f>IF($C150="","",_xlfn.XLOOKUP($C150,Order!$C:$C,Order!$H:$H,"",0,1))</f>
        <v>0</v>
      </c>
      <c r="I150" s="36">
        <f>IF($C150="","",_xlfn.XLOOKUP($C150,Order!$C:$C,Order!$I:$I,"",0,1))</f>
        <v>0</v>
      </c>
      <c r="J150" s="4" t="str">
        <f>IF(C150="","",Order!$I$16)</f>
        <v>MILL FINISH</v>
      </c>
      <c r="K150" s="36">
        <f>IF($C150="","",_xlfn.XLOOKUP($C150,Order!$C:$C,Order!$P:$P,"",0,1))</f>
        <v>0</v>
      </c>
      <c r="L150" s="4">
        <f t="shared" si="2"/>
        <v>0</v>
      </c>
    </row>
    <row r="151" spans="2:12" ht="23.25" hidden="1" customHeight="1" x14ac:dyDescent="0.25">
      <c r="B151" s="4">
        <v>146</v>
      </c>
      <c r="C151" s="36">
        <f>IF(Order!$C$162="","",Order!$C$162)</f>
        <v>30044</v>
      </c>
      <c r="D151" s="36">
        <f>IF($C151="","",_xlfn.XLOOKUP($C151,Order!$C:$C,Order!$D:$D,"",0,1))</f>
        <v>30044</v>
      </c>
      <c r="E151" s="4" t="e" vm="348">
        <f>IF($C151="","",_xlfn.XLOOKUP($C151,Order!$C:$C,Order!$E:$E,"",0,1))</f>
        <v>#VALUE!</v>
      </c>
      <c r="F151" s="4">
        <f>IF($C151="","",_xlfn.XLOOKUP($C151,Order!$C:$C,Order!$F:$F,"",0,1))</f>
        <v>6000</v>
      </c>
      <c r="G151" s="4" t="str">
        <f>IF($C151="","",_xlfn.XLOOKUP($C151,Order!$C:$C,Order!$G:$G,"",0,1))</f>
        <v>6063T5</v>
      </c>
      <c r="H151" s="4">
        <f>IF($C151="","",_xlfn.XLOOKUP($C151,Order!$C:$C,Order!$H:$H,"",0,1))</f>
        <v>0.22600000000000001</v>
      </c>
      <c r="I151" s="36">
        <f>IF($C151="","",_xlfn.XLOOKUP($C151,Order!$C:$C,Order!$I:$I,"",0,1))</f>
        <v>0</v>
      </c>
      <c r="J151" s="4" t="str">
        <f>IF(C151="","",Order!$I$16)</f>
        <v>MILL FINISH</v>
      </c>
      <c r="K151" s="36">
        <f>IF($C151="","",_xlfn.XLOOKUP($C151,Order!$C:$C,Order!$P:$P,"",0,1))</f>
        <v>0</v>
      </c>
      <c r="L151" s="4">
        <f t="shared" si="2"/>
        <v>0</v>
      </c>
    </row>
    <row r="152" spans="2:12" ht="23.25" hidden="1" customHeight="1" x14ac:dyDescent="0.25">
      <c r="B152" s="4">
        <v>147</v>
      </c>
      <c r="C152" s="36" t="str">
        <f>IF(Order!$C$163="","",Order!$C$163)</f>
        <v>AF180U</v>
      </c>
      <c r="D152" s="36" t="str">
        <f>IF($C152="","",_xlfn.XLOOKUP($C152,Order!$C:$C,Order!$D:$D,"",0,1))</f>
        <v>AF180U</v>
      </c>
      <c r="E152" s="4" t="e" vm="349">
        <f>IF($C152="","",_xlfn.XLOOKUP($C152,Order!$C:$C,Order!$E:$E,"",0,1))</f>
        <v>#VALUE!</v>
      </c>
      <c r="F152" s="4">
        <f>IF($C152="","",_xlfn.XLOOKUP($C152,Order!$C:$C,Order!$F:$F,"",0,1))</f>
        <v>6000</v>
      </c>
      <c r="G152" s="4" t="str">
        <f>IF($C152="","",_xlfn.XLOOKUP($C152,Order!$C:$C,Order!$G:$G,"",0,1))</f>
        <v>6063T5</v>
      </c>
      <c r="H152" s="4">
        <f>IF($C152="","",_xlfn.XLOOKUP($C152,Order!$C:$C,Order!$H:$H,"",0,1))</f>
        <v>0.64200000000000002</v>
      </c>
      <c r="I152" s="36">
        <f>IF($C152="","",_xlfn.XLOOKUP($C152,Order!$C:$C,Order!$I:$I,"",0,1))</f>
        <v>0</v>
      </c>
      <c r="J152" s="4" t="str">
        <f>IF(C152="","",Order!$I$16)</f>
        <v>MILL FINISH</v>
      </c>
      <c r="K152" s="36">
        <f>IF($C152="","",_xlfn.XLOOKUP($C152,Order!$C:$C,Order!$P:$P,"",0,1))</f>
        <v>0</v>
      </c>
      <c r="L152" s="4">
        <f t="shared" si="2"/>
        <v>0</v>
      </c>
    </row>
    <row r="153" spans="2:12" ht="23.25" hidden="1" customHeight="1" x14ac:dyDescent="0.25">
      <c r="B153" s="4">
        <v>148</v>
      </c>
      <c r="C153" s="36" t="str">
        <f>IF(Order!$C$164="","",Order!$C$164)</f>
        <v>BX627</v>
      </c>
      <c r="D153" s="36" t="str">
        <f>IF($C153="","",_xlfn.XLOOKUP($C153,Order!$C:$C,Order!$D:$D,"",0,1))</f>
        <v>BX627</v>
      </c>
      <c r="E153" s="4" t="e" vm="350">
        <f>IF($C153="","",_xlfn.XLOOKUP($C153,Order!$C:$C,Order!$E:$E,"",0,1))</f>
        <v>#VALUE!</v>
      </c>
      <c r="F153" s="4">
        <f>IF($C153="","",_xlfn.XLOOKUP($C153,Order!$C:$C,Order!$F:$F,"",0,1))</f>
        <v>6000</v>
      </c>
      <c r="G153" s="4" t="str">
        <f>IF($C153="","",_xlfn.XLOOKUP($C153,Order!$C:$C,Order!$G:$G,"",0,1))</f>
        <v>6063T5</v>
      </c>
      <c r="H153" s="4">
        <f>IF($C153="","",_xlfn.XLOOKUP($C153,Order!$C:$C,Order!$H:$H,"",0,1))</f>
        <v>0.44800000000000001</v>
      </c>
      <c r="I153" s="36">
        <f>IF($C153="","",_xlfn.XLOOKUP($C153,Order!$C:$C,Order!$I:$I,"",0,1))</f>
        <v>0</v>
      </c>
      <c r="J153" s="4" t="str">
        <f>IF(C153="","",Order!$I$16)</f>
        <v>MILL FINISH</v>
      </c>
      <c r="K153" s="36">
        <f>IF($C153="","",_xlfn.XLOOKUP($C153,Order!$C:$C,Order!$P:$P,"",0,1))</f>
        <v>0</v>
      </c>
      <c r="L153" s="4">
        <f t="shared" si="2"/>
        <v>0</v>
      </c>
    </row>
    <row r="154" spans="2:12" ht="23.25" hidden="1" customHeight="1" x14ac:dyDescent="0.25">
      <c r="B154" s="4">
        <v>149</v>
      </c>
      <c r="C154" s="36" t="str">
        <f>IF(Order!$C$165="","",Order!$C$165)</f>
        <v>BX812</v>
      </c>
      <c r="D154" s="36" t="str">
        <f>IF($C154="","",_xlfn.XLOOKUP($C154,Order!$C:$C,Order!$D:$D,"",0,1))</f>
        <v>BX812</v>
      </c>
      <c r="E154" s="4" t="e" vm="351">
        <f>IF($C154="","",_xlfn.XLOOKUP($C154,Order!$C:$C,Order!$E:$E,"",0,1))</f>
        <v>#VALUE!</v>
      </c>
      <c r="F154" s="4">
        <f>IF($C154="","",_xlfn.XLOOKUP($C154,Order!$C:$C,Order!$F:$F,"",0,1))</f>
        <v>6000</v>
      </c>
      <c r="G154" s="4" t="str">
        <f>IF($C154="","",_xlfn.XLOOKUP($C154,Order!$C:$C,Order!$G:$G,"",0,1))</f>
        <v>6063T5</v>
      </c>
      <c r="H154" s="4">
        <f>IF($C154="","",_xlfn.XLOOKUP($C154,Order!$C:$C,Order!$H:$H,"",0,1))</f>
        <v>1.373</v>
      </c>
      <c r="I154" s="36">
        <f>IF($C154="","",_xlfn.XLOOKUP($C154,Order!$C:$C,Order!$I:$I,"",0,1))</f>
        <v>0</v>
      </c>
      <c r="J154" s="4" t="str">
        <f>IF(C154="","",Order!$I$16)</f>
        <v>MILL FINISH</v>
      </c>
      <c r="K154" s="36">
        <f>IF($C154="","",_xlfn.XLOOKUP($C154,Order!$C:$C,Order!$P:$P,"",0,1))</f>
        <v>0</v>
      </c>
      <c r="L154" s="4">
        <f t="shared" si="2"/>
        <v>0</v>
      </c>
    </row>
    <row r="155" spans="2:12" ht="23.25" hidden="1" customHeight="1" x14ac:dyDescent="0.25">
      <c r="B155" s="4">
        <v>150</v>
      </c>
      <c r="C155" s="36">
        <f>IF(Order!$C$166="","",Order!$C$166)</f>
        <v>25517</v>
      </c>
      <c r="D155" s="36">
        <f>IF($C155="","",_xlfn.XLOOKUP($C155,Order!$C:$C,Order!$D:$D,"",0,1))</f>
        <v>25517</v>
      </c>
      <c r="E155" s="4" t="e" vm="352">
        <f>IF($C155="","",_xlfn.XLOOKUP($C155,Order!$C:$C,Order!$E:$E,"",0,1))</f>
        <v>#VALUE!</v>
      </c>
      <c r="F155" s="4">
        <f>IF($C155="","",_xlfn.XLOOKUP($C155,Order!$C:$C,Order!$F:$F,"",0,1))</f>
        <v>6000</v>
      </c>
      <c r="G155" s="4" t="str">
        <f>IF($C155="","",_xlfn.XLOOKUP($C155,Order!$C:$C,Order!$G:$G,"",0,1))</f>
        <v>6063T5</v>
      </c>
      <c r="H155" s="4">
        <f>IF($C155="","",_xlfn.XLOOKUP($C155,Order!$C:$C,Order!$H:$H,"",0,1))</f>
        <v>0.39200000000000002</v>
      </c>
      <c r="I155" s="36">
        <f>IF($C155="","",_xlfn.XLOOKUP($C155,Order!$C:$C,Order!$I:$I,"",0,1))</f>
        <v>0</v>
      </c>
      <c r="J155" s="4" t="str">
        <f>IF(C155="","",Order!$I$16)</f>
        <v>MILL FINISH</v>
      </c>
      <c r="K155" s="36">
        <f>IF($C155="","",_xlfn.XLOOKUP($C155,Order!$C:$C,Order!$P:$P,"",0,1))</f>
        <v>0</v>
      </c>
      <c r="L155" s="4">
        <f t="shared" si="2"/>
        <v>0</v>
      </c>
    </row>
    <row r="156" spans="2:12" ht="23.25" hidden="1" customHeight="1" x14ac:dyDescent="0.25">
      <c r="B156" s="4">
        <v>151</v>
      </c>
      <c r="C156" s="36" t="str">
        <f>IF(Order!$C$167="","",Order!$C$167)</f>
        <v>25517A</v>
      </c>
      <c r="D156" s="36" t="str">
        <f>IF($C156="","",_xlfn.XLOOKUP($C156,Order!$C:$C,Order!$D:$D,"",0,1))</f>
        <v>25517A</v>
      </c>
      <c r="E156" s="4" t="e" vm="352">
        <f>IF($C156="","",_xlfn.XLOOKUP($C156,Order!$C:$C,Order!$E:$E,"",0,1))</f>
        <v>#VALUE!</v>
      </c>
      <c r="F156" s="4">
        <f>IF($C156="","",_xlfn.XLOOKUP($C156,Order!$C:$C,Order!$F:$F,"",0,1))</f>
        <v>6000</v>
      </c>
      <c r="G156" s="4" t="str">
        <f>IF($C156="","",_xlfn.XLOOKUP($C156,Order!$C:$C,Order!$G:$G,"",0,1))</f>
        <v>6063T5</v>
      </c>
      <c r="H156" s="4">
        <f>IF($C156="","",_xlfn.XLOOKUP($C156,Order!$C:$C,Order!$H:$H,"",0,1))</f>
        <v>0.36</v>
      </c>
      <c r="I156" s="36">
        <f>IF($C156="","",_xlfn.XLOOKUP($C156,Order!$C:$C,Order!$I:$I,"",0,1))</f>
        <v>0</v>
      </c>
      <c r="J156" s="4" t="str">
        <f>IF(C156="","",Order!$I$16)</f>
        <v>MILL FINISH</v>
      </c>
      <c r="K156" s="36">
        <f>IF($C156="","",_xlfn.XLOOKUP($C156,Order!$C:$C,Order!$P:$P,"",0,1))</f>
        <v>0</v>
      </c>
      <c r="L156" s="4">
        <f t="shared" si="2"/>
        <v>0</v>
      </c>
    </row>
    <row r="157" spans="2:12" ht="23.25" hidden="1" customHeight="1" x14ac:dyDescent="0.25">
      <c r="B157" s="4">
        <v>152</v>
      </c>
      <c r="C157" s="36">
        <f>IF(Order!$C$168="","",Order!$C$168)</f>
        <v>25518</v>
      </c>
      <c r="D157" s="36">
        <f>IF($C157="","",_xlfn.XLOOKUP($C157,Order!$C:$C,Order!$D:$D,"",0,1))</f>
        <v>25518</v>
      </c>
      <c r="E157" s="4" t="e" vm="353">
        <f>IF($C157="","",_xlfn.XLOOKUP($C157,Order!$C:$C,Order!$E:$E,"",0,1))</f>
        <v>#VALUE!</v>
      </c>
      <c r="F157" s="4">
        <f>IF($C157="","",_xlfn.XLOOKUP($C157,Order!$C:$C,Order!$F:$F,"",0,1))</f>
        <v>6000</v>
      </c>
      <c r="G157" s="4" t="str">
        <f>IF($C157="","",_xlfn.XLOOKUP($C157,Order!$C:$C,Order!$G:$G,"",0,1))</f>
        <v>6063T5</v>
      </c>
      <c r="H157" s="4">
        <f>IF($C157="","",_xlfn.XLOOKUP($C157,Order!$C:$C,Order!$H:$H,"",0,1))</f>
        <v>0.36299999999999999</v>
      </c>
      <c r="I157" s="36">
        <f>IF($C157="","",_xlfn.XLOOKUP($C157,Order!$C:$C,Order!$I:$I,"",0,1))</f>
        <v>0</v>
      </c>
      <c r="J157" s="4" t="str">
        <f>IF(C157="","",Order!$I$16)</f>
        <v>MILL FINISH</v>
      </c>
      <c r="K157" s="36">
        <f>IF($C157="","",_xlfn.XLOOKUP($C157,Order!$C:$C,Order!$P:$P,"",0,1))</f>
        <v>0</v>
      </c>
      <c r="L157" s="4">
        <f t="shared" si="2"/>
        <v>0</v>
      </c>
    </row>
    <row r="158" spans="2:12" ht="23.25" hidden="1" customHeight="1" x14ac:dyDescent="0.25">
      <c r="B158" s="4">
        <v>153</v>
      </c>
      <c r="C158" s="36">
        <f>IF(Order!$C$169="","",Order!$C$169)</f>
        <v>25520</v>
      </c>
      <c r="D158" s="36">
        <f>IF($C158="","",_xlfn.XLOOKUP($C158,Order!$C:$C,Order!$D:$D,"",0,1))</f>
        <v>25520</v>
      </c>
      <c r="E158" s="4" t="e" vm="354">
        <f>IF($C158="","",_xlfn.XLOOKUP($C158,Order!$C:$C,Order!$E:$E,"",0,1))</f>
        <v>#VALUE!</v>
      </c>
      <c r="F158" s="4">
        <f>IF($C158="","",_xlfn.XLOOKUP($C158,Order!$C:$C,Order!$F:$F,"",0,1))</f>
        <v>6000</v>
      </c>
      <c r="G158" s="4" t="str">
        <f>IF($C158="","",_xlfn.XLOOKUP($C158,Order!$C:$C,Order!$G:$G,"",0,1))</f>
        <v>6063T5</v>
      </c>
      <c r="H158" s="4">
        <f>IF($C158="","",_xlfn.XLOOKUP($C158,Order!$C:$C,Order!$H:$H,"",0,1))</f>
        <v>0.373</v>
      </c>
      <c r="I158" s="36">
        <f>IF($C158="","",_xlfn.XLOOKUP($C158,Order!$C:$C,Order!$I:$I,"",0,1))</f>
        <v>0</v>
      </c>
      <c r="J158" s="4" t="str">
        <f>IF(C158="","",Order!$I$16)</f>
        <v>MILL FINISH</v>
      </c>
      <c r="K158" s="36">
        <f>IF($C158="","",_xlfn.XLOOKUP($C158,Order!$C:$C,Order!$P:$P,"",0,1))</f>
        <v>0</v>
      </c>
      <c r="L158" s="4">
        <f t="shared" si="2"/>
        <v>0</v>
      </c>
    </row>
    <row r="159" spans="2:12" ht="23.25" hidden="1" customHeight="1" x14ac:dyDescent="0.25">
      <c r="B159" s="4">
        <v>154</v>
      </c>
      <c r="C159" s="36">
        <f>IF(Order!$C$170="","",Order!$C$170)</f>
        <v>25617</v>
      </c>
      <c r="D159" s="36">
        <f>IF($C159="","",_xlfn.XLOOKUP($C159,Order!$C:$C,Order!$D:$D,"",0,1))</f>
        <v>25617</v>
      </c>
      <c r="E159" s="4" t="e" vm="355">
        <f>IF($C159="","",_xlfn.XLOOKUP($C159,Order!$C:$C,Order!$E:$E,"",0,1))</f>
        <v>#VALUE!</v>
      </c>
      <c r="F159" s="4">
        <f>IF($C159="","",_xlfn.XLOOKUP($C159,Order!$C:$C,Order!$F:$F,"",0,1))</f>
        <v>6000</v>
      </c>
      <c r="G159" s="4" t="str">
        <f>IF($C159="","",_xlfn.XLOOKUP($C159,Order!$C:$C,Order!$G:$G,"",0,1))</f>
        <v>6063T5</v>
      </c>
      <c r="H159" s="4">
        <f>IF($C159="","",_xlfn.XLOOKUP($C159,Order!$C:$C,Order!$H:$H,"",0,1))</f>
        <v>0.373</v>
      </c>
      <c r="I159" s="36">
        <f>IF($C159="","",_xlfn.XLOOKUP($C159,Order!$C:$C,Order!$I:$I,"",0,1))</f>
        <v>0</v>
      </c>
      <c r="J159" s="4" t="str">
        <f>IF(C159="","",Order!$I$16)</f>
        <v>MILL FINISH</v>
      </c>
      <c r="K159" s="36">
        <f>IF($C159="","",_xlfn.XLOOKUP($C159,Order!$C:$C,Order!$P:$P,"",0,1))</f>
        <v>0</v>
      </c>
      <c r="L159" s="4">
        <f t="shared" si="2"/>
        <v>0</v>
      </c>
    </row>
    <row r="160" spans="2:12" ht="23.25" hidden="1" customHeight="1" x14ac:dyDescent="0.25">
      <c r="B160" s="4">
        <v>155</v>
      </c>
      <c r="C160" s="36" t="str">
        <f>IF(Order!$C$171="","",Order!$C$171)</f>
        <v>TB600</v>
      </c>
      <c r="D160" s="36" t="str">
        <f>IF($C160="","",_xlfn.XLOOKUP($C160,Order!$C:$C,Order!$D:$D,"",0,1))</f>
        <v>TB600</v>
      </c>
      <c r="E160" s="4" t="e" vm="356">
        <f>IF($C160="","",_xlfn.XLOOKUP($C160,Order!$C:$C,Order!$E:$E,"",0,1))</f>
        <v>#VALUE!</v>
      </c>
      <c r="F160" s="4">
        <f>IF($C160="","",_xlfn.XLOOKUP($C160,Order!$C:$C,Order!$F:$F,"",0,1))</f>
        <v>6000</v>
      </c>
      <c r="G160" s="4" t="str">
        <f>IF($C160="","",_xlfn.XLOOKUP($C160,Order!$C:$C,Order!$G:$G,"",0,1))</f>
        <v>6063T5</v>
      </c>
      <c r="H160" s="4">
        <f>IF($C160="","",_xlfn.XLOOKUP($C160,Order!$C:$C,Order!$H:$H,"",0,1))</f>
        <v>0.73099999999999998</v>
      </c>
      <c r="I160" s="36">
        <f>IF($C160="","",_xlfn.XLOOKUP($C160,Order!$C:$C,Order!$I:$I,"",0,1))</f>
        <v>0</v>
      </c>
      <c r="J160" s="4" t="str">
        <f>IF(C160="","",Order!$I$16)</f>
        <v>MILL FINISH</v>
      </c>
      <c r="K160" s="36">
        <f>IF($C160="","",_xlfn.XLOOKUP($C160,Order!$C:$C,Order!$P:$P,"",0,1))</f>
        <v>0</v>
      </c>
      <c r="L160" s="4">
        <f t="shared" si="2"/>
        <v>0</v>
      </c>
    </row>
    <row r="161" spans="2:12" ht="23.25" hidden="1" customHeight="1" x14ac:dyDescent="0.25">
      <c r="B161" s="4">
        <v>156</v>
      </c>
      <c r="C161" s="36" t="str">
        <f>IF(Order!$C$172="","",Order!$C$172)</f>
        <v>TB650</v>
      </c>
      <c r="D161" s="36" t="str">
        <f>IF($C161="","",_xlfn.XLOOKUP($C161,Order!$C:$C,Order!$D:$D,"",0,1))</f>
        <v>TB650</v>
      </c>
      <c r="E161" s="4" t="e" vm="357">
        <f>IF($C161="","",_xlfn.XLOOKUP($C161,Order!$C:$C,Order!$E:$E,"",0,1))</f>
        <v>#VALUE!</v>
      </c>
      <c r="F161" s="4">
        <f>IF($C161="","",_xlfn.XLOOKUP($C161,Order!$C:$C,Order!$F:$F,"",0,1))</f>
        <v>6000</v>
      </c>
      <c r="G161" s="4" t="str">
        <f>IF($C161="","",_xlfn.XLOOKUP($C161,Order!$C:$C,Order!$G:$G,"",0,1))</f>
        <v>6063T5</v>
      </c>
      <c r="H161" s="4">
        <f>IF($C161="","",_xlfn.XLOOKUP($C161,Order!$C:$C,Order!$H:$H,"",0,1))</f>
        <v>0.77500000000000002</v>
      </c>
      <c r="I161" s="36">
        <f>IF($C161="","",_xlfn.XLOOKUP($C161,Order!$C:$C,Order!$I:$I,"",0,1))</f>
        <v>0</v>
      </c>
      <c r="J161" s="4" t="str">
        <f>IF(C161="","",Order!$I$16)</f>
        <v>MILL FINISH</v>
      </c>
      <c r="K161" s="36">
        <f>IF($C161="","",_xlfn.XLOOKUP($C161,Order!$C:$C,Order!$P:$P,"",0,1))</f>
        <v>0</v>
      </c>
      <c r="L161" s="4">
        <f t="shared" si="2"/>
        <v>0</v>
      </c>
    </row>
    <row r="162" spans="2:12" ht="23.25" hidden="1" customHeight="1" x14ac:dyDescent="0.25">
      <c r="B162" s="4">
        <v>157</v>
      </c>
      <c r="C162" s="36" t="str">
        <f>IF(Order!$C$173="","",Order!$C$173)</f>
        <v>PC0276</v>
      </c>
      <c r="D162" s="36" t="str">
        <f>IF($C162="","",_xlfn.XLOOKUP($C162,Order!$C:$C,Order!$D:$D,"",0,1))</f>
        <v>PC027 6</v>
      </c>
      <c r="E162" s="4" t="e" vm="358">
        <f>IF($C162="","",_xlfn.XLOOKUP($C162,Order!$C:$C,Order!$E:$E,"",0,1))</f>
        <v>#VALUE!</v>
      </c>
      <c r="F162" s="4">
        <f>IF($C162="","",_xlfn.XLOOKUP($C162,Order!$C:$C,Order!$F:$F,"",0,1))</f>
        <v>6000</v>
      </c>
      <c r="G162" s="4" t="str">
        <f>IF($C162="","",_xlfn.XLOOKUP($C162,Order!$C:$C,Order!$G:$G,"",0,1))</f>
        <v>6063T5</v>
      </c>
      <c r="H162" s="4">
        <f>IF($C162="","",_xlfn.XLOOKUP($C162,Order!$C:$C,Order!$H:$H,"",0,1))</f>
        <v>0.53500000000000003</v>
      </c>
      <c r="I162" s="36">
        <f>IF($C162="","",_xlfn.XLOOKUP($C162,Order!$C:$C,Order!$I:$I,"",0,1))</f>
        <v>0</v>
      </c>
      <c r="J162" s="4" t="str">
        <f>IF(C162="","",Order!$I$16)</f>
        <v>MILL FINISH</v>
      </c>
      <c r="K162" s="36">
        <f>IF($C162="","",_xlfn.XLOOKUP($C162,Order!$C:$C,Order!$P:$P,"",0,1))</f>
        <v>0</v>
      </c>
      <c r="L162" s="4">
        <f t="shared" si="2"/>
        <v>0</v>
      </c>
    </row>
    <row r="163" spans="2:12" ht="23.25" hidden="1" customHeight="1" x14ac:dyDescent="0.25">
      <c r="B163" s="4">
        <v>158</v>
      </c>
      <c r="C163" s="36" t="str">
        <f>IF(Order!$C$174="","",Order!$C$174)</f>
        <v>PC0276.5A</v>
      </c>
      <c r="D163" s="36" t="str">
        <f>IF($C163="","",_xlfn.XLOOKUP($C163,Order!$C:$C,Order!$D:$D,"",0,1))</f>
        <v>PC027 6.5A</v>
      </c>
      <c r="E163" s="4" t="e" vm="359">
        <f>IF($C163="","",_xlfn.XLOOKUP($C163,Order!$C:$C,Order!$E:$E,"",0,1))</f>
        <v>#VALUE!</v>
      </c>
      <c r="F163" s="4">
        <f>IF($C163="","",_xlfn.XLOOKUP($C163,Order!$C:$C,Order!$F:$F,"",0,1))</f>
        <v>6000</v>
      </c>
      <c r="G163" s="4" t="str">
        <f>IF($C163="","",_xlfn.XLOOKUP($C163,Order!$C:$C,Order!$G:$G,"",0,1))</f>
        <v>6063T5</v>
      </c>
      <c r="H163" s="4">
        <f>IF($C163="","",_xlfn.XLOOKUP($C163,Order!$C:$C,Order!$H:$H,"",0,1))</f>
        <v>0.61899999999999999</v>
      </c>
      <c r="I163" s="36">
        <f>IF($C163="","",_xlfn.XLOOKUP($C163,Order!$C:$C,Order!$I:$I,"",0,1))</f>
        <v>0</v>
      </c>
      <c r="J163" s="4" t="str">
        <f>IF(C163="","",Order!$I$16)</f>
        <v>MILL FINISH</v>
      </c>
      <c r="K163" s="36">
        <f>IF($C163="","",_xlfn.XLOOKUP($C163,Order!$C:$C,Order!$P:$P,"",0,1))</f>
        <v>0</v>
      </c>
      <c r="L163" s="4">
        <f t="shared" si="2"/>
        <v>0</v>
      </c>
    </row>
    <row r="164" spans="2:12" ht="23.25" hidden="1" customHeight="1" x14ac:dyDescent="0.25">
      <c r="B164" s="4">
        <v>159</v>
      </c>
      <c r="C164" s="36" t="str">
        <f>IF(Order!$C$175="","",Order!$C$175)</f>
        <v>E77</v>
      </c>
      <c r="D164" s="36" t="str">
        <f>IF($C164="","",_xlfn.XLOOKUP($C164,Order!$C:$C,Order!$D:$D,"",0,1))</f>
        <v>E77</v>
      </c>
      <c r="E164" s="4" t="e" vm="360">
        <f>IF($C164="","",_xlfn.XLOOKUP($C164,Order!$C:$C,Order!$E:$E,"",0,1))</f>
        <v>#VALUE!</v>
      </c>
      <c r="F164" s="4">
        <f>IF($C164="","",_xlfn.XLOOKUP($C164,Order!$C:$C,Order!$F:$F,"",0,1))</f>
        <v>6000</v>
      </c>
      <c r="G164" s="4" t="str">
        <f>IF($C164="","",_xlfn.XLOOKUP($C164,Order!$C:$C,Order!$G:$G,"",0,1))</f>
        <v>6063T5</v>
      </c>
      <c r="H164" s="4">
        <f>IF($C164="","",_xlfn.XLOOKUP($C164,Order!$C:$C,Order!$H:$H,"",0,1))</f>
        <v>0.6</v>
      </c>
      <c r="I164" s="36">
        <f>IF($C164="","",_xlfn.XLOOKUP($C164,Order!$C:$C,Order!$I:$I,"",0,1))</f>
        <v>0</v>
      </c>
      <c r="J164" s="4" t="str">
        <f>IF(C164="","",Order!$I$16)</f>
        <v>MILL FINISH</v>
      </c>
      <c r="K164" s="36">
        <f>IF($C164="","",_xlfn.XLOOKUP($C164,Order!$C:$C,Order!$P:$P,"",0,1))</f>
        <v>0</v>
      </c>
      <c r="L164" s="4">
        <f t="shared" si="2"/>
        <v>0</v>
      </c>
    </row>
    <row r="165" spans="2:12" ht="23.25" hidden="1" customHeight="1" x14ac:dyDescent="0.25">
      <c r="B165" s="4">
        <v>160</v>
      </c>
      <c r="C165" s="36" t="str">
        <f>IF(Order!$C$176="","",Order!$C$176)</f>
        <v>ALB099 1.1</v>
      </c>
      <c r="D165" s="36" t="str">
        <f>IF($C165="","",_xlfn.XLOOKUP($C165,Order!$C:$C,Order!$D:$D,"",0,1))</f>
        <v>ALB099</v>
      </c>
      <c r="E165" s="4" t="e" vm="361">
        <f>IF($C165="","",_xlfn.XLOOKUP($C165,Order!$C:$C,Order!$E:$E,"",0,1))</f>
        <v>#VALUE!</v>
      </c>
      <c r="F165" s="4">
        <f>IF($C165="","",_xlfn.XLOOKUP($C165,Order!$C:$C,Order!$F:$F,"",0,1))</f>
        <v>6000</v>
      </c>
      <c r="G165" s="4" t="str">
        <f>IF($C165="","",_xlfn.XLOOKUP($C165,Order!$C:$C,Order!$G:$G,"",0,1))</f>
        <v>6063T5</v>
      </c>
      <c r="H165" s="4">
        <f>IF($C165="","",_xlfn.XLOOKUP($C165,Order!$C:$C,Order!$H:$H,"",0,1))</f>
        <v>0.74299999999999999</v>
      </c>
      <c r="I165" s="36">
        <f>IF($C165="","",_xlfn.XLOOKUP($C165,Order!$C:$C,Order!$I:$I,"",0,1))</f>
        <v>0</v>
      </c>
      <c r="J165" s="4" t="str">
        <f>IF(C165="","",Order!$I$16)</f>
        <v>MILL FINISH</v>
      </c>
      <c r="K165" s="36">
        <f>IF($C165="","",_xlfn.XLOOKUP($C165,Order!$C:$C,Order!$P:$P,"",0,1))</f>
        <v>0</v>
      </c>
      <c r="L165" s="4">
        <f t="shared" si="2"/>
        <v>0</v>
      </c>
    </row>
    <row r="166" spans="2:12" ht="23.25" hidden="1" customHeight="1" x14ac:dyDescent="0.25">
      <c r="B166" s="4">
        <v>161</v>
      </c>
      <c r="C166" s="36" t="str">
        <f>IF(Order!$C$177="","",Order!$C$177)</f>
        <v>ALB099 1.2</v>
      </c>
      <c r="D166" s="36" t="str">
        <f>IF($C166="","",_xlfn.XLOOKUP($C166,Order!$C:$C,Order!$D:$D,"",0,1))</f>
        <v>ALB099 1.2</v>
      </c>
      <c r="E166" s="4" t="e" vm="362">
        <f>IF($C166="","",_xlfn.XLOOKUP($C166,Order!$C:$C,Order!$E:$E,"",0,1))</f>
        <v>#VALUE!</v>
      </c>
      <c r="F166" s="4">
        <f>IF($C166="","",_xlfn.XLOOKUP($C166,Order!$C:$C,Order!$F:$F,"",0,1))</f>
        <v>6000</v>
      </c>
      <c r="G166" s="4" t="str">
        <f>IF($C166="","",_xlfn.XLOOKUP($C166,Order!$C:$C,Order!$G:$G,"",0,1))</f>
        <v>6063T5</v>
      </c>
      <c r="H166" s="4">
        <f>IF($C166="","",_xlfn.XLOOKUP($C166,Order!$C:$C,Order!$H:$H,"",0,1))</f>
        <v>0.81499999999999995</v>
      </c>
      <c r="I166" s="36">
        <f>IF($C166="","",_xlfn.XLOOKUP($C166,Order!$C:$C,Order!$I:$I,"",0,1))</f>
        <v>0</v>
      </c>
      <c r="J166" s="4" t="str">
        <f>IF(C166="","",Order!$I$16)</f>
        <v>MILL FINISH</v>
      </c>
      <c r="K166" s="36">
        <f>IF($C166="","",_xlfn.XLOOKUP($C166,Order!$C:$C,Order!$P:$P,"",0,1))</f>
        <v>0</v>
      </c>
      <c r="L166" s="4">
        <f t="shared" si="2"/>
        <v>0</v>
      </c>
    </row>
    <row r="167" spans="2:12" ht="23.25" hidden="1" customHeight="1" x14ac:dyDescent="0.25">
      <c r="B167" s="4">
        <v>162</v>
      </c>
      <c r="C167" s="36" t="str">
        <f>IF(Order!$C$178="","",Order!$C$178)</f>
        <v>LB005</v>
      </c>
      <c r="D167" s="36" t="str">
        <f>IF($C167="","",_xlfn.XLOOKUP($C167,Order!$C:$C,Order!$D:$D,"",0,1))</f>
        <v>LB005</v>
      </c>
      <c r="E167" s="4" t="e" vm="363">
        <f>IF($C167="","",_xlfn.XLOOKUP($C167,Order!$C:$C,Order!$E:$E,"",0,1))</f>
        <v>#VALUE!</v>
      </c>
      <c r="F167" s="4">
        <f>IF($C167="","",_xlfn.XLOOKUP($C167,Order!$C:$C,Order!$F:$F,"",0,1))</f>
        <v>6000</v>
      </c>
      <c r="G167" s="4" t="str">
        <f>IF($C167="","",_xlfn.XLOOKUP($C167,Order!$C:$C,Order!$G:$G,"",0,1))</f>
        <v>6063T5</v>
      </c>
      <c r="H167" s="4">
        <f>IF($C167="","",_xlfn.XLOOKUP($C167,Order!$C:$C,Order!$H:$H,"",0,1))</f>
        <v>0</v>
      </c>
      <c r="I167" s="36">
        <f>IF($C167="","",_xlfn.XLOOKUP($C167,Order!$C:$C,Order!$I:$I,"",0,1))</f>
        <v>0</v>
      </c>
      <c r="J167" s="4" t="str">
        <f>IF(C167="","",Order!$I$16)</f>
        <v>MILL FINISH</v>
      </c>
      <c r="K167" s="36">
        <f>IF($C167="","",_xlfn.XLOOKUP($C167,Order!$C:$C,Order!$P:$P,"",0,1))</f>
        <v>0</v>
      </c>
      <c r="L167" s="4">
        <f t="shared" si="2"/>
        <v>0</v>
      </c>
    </row>
    <row r="168" spans="2:12" ht="23.25" hidden="1" customHeight="1" x14ac:dyDescent="0.25">
      <c r="B168" s="4">
        <v>163</v>
      </c>
      <c r="C168" s="36" t="str">
        <f>IF(Order!$C$179="","",Order!$C$179)</f>
        <v>LB007</v>
      </c>
      <c r="D168" s="36" t="str">
        <f>IF($C168="","",_xlfn.XLOOKUP($C168,Order!$C:$C,Order!$D:$D,"",0,1))</f>
        <v>LB007</v>
      </c>
      <c r="E168" s="4" t="e" vm="364">
        <f>IF($C168="","",_xlfn.XLOOKUP($C168,Order!$C:$C,Order!$E:$E,"",0,1))</f>
        <v>#VALUE!</v>
      </c>
      <c r="F168" s="4">
        <f>IF($C168="","",_xlfn.XLOOKUP($C168,Order!$C:$C,Order!$F:$F,"",0,1))</f>
        <v>6000</v>
      </c>
      <c r="G168" s="4" t="str">
        <f>IF($C168="","",_xlfn.XLOOKUP($C168,Order!$C:$C,Order!$G:$G,"",0,1))</f>
        <v>6063T5</v>
      </c>
      <c r="H168" s="4">
        <f>IF($C168="","",_xlfn.XLOOKUP($C168,Order!$C:$C,Order!$H:$H,"",0,1))</f>
        <v>0.61</v>
      </c>
      <c r="I168" s="36">
        <f>IF($C168="","",_xlfn.XLOOKUP($C168,Order!$C:$C,Order!$I:$I,"",0,1))</f>
        <v>0</v>
      </c>
      <c r="J168" s="4" t="str">
        <f>IF(C168="","",Order!$I$16)</f>
        <v>MILL FINISH</v>
      </c>
      <c r="K168" s="36">
        <f>IF($C168="","",_xlfn.XLOOKUP($C168,Order!$C:$C,Order!$P:$P,"",0,1))</f>
        <v>0</v>
      </c>
      <c r="L168" s="4">
        <f t="shared" si="2"/>
        <v>0</v>
      </c>
    </row>
    <row r="169" spans="2:12" ht="23.25" hidden="1" customHeight="1" x14ac:dyDescent="0.25">
      <c r="B169" s="4">
        <v>164</v>
      </c>
      <c r="C169" s="36" t="str">
        <f>IF(Order!$C$180="","",Order!$C$180)</f>
        <v>LB008</v>
      </c>
      <c r="D169" s="36" t="str">
        <f>IF($C169="","",_xlfn.XLOOKUP($C169,Order!$C:$C,Order!$D:$D,"",0,1))</f>
        <v>LB008</v>
      </c>
      <c r="E169" s="4" t="e" vm="365">
        <f>IF($C169="","",_xlfn.XLOOKUP($C169,Order!$C:$C,Order!$E:$E,"",0,1))</f>
        <v>#VALUE!</v>
      </c>
      <c r="F169" s="4">
        <f>IF($C169="","",_xlfn.XLOOKUP($C169,Order!$C:$C,Order!$F:$F,"",0,1))</f>
        <v>6000</v>
      </c>
      <c r="G169" s="4" t="str">
        <f>IF($C169="","",_xlfn.XLOOKUP($C169,Order!$C:$C,Order!$G:$G,"",0,1))</f>
        <v>6063T5</v>
      </c>
      <c r="H169" s="4">
        <f>IF($C169="","",_xlfn.XLOOKUP($C169,Order!$C:$C,Order!$H:$H,"",0,1))</f>
        <v>0.50600000000000001</v>
      </c>
      <c r="I169" s="36">
        <f>IF($C169="","",_xlfn.XLOOKUP($C169,Order!$C:$C,Order!$I:$I,"",0,1))</f>
        <v>0</v>
      </c>
      <c r="J169" s="4" t="str">
        <f>IF(C169="","",Order!$I$16)</f>
        <v>MILL FINISH</v>
      </c>
      <c r="K169" s="36">
        <f>IF($C169="","",_xlfn.XLOOKUP($C169,Order!$C:$C,Order!$P:$P,"",0,1))</f>
        <v>0</v>
      </c>
      <c r="L169" s="4">
        <f t="shared" si="2"/>
        <v>0</v>
      </c>
    </row>
    <row r="170" spans="2:12" ht="23.25" hidden="1" customHeight="1" x14ac:dyDescent="0.25">
      <c r="B170" s="4">
        <v>165</v>
      </c>
      <c r="C170" s="36" t="str">
        <f>IF(Order!$C$181="","",Order!$C$181)</f>
        <v>LB010</v>
      </c>
      <c r="D170" s="36" t="str">
        <f>IF($C170="","",_xlfn.XLOOKUP($C170,Order!$C:$C,Order!$D:$D,"",0,1))</f>
        <v>LB010</v>
      </c>
      <c r="E170" s="4" t="e" vm="366">
        <f>IF($C170="","",_xlfn.XLOOKUP($C170,Order!$C:$C,Order!$E:$E,"",0,1))</f>
        <v>#VALUE!</v>
      </c>
      <c r="F170" s="4">
        <f>IF($C170="","",_xlfn.XLOOKUP($C170,Order!$C:$C,Order!$F:$F,"",0,1))</f>
        <v>6000</v>
      </c>
      <c r="G170" s="4" t="str">
        <f>IF($C170="","",_xlfn.XLOOKUP($C170,Order!$C:$C,Order!$G:$G,"",0,1))</f>
        <v>6063T5</v>
      </c>
      <c r="H170" s="4">
        <f>IF($C170="","",_xlfn.XLOOKUP($C170,Order!$C:$C,Order!$H:$H,"",0,1))</f>
        <v>0</v>
      </c>
      <c r="I170" s="36">
        <f>IF($C170="","",_xlfn.XLOOKUP($C170,Order!$C:$C,Order!$I:$I,"",0,1))</f>
        <v>0</v>
      </c>
      <c r="J170" s="4" t="str">
        <f>IF(C170="","",Order!$I$16)</f>
        <v>MILL FINISH</v>
      </c>
      <c r="K170" s="36">
        <f>IF($C170="","",_xlfn.XLOOKUP($C170,Order!$C:$C,Order!$P:$P,"",0,1))</f>
        <v>0</v>
      </c>
      <c r="L170" s="4">
        <f t="shared" si="2"/>
        <v>0</v>
      </c>
    </row>
    <row r="171" spans="2:12" ht="23.25" hidden="1" customHeight="1" x14ac:dyDescent="0.25">
      <c r="B171" s="4">
        <v>166</v>
      </c>
      <c r="C171" s="36" t="str">
        <f>IF(Order!$C$182="","",Order!$C$182)</f>
        <v>LB020</v>
      </c>
      <c r="D171" s="36" t="str">
        <f>IF($C171="","",_xlfn.XLOOKUP($C171,Order!$C:$C,Order!$D:$D,"",0,1))</f>
        <v>LB020</v>
      </c>
      <c r="E171" s="4" t="e" vm="367">
        <f>IF($C171="","",_xlfn.XLOOKUP($C171,Order!$C:$C,Order!$E:$E,"",0,1))</f>
        <v>#VALUE!</v>
      </c>
      <c r="F171" s="4">
        <f>IF($C171="","",_xlfn.XLOOKUP($C171,Order!$C:$C,Order!$F:$F,"",0,1))</f>
        <v>6000</v>
      </c>
      <c r="G171" s="4" t="str">
        <f>IF($C171="","",_xlfn.XLOOKUP($C171,Order!$C:$C,Order!$G:$G,"",0,1))</f>
        <v>6063T5</v>
      </c>
      <c r="H171" s="4">
        <f>IF($C171="","",_xlfn.XLOOKUP($C171,Order!$C:$C,Order!$H:$H,"",0,1))</f>
        <v>0.67300000000000004</v>
      </c>
      <c r="I171" s="36">
        <f>IF($C171="","",_xlfn.XLOOKUP($C171,Order!$C:$C,Order!$I:$I,"",0,1))</f>
        <v>0</v>
      </c>
      <c r="J171" s="4" t="str">
        <f>IF(C171="","",Order!$I$16)</f>
        <v>MILL FINISH</v>
      </c>
      <c r="K171" s="36">
        <f>IF($C171="","",_xlfn.XLOOKUP($C171,Order!$C:$C,Order!$P:$P,"",0,1))</f>
        <v>0</v>
      </c>
      <c r="L171" s="4">
        <f t="shared" si="2"/>
        <v>0</v>
      </c>
    </row>
    <row r="172" spans="2:12" ht="23.25" hidden="1" customHeight="1" x14ac:dyDescent="0.25">
      <c r="B172" s="4">
        <v>167</v>
      </c>
      <c r="C172" s="36" t="str">
        <f>IF(Order!$C$183="","",Order!$C$183)</f>
        <v>PLB036</v>
      </c>
      <c r="D172" s="36" t="str">
        <f>IF($C172="","",_xlfn.XLOOKUP($C172,Order!$C:$C,Order!$D:$D,"",0,1))</f>
        <v>PLB036</v>
      </c>
      <c r="E172" s="4" t="e" vm="368">
        <f>IF($C172="","",_xlfn.XLOOKUP($C172,Order!$C:$C,Order!$E:$E,"",0,1))</f>
        <v>#VALUE!</v>
      </c>
      <c r="F172" s="4">
        <f>IF($C172="","",_xlfn.XLOOKUP($C172,Order!$C:$C,Order!$F:$F,"",0,1))</f>
        <v>6000</v>
      </c>
      <c r="G172" s="4" t="str">
        <f>IF($C172="","",_xlfn.XLOOKUP($C172,Order!$C:$C,Order!$G:$G,"",0,1))</f>
        <v>6063T5</v>
      </c>
      <c r="H172" s="4">
        <f>IF($C172="","",_xlfn.XLOOKUP($C172,Order!$C:$C,Order!$H:$H,"",0,1))</f>
        <v>0.51400000000000001</v>
      </c>
      <c r="I172" s="36">
        <f>IF($C172="","",_xlfn.XLOOKUP($C172,Order!$C:$C,Order!$I:$I,"",0,1))</f>
        <v>0</v>
      </c>
      <c r="J172" s="4" t="str">
        <f>IF(C172="","",Order!$I$16)</f>
        <v>MILL FINISH</v>
      </c>
      <c r="K172" s="36">
        <f>IF($C172="","",_xlfn.XLOOKUP($C172,Order!$C:$C,Order!$P:$P,"",0,1))</f>
        <v>0</v>
      </c>
      <c r="L172" s="4">
        <f t="shared" si="2"/>
        <v>0</v>
      </c>
    </row>
    <row r="173" spans="2:12" ht="23.25" hidden="1" customHeight="1" x14ac:dyDescent="0.25">
      <c r="B173" s="4">
        <v>168</v>
      </c>
      <c r="C173" s="36" t="str">
        <f>IF(Order!$C$184="","",Order!$C$184)</f>
        <v>PLB036P</v>
      </c>
      <c r="D173" s="36" t="str">
        <f>IF($C173="","",_xlfn.XLOOKUP($C173,Order!$C:$C,Order!$D:$D,"",0,1))</f>
        <v>PLB036P</v>
      </c>
      <c r="E173" s="4" t="e" vm="369">
        <f>IF($C173="","",_xlfn.XLOOKUP($C173,Order!$C:$C,Order!$E:$E,"",0,1))</f>
        <v>#VALUE!</v>
      </c>
      <c r="F173" s="4">
        <f>IF($C173="","",_xlfn.XLOOKUP($C173,Order!$C:$C,Order!$F:$F,"",0,1))</f>
        <v>6000</v>
      </c>
      <c r="G173" s="4" t="str">
        <f>IF($C173="","",_xlfn.XLOOKUP($C173,Order!$C:$C,Order!$G:$G,"",0,1))</f>
        <v>6063T5</v>
      </c>
      <c r="H173" s="4">
        <f>IF($C173="","",_xlfn.XLOOKUP($C173,Order!$C:$C,Order!$H:$H,"",0,1))</f>
        <v>0.46600000000000003</v>
      </c>
      <c r="I173" s="36">
        <f>IF($C173="","",_xlfn.XLOOKUP($C173,Order!$C:$C,Order!$I:$I,"",0,1))</f>
        <v>0</v>
      </c>
      <c r="J173" s="4" t="str">
        <f>IF(C173="","",Order!$I$16)</f>
        <v>MILL FINISH</v>
      </c>
      <c r="K173" s="36">
        <f>IF($C173="","",_xlfn.XLOOKUP($C173,Order!$C:$C,Order!$P:$P,"",0,1))</f>
        <v>0</v>
      </c>
      <c r="L173" s="4">
        <f t="shared" si="2"/>
        <v>0</v>
      </c>
    </row>
    <row r="174" spans="2:12" ht="23.25" hidden="1" customHeight="1" x14ac:dyDescent="0.25">
      <c r="B174" s="4">
        <v>169</v>
      </c>
      <c r="C174" s="36" t="str">
        <f>IF(Order!$C$185="","",Order!$C$185)</f>
        <v>LB037</v>
      </c>
      <c r="D174" s="36" t="str">
        <f>IF($C174="","",_xlfn.XLOOKUP($C174,Order!$C:$C,Order!$D:$D,"",0,1))</f>
        <v>LB037</v>
      </c>
      <c r="E174" s="4" t="e" vm="370">
        <f>IF($C174="","",_xlfn.XLOOKUP($C174,Order!$C:$C,Order!$E:$E,"",0,1))</f>
        <v>#VALUE!</v>
      </c>
      <c r="F174" s="4">
        <f>IF($C174="","",_xlfn.XLOOKUP($C174,Order!$C:$C,Order!$F:$F,"",0,1))</f>
        <v>6000</v>
      </c>
      <c r="G174" s="4" t="str">
        <f>IF($C174="","",_xlfn.XLOOKUP($C174,Order!$C:$C,Order!$G:$G,"",0,1))</f>
        <v>6063T5</v>
      </c>
      <c r="H174" s="4">
        <f>IF($C174="","",_xlfn.XLOOKUP($C174,Order!$C:$C,Order!$H:$H,"",0,1))</f>
        <v>0.68100000000000005</v>
      </c>
      <c r="I174" s="36">
        <f>IF($C174="","",_xlfn.XLOOKUP($C174,Order!$C:$C,Order!$I:$I,"",0,1))</f>
        <v>0</v>
      </c>
      <c r="J174" s="4" t="str">
        <f>IF(C174="","",Order!$I$16)</f>
        <v>MILL FINISH</v>
      </c>
      <c r="K174" s="36">
        <f>IF($C174="","",_xlfn.XLOOKUP($C174,Order!$C:$C,Order!$P:$P,"",0,1))</f>
        <v>0</v>
      </c>
      <c r="L174" s="4">
        <f t="shared" si="2"/>
        <v>0</v>
      </c>
    </row>
    <row r="175" spans="2:12" ht="23.25" hidden="1" customHeight="1" x14ac:dyDescent="0.25">
      <c r="B175" s="4">
        <v>170</v>
      </c>
      <c r="C175" s="36" t="str">
        <f>IF(Order!$C$186="","",Order!$C$186)</f>
        <v>LB038</v>
      </c>
      <c r="D175" s="36" t="str">
        <f>IF($C175="","",_xlfn.XLOOKUP($C175,Order!$C:$C,Order!$D:$D,"",0,1))</f>
        <v>LB038</v>
      </c>
      <c r="E175" s="4" t="e" vm="371">
        <f>IF($C175="","",_xlfn.XLOOKUP($C175,Order!$C:$C,Order!$E:$E,"",0,1))</f>
        <v>#VALUE!</v>
      </c>
      <c r="F175" s="4">
        <f>IF($C175="","",_xlfn.XLOOKUP($C175,Order!$C:$C,Order!$F:$F,"",0,1))</f>
        <v>6000</v>
      </c>
      <c r="G175" s="4" t="str">
        <f>IF($C175="","",_xlfn.XLOOKUP($C175,Order!$C:$C,Order!$G:$G,"",0,1))</f>
        <v>6063T5</v>
      </c>
      <c r="H175" s="4">
        <f>IF($C175="","",_xlfn.XLOOKUP($C175,Order!$C:$C,Order!$H:$H,"",0,1))</f>
        <v>0</v>
      </c>
      <c r="I175" s="36">
        <f>IF($C175="","",_xlfn.XLOOKUP($C175,Order!$C:$C,Order!$I:$I,"",0,1))</f>
        <v>0</v>
      </c>
      <c r="J175" s="4" t="str">
        <f>IF(C175="","",Order!$I$16)</f>
        <v>MILL FINISH</v>
      </c>
      <c r="K175" s="36">
        <f>IF($C175="","",_xlfn.XLOOKUP($C175,Order!$C:$C,Order!$P:$P,"",0,1))</f>
        <v>0</v>
      </c>
      <c r="L175" s="4">
        <f t="shared" si="2"/>
        <v>0</v>
      </c>
    </row>
    <row r="176" spans="2:12" ht="23.25" hidden="1" customHeight="1" x14ac:dyDescent="0.25">
      <c r="B176" s="4">
        <v>171</v>
      </c>
      <c r="C176" s="36" t="str">
        <f>IF(Order!$C$187="","",Order!$C$187)</f>
        <v>LB050</v>
      </c>
      <c r="D176" s="36" t="str">
        <f>IF($C176="","",_xlfn.XLOOKUP($C176,Order!$C:$C,Order!$D:$D,"",0,1))</f>
        <v>LB050</v>
      </c>
      <c r="E176" s="4" t="e" vm="372">
        <f>IF($C176="","",_xlfn.XLOOKUP($C176,Order!$C:$C,Order!$E:$E,"",0,1))</f>
        <v>#VALUE!</v>
      </c>
      <c r="F176" s="4">
        <f>IF($C176="","",_xlfn.XLOOKUP($C176,Order!$C:$C,Order!$F:$F,"",0,1))</f>
        <v>6000</v>
      </c>
      <c r="G176" s="4" t="str">
        <f>IF($C176="","",_xlfn.XLOOKUP($C176,Order!$C:$C,Order!$G:$G,"",0,1))</f>
        <v>6063T5</v>
      </c>
      <c r="H176" s="4">
        <f>IF($C176="","",_xlfn.XLOOKUP($C176,Order!$C:$C,Order!$H:$H,"",0,1))</f>
        <v>0.61699999999999999</v>
      </c>
      <c r="I176" s="36">
        <f>IF($C176="","",_xlfn.XLOOKUP($C176,Order!$C:$C,Order!$I:$I,"",0,1))</f>
        <v>0</v>
      </c>
      <c r="J176" s="4" t="str">
        <f>IF(C176="","",Order!$I$16)</f>
        <v>MILL FINISH</v>
      </c>
      <c r="K176" s="36">
        <f>IF($C176="","",_xlfn.XLOOKUP($C176,Order!$C:$C,Order!$P:$P,"",0,1))</f>
        <v>0</v>
      </c>
      <c r="L176" s="4">
        <f t="shared" si="2"/>
        <v>0</v>
      </c>
    </row>
    <row r="177" spans="2:12" ht="23.25" hidden="1" customHeight="1" x14ac:dyDescent="0.25">
      <c r="B177" s="4">
        <v>172</v>
      </c>
      <c r="C177" s="36" t="str">
        <f>IF(Order!$C$188="","",Order!$C$188)</f>
        <v>LB070</v>
      </c>
      <c r="D177" s="36" t="str">
        <f>IF($C177="","",_xlfn.XLOOKUP($C177,Order!$C:$C,Order!$D:$D,"",0,1))</f>
        <v>LB070</v>
      </c>
      <c r="E177" s="4" t="e" vm="373">
        <f>IF($C177="","",_xlfn.XLOOKUP($C177,Order!$C:$C,Order!$E:$E,"",0,1))</f>
        <v>#VALUE!</v>
      </c>
      <c r="F177" s="4">
        <f>IF($C177="","",_xlfn.XLOOKUP($C177,Order!$C:$C,Order!$F:$F,"",0,1))</f>
        <v>6000</v>
      </c>
      <c r="G177" s="4" t="str">
        <f>IF($C177="","",_xlfn.XLOOKUP($C177,Order!$C:$C,Order!$G:$G,"",0,1))</f>
        <v>6063T5</v>
      </c>
      <c r="H177" s="4">
        <f>IF($C177="","",_xlfn.XLOOKUP($C177,Order!$C:$C,Order!$H:$H,"",0,1))</f>
        <v>0.71699999999999997</v>
      </c>
      <c r="I177" s="36">
        <f>IF($C177="","",_xlfn.XLOOKUP($C177,Order!$C:$C,Order!$I:$I,"",0,1))</f>
        <v>0</v>
      </c>
      <c r="J177" s="4" t="str">
        <f>IF(C177="","",Order!$I$16)</f>
        <v>MILL FINISH</v>
      </c>
      <c r="K177" s="36">
        <f>IF($C177="","",_xlfn.XLOOKUP($C177,Order!$C:$C,Order!$P:$P,"",0,1))</f>
        <v>0</v>
      </c>
      <c r="L177" s="4">
        <f t="shared" si="2"/>
        <v>0</v>
      </c>
    </row>
    <row r="178" spans="2:12" ht="23.25" hidden="1" customHeight="1" x14ac:dyDescent="0.25">
      <c r="B178" s="4">
        <v>173</v>
      </c>
      <c r="C178" s="36" t="str">
        <f>IF(Order!$C$189="","",Order!$C$189)</f>
        <v>LB081</v>
      </c>
      <c r="D178" s="36" t="str">
        <f>IF($C178="","",_xlfn.XLOOKUP($C178,Order!$C:$C,Order!$D:$D,"",0,1))</f>
        <v>LB081</v>
      </c>
      <c r="E178" s="4" t="e" vm="374">
        <f>IF($C178="","",_xlfn.XLOOKUP($C178,Order!$C:$C,Order!$E:$E,"",0,1))</f>
        <v>#VALUE!</v>
      </c>
      <c r="F178" s="4">
        <f>IF($C178="","",_xlfn.XLOOKUP($C178,Order!$C:$C,Order!$F:$F,"",0,1))</f>
        <v>6000</v>
      </c>
      <c r="G178" s="4" t="str">
        <f>IF($C178="","",_xlfn.XLOOKUP($C178,Order!$C:$C,Order!$G:$G,"",0,1))</f>
        <v>6063T5</v>
      </c>
      <c r="H178" s="4">
        <f>IF($C178="","",_xlfn.XLOOKUP($C178,Order!$C:$C,Order!$H:$H,"",0,1))</f>
        <v>0.52800000000000002</v>
      </c>
      <c r="I178" s="36">
        <f>IF($C178="","",_xlfn.XLOOKUP($C178,Order!$C:$C,Order!$I:$I,"",0,1))</f>
        <v>0</v>
      </c>
      <c r="J178" s="4" t="str">
        <f>IF(C178="","",Order!$I$16)</f>
        <v>MILL FINISH</v>
      </c>
      <c r="K178" s="36">
        <f>IF($C178="","",_xlfn.XLOOKUP($C178,Order!$C:$C,Order!$P:$P,"",0,1))</f>
        <v>0</v>
      </c>
      <c r="L178" s="4">
        <f t="shared" si="2"/>
        <v>0</v>
      </c>
    </row>
    <row r="179" spans="2:12" ht="23.25" hidden="1" customHeight="1" x14ac:dyDescent="0.25">
      <c r="B179" s="4">
        <v>174</v>
      </c>
      <c r="C179" s="36" t="str">
        <f>IF(Order!$C$190="","",Order!$C$190)</f>
        <v>BX816</v>
      </c>
      <c r="D179" s="36" t="str">
        <f>IF($C179="","",_xlfn.XLOOKUP($C179,Order!$C:$C,Order!$D:$D,"",0,1))</f>
        <v>BX816</v>
      </c>
      <c r="E179" s="4" t="e" vm="375">
        <f>IF($C179="","",_xlfn.XLOOKUP($C179,Order!$C:$C,Order!$E:$E,"",0,1))</f>
        <v>#VALUE!</v>
      </c>
      <c r="F179" s="4">
        <f>IF($C179="","",_xlfn.XLOOKUP($C179,Order!$C:$C,Order!$F:$F,"",0,1))</f>
        <v>6000</v>
      </c>
      <c r="G179" s="4" t="str">
        <f>IF($C179="","",_xlfn.XLOOKUP($C179,Order!$C:$C,Order!$G:$G,"",0,1))</f>
        <v>6063T5</v>
      </c>
      <c r="H179" s="4">
        <f>IF($C179="","",_xlfn.XLOOKUP($C179,Order!$C:$C,Order!$H:$H,"",0,1))</f>
        <v>0.67</v>
      </c>
      <c r="I179" s="36">
        <f>IF($C179="","",_xlfn.XLOOKUP($C179,Order!$C:$C,Order!$I:$I,"",0,1))</f>
        <v>0</v>
      </c>
      <c r="J179" s="4" t="str">
        <f>IF(C179="","",Order!$I$16)</f>
        <v>MILL FINISH</v>
      </c>
      <c r="K179" s="36">
        <f>IF($C179="","",_xlfn.XLOOKUP($C179,Order!$C:$C,Order!$P:$P,"",0,1))</f>
        <v>0</v>
      </c>
      <c r="L179" s="4">
        <f t="shared" si="2"/>
        <v>0</v>
      </c>
    </row>
    <row r="180" spans="2:12" ht="23.25" hidden="1" customHeight="1" x14ac:dyDescent="0.25">
      <c r="B180" s="4">
        <v>175</v>
      </c>
      <c r="C180" s="36" t="str">
        <f>IF(Order!$C$191="","",Order!$C$191)</f>
        <v>BX841</v>
      </c>
      <c r="D180" s="36" t="str">
        <f>IF($C180="","",_xlfn.XLOOKUP($C180,Order!$C:$C,Order!$D:$D,"",0,1))</f>
        <v>BX841</v>
      </c>
      <c r="E180" s="4" t="e" vm="376">
        <f>IF($C180="","",_xlfn.XLOOKUP($C180,Order!$C:$C,Order!$E:$E,"",0,1))</f>
        <v>#VALUE!</v>
      </c>
      <c r="F180" s="4">
        <f>IF($C180="","",_xlfn.XLOOKUP($C180,Order!$C:$C,Order!$F:$F,"",0,1))</f>
        <v>6000</v>
      </c>
      <c r="G180" s="4" t="str">
        <f>IF($C180="","",_xlfn.XLOOKUP($C180,Order!$C:$C,Order!$G:$G,"",0,1))</f>
        <v>6063T5</v>
      </c>
      <c r="H180" s="4">
        <f>IF($C180="","",_xlfn.XLOOKUP($C180,Order!$C:$C,Order!$H:$H,"",0,1))</f>
        <v>0.54500000000000004</v>
      </c>
      <c r="I180" s="36">
        <f>IF($C180="","",_xlfn.XLOOKUP($C180,Order!$C:$C,Order!$I:$I,"",0,1))</f>
        <v>0</v>
      </c>
      <c r="J180" s="4" t="str">
        <f>IF(C180="","",Order!$I$16)</f>
        <v>MILL FINISH</v>
      </c>
      <c r="K180" s="36">
        <f>IF($C180="","",_xlfn.XLOOKUP($C180,Order!$C:$C,Order!$P:$P,"",0,1))</f>
        <v>0</v>
      </c>
      <c r="L180" s="4">
        <f t="shared" si="2"/>
        <v>0</v>
      </c>
    </row>
    <row r="181" spans="2:12" ht="23.25" hidden="1" customHeight="1" x14ac:dyDescent="0.25">
      <c r="B181" s="4">
        <v>176</v>
      </c>
      <c r="C181" s="36" t="str">
        <f>IF(Order!$C$192="","",Order!$C$192)</f>
        <v>BX842</v>
      </c>
      <c r="D181" s="36" t="str">
        <f>IF($C181="","",_xlfn.XLOOKUP($C181,Order!$C:$C,Order!$D:$D,"",0,1))</f>
        <v>BX842</v>
      </c>
      <c r="E181" s="4" t="e" vm="377">
        <f>IF($C181="","",_xlfn.XLOOKUP($C181,Order!$C:$C,Order!$E:$E,"",0,1))</f>
        <v>#VALUE!</v>
      </c>
      <c r="F181" s="4">
        <f>IF($C181="","",_xlfn.XLOOKUP($C181,Order!$C:$C,Order!$F:$F,"",0,1))</f>
        <v>6000</v>
      </c>
      <c r="G181" s="4" t="str">
        <f>IF($C181="","",_xlfn.XLOOKUP($C181,Order!$C:$C,Order!$G:$G,"",0,1))</f>
        <v>6063T5</v>
      </c>
      <c r="H181" s="4">
        <f>IF($C181="","",_xlfn.XLOOKUP($C181,Order!$C:$C,Order!$H:$H,"",0,1))</f>
        <v>0</v>
      </c>
      <c r="I181" s="36">
        <f>IF($C181="","",_xlfn.XLOOKUP($C181,Order!$C:$C,Order!$I:$I,"",0,1))</f>
        <v>0</v>
      </c>
      <c r="J181" s="4" t="str">
        <f>IF(C181="","",Order!$I$16)</f>
        <v>MILL FINISH</v>
      </c>
      <c r="K181" s="36">
        <f>IF($C181="","",_xlfn.XLOOKUP($C181,Order!$C:$C,Order!$P:$P,"",0,1))</f>
        <v>0</v>
      </c>
      <c r="L181" s="4">
        <f t="shared" si="2"/>
        <v>0</v>
      </c>
    </row>
    <row r="182" spans="2:12" ht="23.25" hidden="1" customHeight="1" x14ac:dyDescent="0.25">
      <c r="B182" s="4">
        <v>177</v>
      </c>
      <c r="C182" s="36" t="str">
        <f>IF(Order!$C$193="","",Order!$C$193)</f>
        <v>BX1041</v>
      </c>
      <c r="D182" s="36" t="str">
        <f>IF($C182="","",_xlfn.XLOOKUP($C182,Order!$C:$C,Order!$D:$D,"",0,1))</f>
        <v>BX1041</v>
      </c>
      <c r="E182" s="4" t="e" vm="378">
        <f>IF($C182="","",_xlfn.XLOOKUP($C182,Order!$C:$C,Order!$E:$E,"",0,1))</f>
        <v>#VALUE!</v>
      </c>
      <c r="F182" s="4">
        <f>IF($C182="","",_xlfn.XLOOKUP($C182,Order!$C:$C,Order!$F:$F,"",0,1))</f>
        <v>6000</v>
      </c>
      <c r="G182" s="4" t="str">
        <f>IF($C182="","",_xlfn.XLOOKUP($C182,Order!$C:$C,Order!$G:$G,"",0,1))</f>
        <v>6063T5</v>
      </c>
      <c r="H182" s="4">
        <f>IF($C182="","",_xlfn.XLOOKUP($C182,Order!$C:$C,Order!$H:$H,"",0,1))</f>
        <v>0.72499999999999998</v>
      </c>
      <c r="I182" s="36">
        <f>IF($C182="","",_xlfn.XLOOKUP($C182,Order!$C:$C,Order!$I:$I,"",0,1))</f>
        <v>0</v>
      </c>
      <c r="J182" s="4" t="str">
        <f>IF(C182="","",Order!$I$16)</f>
        <v>MILL FINISH</v>
      </c>
      <c r="K182" s="36">
        <f>IF($C182="","",_xlfn.XLOOKUP($C182,Order!$C:$C,Order!$P:$P,"",0,1))</f>
        <v>0</v>
      </c>
      <c r="L182" s="4">
        <f t="shared" si="2"/>
        <v>0</v>
      </c>
    </row>
    <row r="183" spans="2:12" ht="23.25" hidden="1" customHeight="1" x14ac:dyDescent="0.25">
      <c r="B183" s="4">
        <v>178</v>
      </c>
      <c r="C183" s="36" t="str">
        <f>IF(Order!$C$194="","",Order!$C$194)</f>
        <v/>
      </c>
      <c r="D183" s="36" t="str">
        <f>IF($C183="","",_xlfn.XLOOKUP($C183,Order!$C:$C,Order!$D:$D,"",0,1))</f>
        <v/>
      </c>
      <c r="E183" s="4" t="str">
        <f>IF($C183="","",_xlfn.XLOOKUP($C183,Order!$C:$C,Order!$E:$E,"",0,1))</f>
        <v/>
      </c>
      <c r="F183" s="4" t="str">
        <f>IF($C183="","",_xlfn.XLOOKUP($C183,Order!$C:$C,Order!$F:$F,"",0,1))</f>
        <v/>
      </c>
      <c r="G183" s="4" t="str">
        <f>IF($C183="","",_xlfn.XLOOKUP($C183,Order!$C:$C,Order!$G:$G,"",0,1))</f>
        <v/>
      </c>
      <c r="H183" s="4" t="str">
        <f>IF($C183="","",_xlfn.XLOOKUP($C183,Order!$C:$C,Order!$H:$H,"",0,1))</f>
        <v/>
      </c>
      <c r="I183" s="36" t="str">
        <f>IF($C183="","",_xlfn.XLOOKUP($C183,Order!$C:$C,Order!$I:$I,"",0,1))</f>
        <v/>
      </c>
      <c r="J183" s="4" t="str">
        <f>IF(C183="","",Order!$I$16)</f>
        <v/>
      </c>
      <c r="K183" s="36" t="str">
        <f>IF($C183="","",_xlfn.XLOOKUP($C183,Order!$C:$C,Order!$P:$P,"",0,1))</f>
        <v/>
      </c>
      <c r="L183" s="4" t="str">
        <f t="shared" si="2"/>
        <v/>
      </c>
    </row>
    <row r="184" spans="2:12" ht="23.25" hidden="1" customHeight="1" x14ac:dyDescent="0.25">
      <c r="B184" s="4">
        <v>179</v>
      </c>
      <c r="C184" s="36" t="str">
        <f>IF(Order!$C$195="","",Order!$C$195)</f>
        <v>TGR2X1 (Rectangular tube 2"X1" with 0.90 mm thickness c/reforco)</v>
      </c>
      <c r="D184" s="36" t="str">
        <f>IF($C184="","",_xlfn.XLOOKUP($C184,Order!$C:$C,Order!$D:$D,"",0,1))</f>
        <v>TGR2X1</v>
      </c>
      <c r="E184" s="4" t="e" vm="379">
        <f>IF($C184="","",_xlfn.XLOOKUP($C184,Order!$C:$C,Order!$E:$E,"",0,1))</f>
        <v>#VALUE!</v>
      </c>
      <c r="F184" s="4">
        <f>IF($C184="","",_xlfn.XLOOKUP($C184,Order!$C:$C,Order!$F:$F,"",0,1))</f>
        <v>6000</v>
      </c>
      <c r="G184" s="4" t="str">
        <f>IF($C184="","",_xlfn.XLOOKUP($C184,Order!$C:$C,Order!$G:$G,"",0,1))</f>
        <v>6063T5</v>
      </c>
      <c r="H184" s="4">
        <f>IF($C184="","",_xlfn.XLOOKUP($C184,Order!$C:$C,Order!$H:$H,"",0,1))</f>
        <v>0.39500000000000002</v>
      </c>
      <c r="I184" s="36">
        <f>IF($C184="","",_xlfn.XLOOKUP($C184,Order!$C:$C,Order!$I:$I,"",0,1))</f>
        <v>0</v>
      </c>
      <c r="J184" s="4" t="str">
        <f>IF(C184="","",Order!$I$16)</f>
        <v>MILL FINISH</v>
      </c>
      <c r="K184" s="36">
        <f>IF($C184="","",_xlfn.XLOOKUP($C184,Order!$C:$C,Order!$P:$P,"",0,1))</f>
        <v>0</v>
      </c>
      <c r="L184" s="4">
        <f t="shared" si="2"/>
        <v>0</v>
      </c>
    </row>
    <row r="185" spans="2:12" ht="23.25" hidden="1" customHeight="1" x14ac:dyDescent="0.25">
      <c r="B185" s="4">
        <v>180</v>
      </c>
      <c r="C185" s="36" t="str">
        <f>IF(Order!$C$196="","",Order!$C$196)</f>
        <v>TGR3X1.1/2L (Rectangular tube 3"x1.1 /2" with 1.00 mm tickness c/reforço)</v>
      </c>
      <c r="D185" s="36" t="str">
        <f>IF($C185="","",_xlfn.XLOOKUP($C185,Order!$C:$C,Order!$D:$D,"",0,1))</f>
        <v>TGR3X1.1-2L</v>
      </c>
      <c r="E185" s="4" t="e" vm="380">
        <f>IF($C185="","",_xlfn.XLOOKUP($C185,Order!$C:$C,Order!$E:$E,"",0,1))</f>
        <v>#VALUE!</v>
      </c>
      <c r="F185" s="4">
        <f>IF($C185="","",_xlfn.XLOOKUP($C185,Order!$C:$C,Order!$F:$F,"",0,1))</f>
        <v>6000</v>
      </c>
      <c r="G185" s="4" t="str">
        <f>IF($C185="","",_xlfn.XLOOKUP($C185,Order!$C:$C,Order!$G:$G,"",0,1))</f>
        <v>6063T5</v>
      </c>
      <c r="H185" s="4">
        <f>IF($C185="","",_xlfn.XLOOKUP($C185,Order!$C:$C,Order!$H:$H,"",0,1))</f>
        <v>0.65200000000000002</v>
      </c>
      <c r="I185" s="36">
        <f>IF($C185="","",_xlfn.XLOOKUP($C185,Order!$C:$C,Order!$I:$I,"",0,1))</f>
        <v>0</v>
      </c>
      <c r="J185" s="4" t="str">
        <f>IF(C185="","",Order!$I$16)</f>
        <v>MILL FINISH</v>
      </c>
      <c r="K185" s="36">
        <f>IF($C185="","",_xlfn.XLOOKUP($C185,Order!$C:$C,Order!$P:$P,"",0,1))</f>
        <v>0</v>
      </c>
      <c r="L185" s="4">
        <f t="shared" si="2"/>
        <v>0</v>
      </c>
    </row>
    <row r="186" spans="2:12" ht="23.25" hidden="1" customHeight="1" x14ac:dyDescent="0.25">
      <c r="B186" s="4">
        <v>181</v>
      </c>
      <c r="C186" s="36" t="str">
        <f>IF(Order!$C$197="","",Order!$C$197)</f>
        <v>TGR3X1.1/2 (Rectangular tube 3"x1.1 /2" with 1.98 mm tickness c/reforço)</v>
      </c>
      <c r="D186" s="36" t="str">
        <f>IF($C186="","",_xlfn.XLOOKUP($C186,Order!$C:$C,Order!$D:$D,"",0,1))</f>
        <v>TGR3X1.1-2</v>
      </c>
      <c r="E186" s="4" t="e" vm="381">
        <f>IF($C186="","",_xlfn.XLOOKUP($C186,Order!$C:$C,Order!$E:$E,"",0,1))</f>
        <v>#VALUE!</v>
      </c>
      <c r="F186" s="4">
        <f>IF($C186="","",_xlfn.XLOOKUP($C186,Order!$C:$C,Order!$F:$F,"",0,1))</f>
        <v>6000</v>
      </c>
      <c r="G186" s="4" t="str">
        <f>IF($C186="","",_xlfn.XLOOKUP($C186,Order!$C:$C,Order!$G:$G,"",0,1))</f>
        <v>6063T5</v>
      </c>
      <c r="H186" s="4">
        <f>IF($C186="","",_xlfn.XLOOKUP($C186,Order!$C:$C,Order!$H:$H,"",0,1))</f>
        <v>0.94799999999999995</v>
      </c>
      <c r="I186" s="36">
        <f>IF($C186="","",_xlfn.XLOOKUP($C186,Order!$C:$C,Order!$I:$I,"",0,1))</f>
        <v>0</v>
      </c>
      <c r="J186" s="4" t="str">
        <f>IF(C186="","",Order!$I$16)</f>
        <v>MILL FINISH</v>
      </c>
      <c r="K186" s="36">
        <f>IF($C186="","",_xlfn.XLOOKUP($C186,Order!$C:$C,Order!$P:$P,"",0,1))</f>
        <v>0</v>
      </c>
      <c r="L186" s="4">
        <f t="shared" si="2"/>
        <v>0</v>
      </c>
    </row>
    <row r="187" spans="2:12" ht="23.25" hidden="1" customHeight="1" x14ac:dyDescent="0.25">
      <c r="B187" s="4">
        <v>182</v>
      </c>
      <c r="C187" s="36" t="str">
        <f>IF(Order!$C$198="","",Order!$C$198)</f>
        <v>TGR4X2 (Rectangular Tube 4" X 2" with 1.50 mm tickness c/reforço)</v>
      </c>
      <c r="D187" s="36" t="str">
        <f>IF($C187="","",_xlfn.XLOOKUP($C187,Order!$C:$C,Order!$D:$D,"",0,1))</f>
        <v>TGR4X2</v>
      </c>
      <c r="E187" s="4" t="e" vm="382">
        <f>IF($C187="","",_xlfn.XLOOKUP($C187,Order!$C:$C,Order!$E:$E,"",0,1))</f>
        <v>#VALUE!</v>
      </c>
      <c r="F187" s="4">
        <f>IF($C187="","",_xlfn.XLOOKUP($C187,Order!$C:$C,Order!$F:$F,"",0,1))</f>
        <v>6000</v>
      </c>
      <c r="G187" s="4" t="str">
        <f>IF($C187="","",_xlfn.XLOOKUP($C187,Order!$C:$C,Order!$G:$G,"",0,1))</f>
        <v>6063T5</v>
      </c>
      <c r="H187" s="4">
        <f>IF($C187="","",_xlfn.XLOOKUP($C187,Order!$C:$C,Order!$H:$H,"",0,1))</f>
        <v>1.268</v>
      </c>
      <c r="I187" s="36">
        <f>IF($C187="","",_xlfn.XLOOKUP($C187,Order!$C:$C,Order!$I:$I,"",0,1))</f>
        <v>0</v>
      </c>
      <c r="J187" s="4" t="str">
        <f>IF(C187="","",Order!$I$16)</f>
        <v>MILL FINISH</v>
      </c>
      <c r="K187" s="36">
        <f>IF($C187="","",_xlfn.XLOOKUP($C187,Order!$C:$C,Order!$P:$P,"",0,1))</f>
        <v>0</v>
      </c>
      <c r="L187" s="4">
        <f t="shared" si="2"/>
        <v>0</v>
      </c>
    </row>
    <row r="188" spans="2:12" ht="23.25" hidden="1" customHeight="1" x14ac:dyDescent="0.25">
      <c r="B188" s="4">
        <v>183</v>
      </c>
      <c r="C188" s="36" t="str">
        <f>IF(Order!$C$199="","",Order!$C$199)</f>
        <v>MT 0045 (Retangular Tube 3x1.1/2 com raia)</v>
      </c>
      <c r="D188" s="36" t="str">
        <f>IF($C188="","",_xlfn.XLOOKUP($C188,Order!$C:$C,Order!$D:$D,"",0,1))</f>
        <v>MT0045</v>
      </c>
      <c r="E188" s="4" t="e" vm="383">
        <f>IF($C188="","",_xlfn.XLOOKUP($C188,Order!$C:$C,Order!$E:$E,"",0,1))</f>
        <v>#VALUE!</v>
      </c>
      <c r="F188" s="4">
        <f>IF($C188="","",_xlfn.XLOOKUP($C188,Order!$C:$C,Order!$F:$F,"",0,1))</f>
        <v>6000</v>
      </c>
      <c r="G188" s="4" t="str">
        <f>IF($C188="","",_xlfn.XLOOKUP($C188,Order!$C:$C,Order!$G:$G,"",0,1))</f>
        <v>6063T5</v>
      </c>
      <c r="H188" s="4">
        <f>IF($C188="","",_xlfn.XLOOKUP($C188,Order!$C:$C,Order!$H:$H,"",0,1))</f>
        <v>0.66400000000000003</v>
      </c>
      <c r="I188" s="36">
        <f>IF($C188="","",_xlfn.XLOOKUP($C188,Order!$C:$C,Order!$I:$I,"",0,1))</f>
        <v>0</v>
      </c>
      <c r="J188" s="4" t="str">
        <f>IF(C188="","",Order!$I$16)</f>
        <v>MILL FINISH</v>
      </c>
      <c r="K188" s="36">
        <f>IF($C188="","",_xlfn.XLOOKUP($C188,Order!$C:$C,Order!$P:$P,"",0,1))</f>
        <v>0</v>
      </c>
      <c r="L188" s="4">
        <f t="shared" si="2"/>
        <v>0</v>
      </c>
    </row>
    <row r="189" spans="2:12" ht="23.25" hidden="1" customHeight="1" x14ac:dyDescent="0.25">
      <c r="B189" s="4">
        <v>184</v>
      </c>
      <c r="C189" s="36" t="str">
        <f>IF(Order!$C$200="","",Order!$C$200)</f>
        <v>MT0008</v>
      </c>
      <c r="D189" s="36" t="str">
        <f>IF($C189="","",_xlfn.XLOOKUP($C189,Order!$C:$C,Order!$D:$D,"",0,1))</f>
        <v>MT0008</v>
      </c>
      <c r="E189" s="4" t="e" vm="384">
        <f>IF($C189="","",_xlfn.XLOOKUP($C189,Order!$C:$C,Order!$E:$E,"",0,1))</f>
        <v>#VALUE!</v>
      </c>
      <c r="F189" s="4">
        <f>IF($C189="","",_xlfn.XLOOKUP($C189,Order!$C:$C,Order!$F:$F,"",0,1))</f>
        <v>6000</v>
      </c>
      <c r="G189" s="4" t="str">
        <f>IF($C189="","",_xlfn.XLOOKUP($C189,Order!$C:$C,Order!$G:$G,"",0,1))</f>
        <v>6063T5</v>
      </c>
      <c r="H189" s="4">
        <f>IF($C189="","",_xlfn.XLOOKUP($C189,Order!$C:$C,Order!$H:$H,"",0,1))</f>
        <v>0.44400000000000001</v>
      </c>
      <c r="I189" s="36">
        <f>IF($C189="","",_xlfn.XLOOKUP($C189,Order!$C:$C,Order!$I:$I,"",0,1))</f>
        <v>0</v>
      </c>
      <c r="J189" s="4" t="str">
        <f>IF(C189="","",Order!$I$16)</f>
        <v>MILL FINISH</v>
      </c>
      <c r="K189" s="36">
        <f>IF($C189="","",_xlfn.XLOOKUP($C189,Order!$C:$C,Order!$P:$P,"",0,1))</f>
        <v>0</v>
      </c>
      <c r="L189" s="4">
        <f t="shared" si="2"/>
        <v>0</v>
      </c>
    </row>
    <row r="190" spans="2:12" ht="23.25" hidden="1" customHeight="1" x14ac:dyDescent="0.25">
      <c r="B190" s="4">
        <v>185</v>
      </c>
      <c r="C190" s="36" t="str">
        <f>IF(Order!$C$201="","",Order!$C$201)</f>
        <v>MT0010</v>
      </c>
      <c r="D190" s="36" t="str">
        <f>IF($C190="","",_xlfn.XLOOKUP($C190,Order!$C:$C,Order!$D:$D,"",0,1))</f>
        <v>MT0010</v>
      </c>
      <c r="E190" s="4" t="e" vm="385">
        <f>IF($C190="","",_xlfn.XLOOKUP($C190,Order!$C:$C,Order!$E:$E,"",0,1))</f>
        <v>#VALUE!</v>
      </c>
      <c r="F190" s="4">
        <f>IF($C190="","",_xlfn.XLOOKUP($C190,Order!$C:$C,Order!$F:$F,"",0,1))</f>
        <v>6000</v>
      </c>
      <c r="G190" s="4" t="str">
        <f>IF($C190="","",_xlfn.XLOOKUP($C190,Order!$C:$C,Order!$G:$G,"",0,1))</f>
        <v>6063T5</v>
      </c>
      <c r="H190" s="4">
        <f>IF($C190="","",_xlfn.XLOOKUP($C190,Order!$C:$C,Order!$H:$H,"",0,1))</f>
        <v>0.49299999999999999</v>
      </c>
      <c r="I190" s="36">
        <f>IF($C190="","",_xlfn.XLOOKUP($C190,Order!$C:$C,Order!$I:$I,"",0,1))</f>
        <v>0</v>
      </c>
      <c r="J190" s="4" t="str">
        <f>IF(C190="","",Order!$I$16)</f>
        <v>MILL FINISH</v>
      </c>
      <c r="K190" s="36">
        <f>IF($C190="","",_xlfn.XLOOKUP($C190,Order!$C:$C,Order!$P:$P,"",0,1))</f>
        <v>0</v>
      </c>
      <c r="L190" s="4">
        <f t="shared" si="2"/>
        <v>0</v>
      </c>
    </row>
    <row r="191" spans="2:12" ht="23.25" hidden="1" customHeight="1" x14ac:dyDescent="0.25">
      <c r="B191" s="4">
        <v>186</v>
      </c>
      <c r="C191" s="36" t="str">
        <f>IF(Order!$C$202="","",Order!$C$202)</f>
        <v>CG072</v>
      </c>
      <c r="D191" s="36" t="str">
        <f>IF($C191="","",_xlfn.XLOOKUP($C191,Order!$C:$C,Order!$D:$D,"",0,1))</f>
        <v>CG072</v>
      </c>
      <c r="E191" s="4" t="e" vm="386">
        <f>IF($C191="","",_xlfn.XLOOKUP($C191,Order!$C:$C,Order!$E:$E,"",0,1))</f>
        <v>#VALUE!</v>
      </c>
      <c r="F191" s="4">
        <f>IF($C191="","",_xlfn.XLOOKUP($C191,Order!$C:$C,Order!$F:$F,"",0,1))</f>
        <v>6000</v>
      </c>
      <c r="G191" s="4" t="str">
        <f>IF($C191="","",_xlfn.XLOOKUP($C191,Order!$C:$C,Order!$G:$G,"",0,1))</f>
        <v>6063T5</v>
      </c>
      <c r="H191" s="4">
        <f>IF($C191="","",_xlfn.XLOOKUP($C191,Order!$C:$C,Order!$H:$H,"",0,1))</f>
        <v>0.96299999999999997</v>
      </c>
      <c r="I191" s="36">
        <f>IF($C191="","",_xlfn.XLOOKUP($C191,Order!$C:$C,Order!$I:$I,"",0,1))</f>
        <v>0</v>
      </c>
      <c r="J191" s="4" t="str">
        <f>IF(C191="","",Order!$I$16)</f>
        <v>MILL FINISH</v>
      </c>
      <c r="K191" s="36">
        <f>IF($C191="","",_xlfn.XLOOKUP($C191,Order!$C:$C,Order!$P:$P,"",0,1))</f>
        <v>0</v>
      </c>
      <c r="L191" s="4">
        <f t="shared" si="2"/>
        <v>0</v>
      </c>
    </row>
    <row r="192" spans="2:12" ht="23.25" hidden="1" customHeight="1" x14ac:dyDescent="0.25">
      <c r="B192" s="4">
        <v>187</v>
      </c>
      <c r="C192" s="36" t="str">
        <f>IF(Order!$C$203="","",Order!$C$203)</f>
        <v>MT0046</v>
      </c>
      <c r="D192" s="36" t="str">
        <f>IF($C192="","",_xlfn.XLOOKUP($C192,Order!$C:$C,Order!$D:$D,"",0,1))</f>
        <v>MT0046</v>
      </c>
      <c r="E192" s="4" t="e" vm="387">
        <f>IF($C192="","",_xlfn.XLOOKUP($C192,Order!$C:$C,Order!$E:$E,"",0,1))</f>
        <v>#VALUE!</v>
      </c>
      <c r="F192" s="4">
        <f>IF($C192="","",_xlfn.XLOOKUP($C192,Order!$C:$C,Order!$F:$F,"",0,1))</f>
        <v>6000</v>
      </c>
      <c r="G192" s="4" t="str">
        <f>IF($C192="","",_xlfn.XLOOKUP($C192,Order!$C:$C,Order!$G:$G,"",0,1))</f>
        <v>6063T5</v>
      </c>
      <c r="H192" s="4">
        <f>IF($C192="","",_xlfn.XLOOKUP($C192,Order!$C:$C,Order!$H:$H,"",0,1))</f>
        <v>1.2410000000000001</v>
      </c>
      <c r="I192" s="36">
        <f>IF($C192="","",_xlfn.XLOOKUP($C192,Order!$C:$C,Order!$I:$I,"",0,1))</f>
        <v>0</v>
      </c>
      <c r="J192" s="4" t="str">
        <f>IF(C192="","",Order!$I$16)</f>
        <v>MILL FINISH</v>
      </c>
      <c r="K192" s="36">
        <f>IF($C192="","",_xlfn.XLOOKUP($C192,Order!$C:$C,Order!$P:$P,"",0,1))</f>
        <v>0</v>
      </c>
      <c r="L192" s="4">
        <f t="shared" si="2"/>
        <v>0</v>
      </c>
    </row>
    <row r="193" spans="2:12" ht="23.25" hidden="1" customHeight="1" x14ac:dyDescent="0.25">
      <c r="B193" s="4">
        <v>188</v>
      </c>
      <c r="C193" s="36" t="str">
        <f>IF(Order!$C$204="","",Order!$C$204)</f>
        <v>MT0047</v>
      </c>
      <c r="D193" s="36" t="str">
        <f>IF($C193="","",_xlfn.XLOOKUP($C193,Order!$C:$C,Order!$D:$D,"",0,1))</f>
        <v>MT0047</v>
      </c>
      <c r="E193" s="4" t="e" vm="388">
        <f>IF($C193="","",_xlfn.XLOOKUP($C193,Order!$C:$C,Order!$E:$E,"",0,1))</f>
        <v>#VALUE!</v>
      </c>
      <c r="F193" s="4">
        <f>IF($C193="","",_xlfn.XLOOKUP($C193,Order!$C:$C,Order!$F:$F,"",0,1))</f>
        <v>6000</v>
      </c>
      <c r="G193" s="4" t="str">
        <f>IF($C193="","",_xlfn.XLOOKUP($C193,Order!$C:$C,Order!$G:$G,"",0,1))</f>
        <v>6063T5</v>
      </c>
      <c r="H193" s="4">
        <f>IF($C193="","",_xlfn.XLOOKUP($C193,Order!$C:$C,Order!$H:$H,"",0,1))</f>
        <v>0.23599999999999999</v>
      </c>
      <c r="I193" s="36">
        <f>IF($C193="","",_xlfn.XLOOKUP($C193,Order!$C:$C,Order!$I:$I,"",0,1))</f>
        <v>0</v>
      </c>
      <c r="J193" s="4" t="str">
        <f>IF(C193="","",Order!$I$16)</f>
        <v>MILL FINISH</v>
      </c>
      <c r="K193" s="36">
        <f>IF($C193="","",_xlfn.XLOOKUP($C193,Order!$C:$C,Order!$P:$P,"",0,1))</f>
        <v>0</v>
      </c>
      <c r="L193" s="4">
        <f t="shared" si="2"/>
        <v>0</v>
      </c>
    </row>
    <row r="194" spans="2:12" ht="23.25" hidden="1" customHeight="1" x14ac:dyDescent="0.25">
      <c r="B194" s="4">
        <v>189</v>
      </c>
      <c r="C194" s="36" t="str">
        <f>IF(Order!$C$205="","",Order!$C$205)</f>
        <v>MT0048</v>
      </c>
      <c r="D194" s="36" t="str">
        <f>IF($C194="","",_xlfn.XLOOKUP($C194,Order!$C:$C,Order!$D:$D,"",0,1))</f>
        <v>MT0048</v>
      </c>
      <c r="E194" s="4" t="e" vm="389">
        <f>IF($C194="","",_xlfn.XLOOKUP($C194,Order!$C:$C,Order!$E:$E,"",0,1))</f>
        <v>#VALUE!</v>
      </c>
      <c r="F194" s="4">
        <f>IF($C194="","",_xlfn.XLOOKUP($C194,Order!$C:$C,Order!$F:$F,"",0,1))</f>
        <v>6000</v>
      </c>
      <c r="G194" s="4" t="str">
        <f>IF($C194="","",_xlfn.XLOOKUP($C194,Order!$C:$C,Order!$G:$G,"",0,1))</f>
        <v>6063T5</v>
      </c>
      <c r="H194" s="4">
        <f>IF($C194="","",_xlfn.XLOOKUP($C194,Order!$C:$C,Order!$H:$H,"",0,1))</f>
        <v>0.79300000000000004</v>
      </c>
      <c r="I194" s="36">
        <f>IF($C194="","",_xlfn.XLOOKUP($C194,Order!$C:$C,Order!$I:$I,"",0,1))</f>
        <v>0</v>
      </c>
      <c r="J194" s="4" t="str">
        <f>IF(C194="","",Order!$I$16)</f>
        <v>MILL FINISH</v>
      </c>
      <c r="K194" s="36">
        <f>IF($C194="","",_xlfn.XLOOKUP($C194,Order!$C:$C,Order!$P:$P,"",0,1))</f>
        <v>0</v>
      </c>
      <c r="L194" s="4">
        <f t="shared" si="2"/>
        <v>0</v>
      </c>
    </row>
    <row r="195" spans="2:12" ht="23.25" hidden="1" customHeight="1" x14ac:dyDescent="0.25">
      <c r="B195" s="4">
        <v>190</v>
      </c>
      <c r="C195" s="36" t="str">
        <f>IF(Order!$C$206="","",Order!$C$206)</f>
        <v>CG075 (MT0049)</v>
      </c>
      <c r="D195" s="36" t="str">
        <f>IF($C195="","",_xlfn.XLOOKUP($C195,Order!$C:$C,Order!$D:$D,"",0,1))</f>
        <v>MT0049</v>
      </c>
      <c r="E195" s="4" t="e" vm="390">
        <f>IF($C195="","",_xlfn.XLOOKUP($C195,Order!$C:$C,Order!$E:$E,"",0,1))</f>
        <v>#VALUE!</v>
      </c>
      <c r="F195" s="4">
        <f>IF($C195="","",_xlfn.XLOOKUP($C195,Order!$C:$C,Order!$F:$F,"",0,1))</f>
        <v>6000</v>
      </c>
      <c r="G195" s="4" t="str">
        <f>IF($C195="","",_xlfn.XLOOKUP($C195,Order!$C:$C,Order!$G:$G,"",0,1))</f>
        <v>6063T5</v>
      </c>
      <c r="H195" s="4">
        <f>IF($C195="","",_xlfn.XLOOKUP($C195,Order!$C:$C,Order!$H:$H,"",0,1))</f>
        <v>0.46300000000000002</v>
      </c>
      <c r="I195" s="36">
        <f>IF($C195="","",_xlfn.XLOOKUP($C195,Order!$C:$C,Order!$I:$I,"",0,1))</f>
        <v>0</v>
      </c>
      <c r="J195" s="4" t="str">
        <f>IF(C195="","",Order!$I$16)</f>
        <v>MILL FINISH</v>
      </c>
      <c r="K195" s="36">
        <f>IF($C195="","",_xlfn.XLOOKUP($C195,Order!$C:$C,Order!$P:$P,"",0,1))</f>
        <v>0</v>
      </c>
      <c r="L195" s="4">
        <f t="shared" si="2"/>
        <v>0</v>
      </c>
    </row>
    <row r="196" spans="2:12" ht="23.25" hidden="1" customHeight="1" x14ac:dyDescent="0.25">
      <c r="B196" s="4">
        <v>191</v>
      </c>
      <c r="C196" s="36" t="str">
        <f>IF(Order!$C$207="","",Order!$C$207)</f>
        <v>CG2535</v>
      </c>
      <c r="D196" s="36" t="str">
        <f>IF($C196="","",_xlfn.XLOOKUP($C196,Order!$C:$C,Order!$D:$D,"",0,1))</f>
        <v>CG2535</v>
      </c>
      <c r="E196" s="4" t="e" vm="391">
        <f>IF($C196="","",_xlfn.XLOOKUP($C196,Order!$C:$C,Order!$E:$E,"",0,1))</f>
        <v>#VALUE!</v>
      </c>
      <c r="F196" s="4">
        <f>IF($C196="","",_xlfn.XLOOKUP($C196,Order!$C:$C,Order!$F:$F,"",0,1))</f>
        <v>6000</v>
      </c>
      <c r="G196" s="4" t="str">
        <f>IF($C196="","",_xlfn.XLOOKUP($C196,Order!$C:$C,Order!$G:$G,"",0,1))</f>
        <v>6063T5</v>
      </c>
      <c r="H196" s="4">
        <f>IF($C196="","",_xlfn.XLOOKUP($C196,Order!$C:$C,Order!$H:$H,"",0,1))</f>
        <v>0.39400000000000002</v>
      </c>
      <c r="I196" s="36">
        <f>IF($C196="","",_xlfn.XLOOKUP($C196,Order!$C:$C,Order!$I:$I,"",0,1))</f>
        <v>0</v>
      </c>
      <c r="J196" s="4" t="str">
        <f>IF(C196="","",Order!$I$16)</f>
        <v>MILL FINISH</v>
      </c>
      <c r="K196" s="36">
        <f>IF($C196="","",_xlfn.XLOOKUP($C196,Order!$C:$C,Order!$P:$P,"",0,1))</f>
        <v>0</v>
      </c>
      <c r="L196" s="4">
        <f t="shared" si="2"/>
        <v>0</v>
      </c>
    </row>
    <row r="197" spans="2:12" ht="23.25" hidden="1" customHeight="1" x14ac:dyDescent="0.25">
      <c r="B197" s="4">
        <v>192</v>
      </c>
      <c r="C197" s="36" t="str">
        <f>IF(Order!$C$208="","",Order!$C$208)</f>
        <v>BX706</v>
      </c>
      <c r="D197" s="36" t="str">
        <f>IF($C197="","",_xlfn.XLOOKUP($C197,Order!$C:$C,Order!$D:$D,"",0,1))</f>
        <v>BX706</v>
      </c>
      <c r="E197" s="4" t="e" vm="392">
        <f>IF($C197="","",_xlfn.XLOOKUP($C197,Order!$C:$C,Order!$E:$E,"",0,1))</f>
        <v>#VALUE!</v>
      </c>
      <c r="F197" s="4">
        <f>IF($C197="","",_xlfn.XLOOKUP($C197,Order!$C:$C,Order!$F:$F,"",0,1))</f>
        <v>6000</v>
      </c>
      <c r="G197" s="4" t="str">
        <f>IF($C197="","",_xlfn.XLOOKUP($C197,Order!$C:$C,Order!$G:$G,"",0,1))</f>
        <v>6063T5</v>
      </c>
      <c r="H197" s="4">
        <f>IF($C197="","",_xlfn.XLOOKUP($C197,Order!$C:$C,Order!$H:$H,"",0,1))</f>
        <v>0.84799999999999998</v>
      </c>
      <c r="I197" s="36">
        <f>IF($C197="","",_xlfn.XLOOKUP($C197,Order!$C:$C,Order!$I:$I,"",0,1))</f>
        <v>0</v>
      </c>
      <c r="J197" s="4" t="str">
        <f>IF(C197="","",Order!$I$16)</f>
        <v>MILL FINISH</v>
      </c>
      <c r="K197" s="36">
        <f>IF($C197="","",_xlfn.XLOOKUP($C197,Order!$C:$C,Order!$P:$P,"",0,1))</f>
        <v>0</v>
      </c>
      <c r="L197" s="4">
        <f t="shared" si="2"/>
        <v>0</v>
      </c>
    </row>
    <row r="198" spans="2:12" ht="23.25" hidden="1" customHeight="1" x14ac:dyDescent="0.25">
      <c r="B198" s="4">
        <v>193</v>
      </c>
      <c r="C198" s="36" t="str">
        <f>IF(Order!$C$209="","",Order!$C$209)</f>
        <v>GR001</v>
      </c>
      <c r="D198" s="36" t="str">
        <f>IF($C198="","",_xlfn.XLOOKUP($C198,Order!$C:$C,Order!$D:$D,"",0,1))</f>
        <v>GR001</v>
      </c>
      <c r="E198" s="4" t="e" vm="393">
        <f>IF($C198="","",_xlfn.XLOOKUP($C198,Order!$C:$C,Order!$E:$E,"",0,1))</f>
        <v>#VALUE!</v>
      </c>
      <c r="F198" s="4">
        <f>IF($C198="","",_xlfn.XLOOKUP($C198,Order!$C:$C,Order!$F:$F,"",0,1))</f>
        <v>6000</v>
      </c>
      <c r="G198" s="4" t="str">
        <f>IF($C198="","",_xlfn.XLOOKUP($C198,Order!$C:$C,Order!$G:$G,"",0,1))</f>
        <v>6063T5</v>
      </c>
      <c r="H198" s="4">
        <f>IF($C198="","",_xlfn.XLOOKUP($C198,Order!$C:$C,Order!$H:$H,"",0,1))</f>
        <v>1.0089999999999999</v>
      </c>
      <c r="I198" s="36">
        <f>IF($C198="","",_xlfn.XLOOKUP($C198,Order!$C:$C,Order!$I:$I,"",0,1))</f>
        <v>0</v>
      </c>
      <c r="J198" s="4" t="str">
        <f>IF(C198="","",Order!$I$16)</f>
        <v>MILL FINISH</v>
      </c>
      <c r="K198" s="36">
        <f>IF($C198="","",_xlfn.XLOOKUP($C198,Order!$C:$C,Order!$P:$P,"",0,1))</f>
        <v>0</v>
      </c>
      <c r="L198" s="4">
        <f t="shared" si="2"/>
        <v>0</v>
      </c>
    </row>
    <row r="199" spans="2:12" ht="23.25" hidden="1" customHeight="1" x14ac:dyDescent="0.25">
      <c r="B199" s="4">
        <v>194</v>
      </c>
      <c r="C199" s="36" t="str">
        <f>IF(Order!$C$210="","",Order!$C$210)</f>
        <v>GR002</v>
      </c>
      <c r="D199" s="36" t="str">
        <f>IF($C199="","",_xlfn.XLOOKUP($C199,Order!$C:$C,Order!$D:$D,"",0,1))</f>
        <v>GR002</v>
      </c>
      <c r="E199" s="4" t="e" vm="394">
        <f>IF($C199="","",_xlfn.XLOOKUP($C199,Order!$C:$C,Order!$E:$E,"",0,1))</f>
        <v>#VALUE!</v>
      </c>
      <c r="F199" s="4">
        <f>IF($C199="","",_xlfn.XLOOKUP($C199,Order!$C:$C,Order!$F:$F,"",0,1))</f>
        <v>6000</v>
      </c>
      <c r="G199" s="4" t="str">
        <f>IF($C199="","",_xlfn.XLOOKUP($C199,Order!$C:$C,Order!$G:$G,"",0,1))</f>
        <v>6063T5</v>
      </c>
      <c r="H199" s="4">
        <f>IF($C199="","",_xlfn.XLOOKUP($C199,Order!$C:$C,Order!$H:$H,"",0,1))</f>
        <v>0.95599999999999996</v>
      </c>
      <c r="I199" s="36">
        <f>IF($C199="","",_xlfn.XLOOKUP($C199,Order!$C:$C,Order!$I:$I,"",0,1))</f>
        <v>0</v>
      </c>
      <c r="J199" s="4" t="str">
        <f>IF(C199="","",Order!$I$16)</f>
        <v>MILL FINISH</v>
      </c>
      <c r="K199" s="36">
        <f>IF($C199="","",_xlfn.XLOOKUP($C199,Order!$C:$C,Order!$P:$P,"",0,1))</f>
        <v>0</v>
      </c>
      <c r="L199" s="4">
        <f t="shared" ref="L199:L262" si="3">IF(C199="","",F199/1000*H199*I199)</f>
        <v>0</v>
      </c>
    </row>
    <row r="200" spans="2:12" ht="23.25" hidden="1" customHeight="1" x14ac:dyDescent="0.25">
      <c r="B200" s="4">
        <v>195</v>
      </c>
      <c r="C200" s="36" t="str">
        <f>IF(Order!$C$211="","",Order!$C$211)</f>
        <v>BX062</v>
      </c>
      <c r="D200" s="36" t="str">
        <f>IF($C200="","",_xlfn.XLOOKUP($C200,Order!$C:$C,Order!$D:$D,"",0,1))</f>
        <v>BX062</v>
      </c>
      <c r="E200" s="4" t="e" vm="395">
        <f>IF($C200="","",_xlfn.XLOOKUP($C200,Order!$C:$C,Order!$E:$E,"",0,1))</f>
        <v>#VALUE!</v>
      </c>
      <c r="F200" s="4">
        <f>IF($C200="","",_xlfn.XLOOKUP($C200,Order!$C:$C,Order!$F:$F,"",0,1))</f>
        <v>6000</v>
      </c>
      <c r="G200" s="4" t="str">
        <f>IF($C200="","",_xlfn.XLOOKUP($C200,Order!$C:$C,Order!$G:$G,"",0,1))</f>
        <v>6063T5</v>
      </c>
      <c r="H200" s="4">
        <f>IF($C200="","",_xlfn.XLOOKUP($C200,Order!$C:$C,Order!$H:$H,"",0,1))</f>
        <v>0.23599999999999999</v>
      </c>
      <c r="I200" s="36">
        <f>IF($C200="","",_xlfn.XLOOKUP($C200,Order!$C:$C,Order!$I:$I,"",0,1))</f>
        <v>0</v>
      </c>
      <c r="J200" s="4" t="str">
        <f>IF(C200="","",Order!$I$16)</f>
        <v>MILL FINISH</v>
      </c>
      <c r="K200" s="36">
        <f>IF($C200="","",_xlfn.XLOOKUP($C200,Order!$C:$C,Order!$P:$P,"",0,1))</f>
        <v>0</v>
      </c>
      <c r="L200" s="4">
        <f t="shared" si="3"/>
        <v>0</v>
      </c>
    </row>
    <row r="201" spans="2:12" ht="23.25" hidden="1" customHeight="1" x14ac:dyDescent="0.25">
      <c r="B201" s="4">
        <v>196</v>
      </c>
      <c r="C201" s="36" t="str">
        <f>IF(Order!$C$212="","",Order!$C$212)</f>
        <v>BX101</v>
      </c>
      <c r="D201" s="36" t="str">
        <f>IF($C201="","",_xlfn.XLOOKUP($C201,Order!$C:$C,Order!$D:$D,"",0,1))</f>
        <v>BX101</v>
      </c>
      <c r="E201" s="4" t="e" vm="396">
        <f>IF($C201="","",_xlfn.XLOOKUP($C201,Order!$C:$C,Order!$E:$E,"",0,1))</f>
        <v>#VALUE!</v>
      </c>
      <c r="F201" s="4">
        <f>IF($C201="","",_xlfn.XLOOKUP($C201,Order!$C:$C,Order!$F:$F,"",0,1))</f>
        <v>6000</v>
      </c>
      <c r="G201" s="4" t="str">
        <f>IF($C201="","",_xlfn.XLOOKUP($C201,Order!$C:$C,Order!$G:$G,"",0,1))</f>
        <v>6063T5</v>
      </c>
      <c r="H201" s="4">
        <f>IF($C201="","",_xlfn.XLOOKUP($C201,Order!$C:$C,Order!$H:$H,"",0,1))</f>
        <v>0.42599999999999999</v>
      </c>
      <c r="I201" s="36">
        <f>IF($C201="","",_xlfn.XLOOKUP($C201,Order!$C:$C,Order!$I:$I,"",0,1))</f>
        <v>0</v>
      </c>
      <c r="J201" s="4" t="str">
        <f>IF(C201="","",Order!$I$16)</f>
        <v>MILL FINISH</v>
      </c>
      <c r="K201" s="36">
        <f>IF($C201="","",_xlfn.XLOOKUP($C201,Order!$C:$C,Order!$P:$P,"",0,1))</f>
        <v>0</v>
      </c>
      <c r="L201" s="4">
        <f t="shared" si="3"/>
        <v>0</v>
      </c>
    </row>
    <row r="202" spans="2:12" ht="23.25" hidden="1" customHeight="1" x14ac:dyDescent="0.25">
      <c r="B202" s="4">
        <v>197</v>
      </c>
      <c r="C202" s="36" t="str">
        <f>IF(Order!$C$213="","",Order!$C$213)</f>
        <v>BX060</v>
      </c>
      <c r="D202" s="36" t="str">
        <f>IF($C202="","",_xlfn.XLOOKUP($C202,Order!$C:$C,Order!$D:$D,"",0,1))</f>
        <v>BX060</v>
      </c>
      <c r="E202" s="4" t="e" vm="397">
        <f>IF($C202="","",_xlfn.XLOOKUP($C202,Order!$C:$C,Order!$E:$E,"",0,1))</f>
        <v>#VALUE!</v>
      </c>
      <c r="F202" s="4">
        <f>IF($C202="","",_xlfn.XLOOKUP($C202,Order!$C:$C,Order!$F:$F,"",0,1))</f>
        <v>6000</v>
      </c>
      <c r="G202" s="4" t="str">
        <f>IF($C202="","",_xlfn.XLOOKUP($C202,Order!$C:$C,Order!$G:$G,"",0,1))</f>
        <v>6063T5</v>
      </c>
      <c r="H202" s="4">
        <f>IF($C202="","",_xlfn.XLOOKUP($C202,Order!$C:$C,Order!$H:$H,"",0,1))</f>
        <v>0.17499999999999999</v>
      </c>
      <c r="I202" s="36">
        <f>IF($C202="","",_xlfn.XLOOKUP($C202,Order!$C:$C,Order!$I:$I,"",0,1))</f>
        <v>0</v>
      </c>
      <c r="J202" s="4" t="str">
        <f>IF(C202="","",Order!$I$16)</f>
        <v>MILL FINISH</v>
      </c>
      <c r="K202" s="36">
        <f>IF($C202="","",_xlfn.XLOOKUP($C202,Order!$C:$C,Order!$P:$P,"",0,1))</f>
        <v>0</v>
      </c>
      <c r="L202" s="4">
        <f t="shared" si="3"/>
        <v>0</v>
      </c>
    </row>
    <row r="203" spans="2:12" ht="23.25" hidden="1" customHeight="1" x14ac:dyDescent="0.25">
      <c r="B203" s="4">
        <v>198</v>
      </c>
      <c r="C203" s="36" t="str">
        <f>IF(Order!$C$214="","",Order!$C$214)</f>
        <v>BX061</v>
      </c>
      <c r="D203" s="36" t="str">
        <f>IF($C203="","",_xlfn.XLOOKUP($C203,Order!$C:$C,Order!$D:$D,"",0,1))</f>
        <v>BX061</v>
      </c>
      <c r="E203" s="4" t="e" vm="398">
        <f>IF($C203="","",_xlfn.XLOOKUP($C203,Order!$C:$C,Order!$E:$E,"",0,1))</f>
        <v>#VALUE!</v>
      </c>
      <c r="F203" s="4">
        <f>IF($C203="","",_xlfn.XLOOKUP($C203,Order!$C:$C,Order!$F:$F,"",0,1))</f>
        <v>6000</v>
      </c>
      <c r="G203" s="4" t="str">
        <f>IF($C203="","",_xlfn.XLOOKUP($C203,Order!$C:$C,Order!$G:$G,"",0,1))</f>
        <v>6063T5</v>
      </c>
      <c r="H203" s="4">
        <f>IF($C203="","",_xlfn.XLOOKUP($C203,Order!$C:$C,Order!$H:$H,"",0,1))</f>
        <v>0.161</v>
      </c>
      <c r="I203" s="36">
        <f>IF($C203="","",_xlfn.XLOOKUP($C203,Order!$C:$C,Order!$I:$I,"",0,1))</f>
        <v>0</v>
      </c>
      <c r="J203" s="4" t="str">
        <f>IF(C203="","",Order!$I$16)</f>
        <v>MILL FINISH</v>
      </c>
      <c r="K203" s="36">
        <f>IF($C203="","",_xlfn.XLOOKUP($C203,Order!$C:$C,Order!$P:$P,"",0,1))</f>
        <v>0</v>
      </c>
      <c r="L203" s="4">
        <f t="shared" si="3"/>
        <v>0</v>
      </c>
    </row>
    <row r="204" spans="2:12" ht="23.25" hidden="1" customHeight="1" x14ac:dyDescent="0.25">
      <c r="B204" s="4">
        <v>199</v>
      </c>
      <c r="C204" s="36" t="str">
        <f>IF(Order!$C$215="","",Order!$C$215)</f>
        <v>BX063</v>
      </c>
      <c r="D204" s="36" t="str">
        <f>IF($C204="","",_xlfn.XLOOKUP($C204,Order!$C:$C,Order!$D:$D,"",0,1))</f>
        <v>BX063</v>
      </c>
      <c r="E204" s="4" t="e" vm="399">
        <f>IF($C204="","",_xlfn.XLOOKUP($C204,Order!$C:$C,Order!$E:$E,"",0,1))</f>
        <v>#VALUE!</v>
      </c>
      <c r="F204" s="4">
        <f>IF($C204="","",_xlfn.XLOOKUP($C204,Order!$C:$C,Order!$F:$F,"",0,1))</f>
        <v>6000</v>
      </c>
      <c r="G204" s="4" t="str">
        <f>IF($C204="","",_xlfn.XLOOKUP($C204,Order!$C:$C,Order!$G:$G,"",0,1))</f>
        <v>6063T5</v>
      </c>
      <c r="H204" s="4">
        <f>IF($C204="","",_xlfn.XLOOKUP($C204,Order!$C:$C,Order!$H:$H,"",0,1))</f>
        <v>0.20699999999999999</v>
      </c>
      <c r="I204" s="36">
        <f>IF($C204="","",_xlfn.XLOOKUP($C204,Order!$C:$C,Order!$I:$I,"",0,1))</f>
        <v>0</v>
      </c>
      <c r="J204" s="4" t="str">
        <f>IF(C204="","",Order!$I$16)</f>
        <v>MILL FINISH</v>
      </c>
      <c r="K204" s="36">
        <f>IF($C204="","",_xlfn.XLOOKUP($C204,Order!$C:$C,Order!$P:$P,"",0,1))</f>
        <v>0</v>
      </c>
      <c r="L204" s="4">
        <f t="shared" si="3"/>
        <v>0</v>
      </c>
    </row>
    <row r="205" spans="2:12" ht="23.25" hidden="1" customHeight="1" x14ac:dyDescent="0.25">
      <c r="B205" s="4">
        <v>200</v>
      </c>
      <c r="C205" s="36" t="str">
        <f>IF(Order!$C$216="","",Order!$C$216)</f>
        <v>BX116</v>
      </c>
      <c r="D205" s="36" t="str">
        <f>IF($C205="","",_xlfn.XLOOKUP($C205,Order!$C:$C,Order!$D:$D,"",0,1))</f>
        <v>BX116</v>
      </c>
      <c r="E205" s="4" t="e" vm="400">
        <f>IF($C205="","",_xlfn.XLOOKUP($C205,Order!$C:$C,Order!$E:$E,"",0,1))</f>
        <v>#VALUE!</v>
      </c>
      <c r="F205" s="4">
        <f>IF($C205="","",_xlfn.XLOOKUP($C205,Order!$C:$C,Order!$F:$F,"",0,1))</f>
        <v>6000</v>
      </c>
      <c r="G205" s="4" t="str">
        <f>IF($C205="","",_xlfn.XLOOKUP($C205,Order!$C:$C,Order!$G:$G,"",0,1))</f>
        <v>6063T5</v>
      </c>
      <c r="H205" s="4">
        <f>IF($C205="","",_xlfn.XLOOKUP($C205,Order!$C:$C,Order!$H:$H,"",0,1))</f>
        <v>0.26400000000000001</v>
      </c>
      <c r="I205" s="36">
        <f>IF($C205="","",_xlfn.XLOOKUP($C205,Order!$C:$C,Order!$I:$I,"",0,1))</f>
        <v>0</v>
      </c>
      <c r="J205" s="4" t="str">
        <f>IF(C205="","",Order!$I$16)</f>
        <v>MILL FINISH</v>
      </c>
      <c r="K205" s="36">
        <f>IF($C205="","",_xlfn.XLOOKUP($C205,Order!$C:$C,Order!$P:$P,"",0,1))</f>
        <v>0</v>
      </c>
      <c r="L205" s="4">
        <f t="shared" si="3"/>
        <v>0</v>
      </c>
    </row>
    <row r="206" spans="2:12" ht="23.25" hidden="1" customHeight="1" x14ac:dyDescent="0.25">
      <c r="B206" s="4">
        <v>201</v>
      </c>
      <c r="C206" s="36" t="str">
        <f>IF(Order!$C$217="","",Order!$C$217)</f>
        <v>BX156</v>
      </c>
      <c r="D206" s="36" t="str">
        <f>IF($C206="","",_xlfn.XLOOKUP($C206,Order!$C:$C,Order!$D:$D,"",0,1))</f>
        <v>BX156</v>
      </c>
      <c r="E206" s="4" t="e" vm="401">
        <f>IF($C206="","",_xlfn.XLOOKUP($C206,Order!$C:$C,Order!$E:$E,"",0,1))</f>
        <v>#VALUE!</v>
      </c>
      <c r="F206" s="4">
        <f>IF($C206="","",_xlfn.XLOOKUP($C206,Order!$C:$C,Order!$F:$F,"",0,1))</f>
        <v>6000</v>
      </c>
      <c r="G206" s="4" t="str">
        <f>IF($C206="","",_xlfn.XLOOKUP($C206,Order!$C:$C,Order!$G:$G,"",0,1))</f>
        <v>6063T5</v>
      </c>
      <c r="H206" s="4">
        <f>IF($C206="","",_xlfn.XLOOKUP($C206,Order!$C:$C,Order!$H:$H,"",0,1))</f>
        <v>0.2</v>
      </c>
      <c r="I206" s="36">
        <f>IF($C206="","",_xlfn.XLOOKUP($C206,Order!$C:$C,Order!$I:$I,"",0,1))</f>
        <v>0</v>
      </c>
      <c r="J206" s="4" t="str">
        <f>IF(C206="","",Order!$I$16)</f>
        <v>MILL FINISH</v>
      </c>
      <c r="K206" s="36">
        <f>IF($C206="","",_xlfn.XLOOKUP($C206,Order!$C:$C,Order!$P:$P,"",0,1))</f>
        <v>0</v>
      </c>
      <c r="L206" s="4">
        <f t="shared" si="3"/>
        <v>0</v>
      </c>
    </row>
    <row r="207" spans="2:12" ht="23.25" hidden="1" customHeight="1" x14ac:dyDescent="0.25">
      <c r="B207" s="4">
        <v>202</v>
      </c>
      <c r="C207" s="36" t="str">
        <f>IF(Order!$C$218="","",Order!$C$218)</f>
        <v>BX157</v>
      </c>
      <c r="D207" s="36" t="str">
        <f>IF($C207="","",_xlfn.XLOOKUP($C207,Order!$C:$C,Order!$D:$D,"",0,1))</f>
        <v>BX157</v>
      </c>
      <c r="E207" s="4" t="e" vm="402">
        <f>IF($C207="","",_xlfn.XLOOKUP($C207,Order!$C:$C,Order!$E:$E,"",0,1))</f>
        <v>#VALUE!</v>
      </c>
      <c r="F207" s="4">
        <f>IF($C207="","",_xlfn.XLOOKUP($C207,Order!$C:$C,Order!$F:$F,"",0,1))</f>
        <v>6000</v>
      </c>
      <c r="G207" s="4" t="str">
        <f>IF($C207="","",_xlfn.XLOOKUP($C207,Order!$C:$C,Order!$G:$G,"",0,1))</f>
        <v>6063T5</v>
      </c>
      <c r="H207" s="4">
        <f>IF($C207="","",_xlfn.XLOOKUP($C207,Order!$C:$C,Order!$H:$H,"",0,1))</f>
        <v>0.50800000000000001</v>
      </c>
      <c r="I207" s="36">
        <f>IF($C207="","",_xlfn.XLOOKUP($C207,Order!$C:$C,Order!$I:$I,"",0,1))</f>
        <v>0</v>
      </c>
      <c r="J207" s="4" t="str">
        <f>IF(C207="","",Order!$I$16)</f>
        <v>MILL FINISH</v>
      </c>
      <c r="K207" s="36">
        <f>IF($C207="","",_xlfn.XLOOKUP($C207,Order!$C:$C,Order!$P:$P,"",0,1))</f>
        <v>0</v>
      </c>
      <c r="L207" s="4">
        <f t="shared" si="3"/>
        <v>0</v>
      </c>
    </row>
    <row r="208" spans="2:12" ht="23.25" hidden="1" customHeight="1" x14ac:dyDescent="0.25">
      <c r="B208" s="4">
        <v>203</v>
      </c>
      <c r="C208" s="36" t="str">
        <f>IF(Order!$C$219="","",Order!$C$219)</f>
        <v>BX158</v>
      </c>
      <c r="D208" s="36" t="str">
        <f>IF($C208="","",_xlfn.XLOOKUP($C208,Order!$C:$C,Order!$D:$D,"",0,1))</f>
        <v>BX158</v>
      </c>
      <c r="E208" s="4" t="e" vm="403">
        <f>IF($C208="","",_xlfn.XLOOKUP($C208,Order!$C:$C,Order!$E:$E,"",0,1))</f>
        <v>#VALUE!</v>
      </c>
      <c r="F208" s="4">
        <f>IF($C208="","",_xlfn.XLOOKUP($C208,Order!$C:$C,Order!$F:$F,"",0,1))</f>
        <v>6000</v>
      </c>
      <c r="G208" s="4" t="str">
        <f>IF($C208="","",_xlfn.XLOOKUP($C208,Order!$C:$C,Order!$G:$G,"",0,1))</f>
        <v>6063T5</v>
      </c>
      <c r="H208" s="4">
        <f>IF($C208="","",_xlfn.XLOOKUP($C208,Order!$C:$C,Order!$H:$H,"",0,1))</f>
        <v>0.188</v>
      </c>
      <c r="I208" s="36">
        <f>IF($C208="","",_xlfn.XLOOKUP($C208,Order!$C:$C,Order!$I:$I,"",0,1))</f>
        <v>0</v>
      </c>
      <c r="J208" s="4" t="str">
        <f>IF(C208="","",Order!$I$16)</f>
        <v>MILL FINISH</v>
      </c>
      <c r="K208" s="36">
        <f>IF($C208="","",_xlfn.XLOOKUP($C208,Order!$C:$C,Order!$P:$P,"",0,1))</f>
        <v>0</v>
      </c>
      <c r="L208" s="4">
        <f t="shared" si="3"/>
        <v>0</v>
      </c>
    </row>
    <row r="209" spans="2:12" ht="23.25" hidden="1" customHeight="1" x14ac:dyDescent="0.25">
      <c r="B209" s="4">
        <v>204</v>
      </c>
      <c r="C209" s="36" t="str">
        <f>IF(Order!$C$220="","",Order!$C$220)</f>
        <v>BX159</v>
      </c>
      <c r="D209" s="36" t="str">
        <f>IF($C209="","",_xlfn.XLOOKUP($C209,Order!$C:$C,Order!$D:$D,"",0,1))</f>
        <v>BX159</v>
      </c>
      <c r="E209" s="4" t="e" vm="404">
        <f>IF($C209="","",_xlfn.XLOOKUP($C209,Order!$C:$C,Order!$E:$E,"",0,1))</f>
        <v>#VALUE!</v>
      </c>
      <c r="F209" s="4">
        <f>IF($C209="","",_xlfn.XLOOKUP($C209,Order!$C:$C,Order!$F:$F,"",0,1))</f>
        <v>6000</v>
      </c>
      <c r="G209" s="4" t="str">
        <f>IF($C209="","",_xlfn.XLOOKUP($C209,Order!$C:$C,Order!$G:$G,"",0,1))</f>
        <v>6063T5</v>
      </c>
      <c r="H209" s="4">
        <f>IF($C209="","",_xlfn.XLOOKUP($C209,Order!$C:$C,Order!$H:$H,"",0,1))</f>
        <v>0.19700000000000001</v>
      </c>
      <c r="I209" s="36">
        <f>IF($C209="","",_xlfn.XLOOKUP($C209,Order!$C:$C,Order!$I:$I,"",0,1))</f>
        <v>0</v>
      </c>
      <c r="J209" s="4" t="str">
        <f>IF(C209="","",Order!$I$16)</f>
        <v>MILL FINISH</v>
      </c>
      <c r="K209" s="36">
        <f>IF($C209="","",_xlfn.XLOOKUP($C209,Order!$C:$C,Order!$P:$P,"",0,1))</f>
        <v>0</v>
      </c>
      <c r="L209" s="4">
        <f t="shared" si="3"/>
        <v>0</v>
      </c>
    </row>
    <row r="210" spans="2:12" ht="23.25" hidden="1" customHeight="1" x14ac:dyDescent="0.25">
      <c r="B210" s="4">
        <v>205</v>
      </c>
      <c r="C210" s="36" t="str">
        <f>IF(Order!$C$221="","",Order!$C$221)</f>
        <v>BX092</v>
      </c>
      <c r="D210" s="36" t="str">
        <f>IF($C210="","",_xlfn.XLOOKUP($C210,Order!$C:$C,Order!$D:$D,"",0,1))</f>
        <v>BX092</v>
      </c>
      <c r="E210" s="4" t="e" vm="405">
        <f>IF($C210="","",_xlfn.XLOOKUP($C210,Order!$C:$C,Order!$E:$E,"",0,1))</f>
        <v>#VALUE!</v>
      </c>
      <c r="F210" s="4">
        <f>IF($C210="","",_xlfn.XLOOKUP($C210,Order!$C:$C,Order!$F:$F,"",0,1))</f>
        <v>6000</v>
      </c>
      <c r="G210" s="4" t="str">
        <f>IF($C210="","",_xlfn.XLOOKUP($C210,Order!$C:$C,Order!$G:$G,"",0,1))</f>
        <v>6063T5</v>
      </c>
      <c r="H210" s="4">
        <f>IF($C210="","",_xlfn.XLOOKUP($C210,Order!$C:$C,Order!$H:$H,"",0,1))</f>
        <v>0.185</v>
      </c>
      <c r="I210" s="36">
        <f>IF($C210="","",_xlfn.XLOOKUP($C210,Order!$C:$C,Order!$I:$I,"",0,1))</f>
        <v>0</v>
      </c>
      <c r="J210" s="4" t="str">
        <f>IF(C210="","",Order!$I$16)</f>
        <v>MILL FINISH</v>
      </c>
      <c r="K210" s="36">
        <f>IF($C210="","",_xlfn.XLOOKUP($C210,Order!$C:$C,Order!$P:$P,"",0,1))</f>
        <v>0</v>
      </c>
      <c r="L210" s="4">
        <f t="shared" si="3"/>
        <v>0</v>
      </c>
    </row>
    <row r="211" spans="2:12" ht="23.25" hidden="1" customHeight="1" x14ac:dyDescent="0.25">
      <c r="B211" s="4">
        <v>206</v>
      </c>
      <c r="C211" s="36" t="str">
        <f>IF(Order!$C$222="","",Order!$C$222)</f>
        <v>BX189A</v>
      </c>
      <c r="D211" s="36" t="str">
        <f>IF($C211="","",_xlfn.XLOOKUP($C211,Order!$C:$C,Order!$D:$D,"",0,1))</f>
        <v>BX189A</v>
      </c>
      <c r="E211" s="4" t="e" vm="406">
        <f>IF($C211="","",_xlfn.XLOOKUP($C211,Order!$C:$C,Order!$E:$E,"",0,1))</f>
        <v>#VALUE!</v>
      </c>
      <c r="F211" s="4">
        <f>IF($C211="","",_xlfn.XLOOKUP($C211,Order!$C:$C,Order!$F:$F,"",0,1))</f>
        <v>6000</v>
      </c>
      <c r="G211" s="4" t="str">
        <f>IF($C211="","",_xlfn.XLOOKUP($C211,Order!$C:$C,Order!$G:$G,"",0,1))</f>
        <v>6063T5</v>
      </c>
      <c r="H211" s="4">
        <f>IF($C211="","",_xlfn.XLOOKUP($C211,Order!$C:$C,Order!$H:$H,"",0,1))</f>
        <v>0.17299999999999999</v>
      </c>
      <c r="I211" s="36">
        <f>IF($C211="","",_xlfn.XLOOKUP($C211,Order!$C:$C,Order!$I:$I,"",0,1))</f>
        <v>0</v>
      </c>
      <c r="J211" s="4" t="str">
        <f>IF(C211="","",Order!$I$16)</f>
        <v>MILL FINISH</v>
      </c>
      <c r="K211" s="36">
        <f>IF($C211="","",_xlfn.XLOOKUP($C211,Order!$C:$C,Order!$P:$P,"",0,1))</f>
        <v>0</v>
      </c>
      <c r="L211" s="4">
        <f t="shared" si="3"/>
        <v>0</v>
      </c>
    </row>
    <row r="212" spans="2:12" ht="23.25" hidden="1" customHeight="1" x14ac:dyDescent="0.25">
      <c r="B212" s="4">
        <v>207</v>
      </c>
      <c r="C212" s="36" t="str">
        <f>IF(Order!$C$223="","",Order!$C$223)</f>
        <v>BX201</v>
      </c>
      <c r="D212" s="36" t="str">
        <f>IF($C212="","",_xlfn.XLOOKUP($C212,Order!$C:$C,Order!$D:$D,"",0,1))</f>
        <v>BX201</v>
      </c>
      <c r="E212" s="4" t="e" vm="407">
        <f>IF($C212="","",_xlfn.XLOOKUP($C212,Order!$C:$C,Order!$E:$E,"",0,1))</f>
        <v>#VALUE!</v>
      </c>
      <c r="F212" s="4">
        <f>IF($C212="","",_xlfn.XLOOKUP($C212,Order!$C:$C,Order!$F:$F,"",0,1))</f>
        <v>6000</v>
      </c>
      <c r="G212" s="4" t="str">
        <f>IF($C212="","",_xlfn.XLOOKUP($C212,Order!$C:$C,Order!$G:$G,"",0,1))</f>
        <v>6063T5</v>
      </c>
      <c r="H212" s="4">
        <f>IF($C212="","",_xlfn.XLOOKUP($C212,Order!$C:$C,Order!$H:$H,"",0,1))</f>
        <v>0.47699999999999998</v>
      </c>
      <c r="I212" s="36">
        <f>IF($C212="","",_xlfn.XLOOKUP($C212,Order!$C:$C,Order!$I:$I,"",0,1))</f>
        <v>0</v>
      </c>
      <c r="J212" s="4" t="str">
        <f>IF(C212="","",Order!$I$16)</f>
        <v>MILL FINISH</v>
      </c>
      <c r="K212" s="36">
        <f>IF($C212="","",_xlfn.XLOOKUP($C212,Order!$C:$C,Order!$P:$P,"",0,1))</f>
        <v>0</v>
      </c>
      <c r="L212" s="4">
        <f t="shared" si="3"/>
        <v>0</v>
      </c>
    </row>
    <row r="213" spans="2:12" ht="23.25" hidden="1" customHeight="1" x14ac:dyDescent="0.25">
      <c r="B213" s="4">
        <v>208</v>
      </c>
      <c r="C213" s="36" t="str">
        <f>IF(Order!$C$224="","",Order!$C$224)</f>
        <v>AL001</v>
      </c>
      <c r="D213" s="36" t="str">
        <f>IF($C213="","",_xlfn.XLOOKUP($C213,Order!$C:$C,Order!$D:$D,"",0,1))</f>
        <v>AL001AL</v>
      </c>
      <c r="E213" s="4" t="e" vm="408">
        <f>IF($C213="","",_xlfn.XLOOKUP($C213,Order!$C:$C,Order!$E:$E,"",0,1))</f>
        <v>#VALUE!</v>
      </c>
      <c r="F213" s="4">
        <f>IF($C213="","",_xlfn.XLOOKUP($C213,Order!$C:$C,Order!$F:$F,"",0,1))</f>
        <v>6000</v>
      </c>
      <c r="G213" s="4" t="str">
        <f>IF($C213="","",_xlfn.XLOOKUP($C213,Order!$C:$C,Order!$G:$G,"",0,1))</f>
        <v>6063T5</v>
      </c>
      <c r="H213" s="4">
        <f>IF($C213="","",_xlfn.XLOOKUP($C213,Order!$C:$C,Order!$H:$H,"",0,1))</f>
        <v>0.434</v>
      </c>
      <c r="I213" s="36">
        <f>IF($C213="","",_xlfn.XLOOKUP($C213,Order!$C:$C,Order!$I:$I,"",0,1))</f>
        <v>0</v>
      </c>
      <c r="J213" s="4" t="str">
        <f>IF(C213="","",Order!$I$16)</f>
        <v>MILL FINISH</v>
      </c>
      <c r="K213" s="36">
        <f>IF($C213="","",_xlfn.XLOOKUP($C213,Order!$C:$C,Order!$P:$P,"",0,1))</f>
        <v>0</v>
      </c>
      <c r="L213" s="4">
        <f t="shared" si="3"/>
        <v>0</v>
      </c>
    </row>
    <row r="214" spans="2:12" ht="23.25" hidden="1" customHeight="1" x14ac:dyDescent="0.25">
      <c r="B214" s="4">
        <v>209</v>
      </c>
      <c r="C214" s="36" t="str">
        <f>IF(Order!$C$225="","",Order!$C$225)</f>
        <v>AL002</v>
      </c>
      <c r="D214" s="36" t="str">
        <f>IF($C214="","",_xlfn.XLOOKUP($C214,Order!$C:$C,Order!$D:$D,"",0,1))</f>
        <v>AL002AL</v>
      </c>
      <c r="E214" s="4" t="e" vm="409">
        <f>IF($C214="","",_xlfn.XLOOKUP($C214,Order!$C:$C,Order!$E:$E,"",0,1))</f>
        <v>#VALUE!</v>
      </c>
      <c r="F214" s="4">
        <f>IF($C214="","",_xlfn.XLOOKUP($C214,Order!$C:$C,Order!$F:$F,"",0,1))</f>
        <v>6000</v>
      </c>
      <c r="G214" s="4" t="str">
        <f>IF($C214="","",_xlfn.XLOOKUP($C214,Order!$C:$C,Order!$G:$G,"",0,1))</f>
        <v>6063T5</v>
      </c>
      <c r="H214" s="4">
        <f>IF($C214="","",_xlfn.XLOOKUP($C214,Order!$C:$C,Order!$H:$H,"",0,1))</f>
        <v>0.17499999999999999</v>
      </c>
      <c r="I214" s="36">
        <f>IF($C214="","",_xlfn.XLOOKUP($C214,Order!$C:$C,Order!$I:$I,"",0,1))</f>
        <v>0</v>
      </c>
      <c r="J214" s="4" t="str">
        <f>IF(C214="","",Order!$I$16)</f>
        <v>MILL FINISH</v>
      </c>
      <c r="K214" s="36">
        <f>IF($C214="","",_xlfn.XLOOKUP($C214,Order!$C:$C,Order!$P:$P,"",0,1))</f>
        <v>0</v>
      </c>
      <c r="L214" s="4">
        <f t="shared" si="3"/>
        <v>0</v>
      </c>
    </row>
    <row r="215" spans="2:12" ht="23.25" hidden="1" customHeight="1" x14ac:dyDescent="0.25">
      <c r="B215" s="4">
        <v>210</v>
      </c>
      <c r="C215" s="36" t="str">
        <f>IF(Order!$C$226="","",Order!$C$226)</f>
        <v>AL 049</v>
      </c>
      <c r="D215" s="36" t="str">
        <f>IF($C215="","",_xlfn.XLOOKUP($C215,Order!$C:$C,Order!$D:$D,"",0,1))</f>
        <v>AL049</v>
      </c>
      <c r="E215" s="4" t="e" vm="410">
        <f>IF($C215="","",_xlfn.XLOOKUP($C215,Order!$C:$C,Order!$E:$E,"",0,1))</f>
        <v>#VALUE!</v>
      </c>
      <c r="F215" s="4">
        <f>IF($C215="","",_xlfn.XLOOKUP($C215,Order!$C:$C,Order!$F:$F,"",0,1))</f>
        <v>6000</v>
      </c>
      <c r="G215" s="4" t="str">
        <f>IF($C215="","",_xlfn.XLOOKUP($C215,Order!$C:$C,Order!$G:$G,"",0,1))</f>
        <v>6063T5</v>
      </c>
      <c r="H215" s="4">
        <f>IF($C215="","",_xlfn.XLOOKUP($C215,Order!$C:$C,Order!$H:$H,"",0,1))</f>
        <v>0.45300000000000001</v>
      </c>
      <c r="I215" s="36">
        <f>IF($C215="","",_xlfn.XLOOKUP($C215,Order!$C:$C,Order!$I:$I,"",0,1))</f>
        <v>0</v>
      </c>
      <c r="J215" s="4" t="str">
        <f>IF(C215="","",Order!$I$16)</f>
        <v>MILL FINISH</v>
      </c>
      <c r="K215" s="36">
        <f>IF($C215="","",_xlfn.XLOOKUP($C215,Order!$C:$C,Order!$P:$P,"",0,1))</f>
        <v>0</v>
      </c>
      <c r="L215" s="4">
        <f t="shared" si="3"/>
        <v>0</v>
      </c>
    </row>
    <row r="216" spans="2:12" ht="23.25" hidden="1" customHeight="1" x14ac:dyDescent="0.25">
      <c r="B216" s="4">
        <v>211</v>
      </c>
      <c r="C216" s="36" t="str">
        <f>IF(Order!$C$227="","",Order!$C$227)</f>
        <v>AL050</v>
      </c>
      <c r="D216" s="36" t="str">
        <f>IF($C216="","",_xlfn.XLOOKUP($C216,Order!$C:$C,Order!$D:$D,"",0,1))</f>
        <v>AL050</v>
      </c>
      <c r="E216" s="4" t="e" vm="411">
        <f>IF($C216="","",_xlfn.XLOOKUP($C216,Order!$C:$C,Order!$E:$E,"",0,1))</f>
        <v>#VALUE!</v>
      </c>
      <c r="F216" s="4">
        <f>IF($C216="","",_xlfn.XLOOKUP($C216,Order!$C:$C,Order!$F:$F,"",0,1))</f>
        <v>6000</v>
      </c>
      <c r="G216" s="4" t="str">
        <f>IF($C216="","",_xlfn.XLOOKUP($C216,Order!$C:$C,Order!$G:$G,"",0,1))</f>
        <v>6063T5</v>
      </c>
      <c r="H216" s="4">
        <f>IF($C216="","",_xlfn.XLOOKUP($C216,Order!$C:$C,Order!$H:$H,"",0,1))</f>
        <v>0.249</v>
      </c>
      <c r="I216" s="36">
        <f>IF($C216="","",_xlfn.XLOOKUP($C216,Order!$C:$C,Order!$I:$I,"",0,1))</f>
        <v>0</v>
      </c>
      <c r="J216" s="4" t="str">
        <f>IF(C216="","",Order!$I$16)</f>
        <v>MILL FINISH</v>
      </c>
      <c r="K216" s="36">
        <f>IF($C216="","",_xlfn.XLOOKUP($C216,Order!$C:$C,Order!$P:$P,"",0,1))</f>
        <v>0</v>
      </c>
      <c r="L216" s="4">
        <f t="shared" si="3"/>
        <v>0</v>
      </c>
    </row>
    <row r="217" spans="2:12" ht="23.25" hidden="1" customHeight="1" x14ac:dyDescent="0.25">
      <c r="B217" s="4">
        <v>212</v>
      </c>
      <c r="C217" s="36" t="str">
        <f>IF(Order!$C$228="","",Order!$C$228)</f>
        <v>AL003L</v>
      </c>
      <c r="D217" s="36" t="str">
        <f>IF($C217="","",_xlfn.XLOOKUP($C217,Order!$C:$C,Order!$D:$D,"",0,1))</f>
        <v>AL003L</v>
      </c>
      <c r="E217" s="4" t="e" vm="412">
        <f>IF($C217="","",_xlfn.XLOOKUP($C217,Order!$C:$C,Order!$E:$E,"",0,1))</f>
        <v>#VALUE!</v>
      </c>
      <c r="F217" s="4">
        <f>IF($C217="","",_xlfn.XLOOKUP($C217,Order!$C:$C,Order!$F:$F,"",0,1))</f>
        <v>6000</v>
      </c>
      <c r="G217" s="4" t="str">
        <f>IF($C217="","",_xlfn.XLOOKUP($C217,Order!$C:$C,Order!$G:$G,"",0,1))</f>
        <v>6063T5</v>
      </c>
      <c r="H217" s="4">
        <f>IF($C217="","",_xlfn.XLOOKUP($C217,Order!$C:$C,Order!$H:$H,"",0,1))</f>
        <v>0.23</v>
      </c>
      <c r="I217" s="36">
        <f>IF($C217="","",_xlfn.XLOOKUP($C217,Order!$C:$C,Order!$I:$I,"",0,1))</f>
        <v>0</v>
      </c>
      <c r="J217" s="4" t="str">
        <f>IF(C217="","",Order!$I$16)</f>
        <v>MILL FINISH</v>
      </c>
      <c r="K217" s="36">
        <f>IF($C217="","",_xlfn.XLOOKUP($C217,Order!$C:$C,Order!$P:$P,"",0,1))</f>
        <v>0</v>
      </c>
      <c r="L217" s="4">
        <f t="shared" si="3"/>
        <v>0</v>
      </c>
    </row>
    <row r="218" spans="2:12" ht="23.25" hidden="1" customHeight="1" x14ac:dyDescent="0.25">
      <c r="B218" s="4">
        <v>213</v>
      </c>
      <c r="C218" s="36" t="str">
        <f>IF(Order!$C$229="","",Order!$C$229)</f>
        <v>MT0066</v>
      </c>
      <c r="D218" s="36" t="str">
        <f>IF($C218="","",_xlfn.XLOOKUP($C218,Order!$C:$C,Order!$D:$D,"",0,1))</f>
        <v>MT0066(PU010)</v>
      </c>
      <c r="E218" s="4" t="e" vm="413">
        <f>IF($C218="","",_xlfn.XLOOKUP($C218,Order!$C:$C,Order!$E:$E,"",0,1))</f>
        <v>#VALUE!</v>
      </c>
      <c r="F218" s="4">
        <f>IF($C218="","",_xlfn.XLOOKUP($C218,Order!$C:$C,Order!$F:$F,"",0,1))</f>
        <v>6000</v>
      </c>
      <c r="G218" s="4" t="str">
        <f>IF($C218="","",_xlfn.XLOOKUP($C218,Order!$C:$C,Order!$G:$G,"",0,1))</f>
        <v>6063T5</v>
      </c>
      <c r="H218" s="4">
        <f>IF($C218="","",_xlfn.XLOOKUP($C218,Order!$C:$C,Order!$H:$H,"",0,1))</f>
        <v>0.11700000000000001</v>
      </c>
      <c r="I218" s="36">
        <f>IF($C218="","",_xlfn.XLOOKUP($C218,Order!$C:$C,Order!$I:$I,"",0,1))</f>
        <v>0</v>
      </c>
      <c r="J218" s="4" t="str">
        <f>IF(C218="","",Order!$I$16)</f>
        <v>MILL FINISH</v>
      </c>
      <c r="K218" s="36">
        <f>IF($C218="","",_xlfn.XLOOKUP($C218,Order!$C:$C,Order!$P:$P,"",0,1))</f>
        <v>0</v>
      </c>
      <c r="L218" s="4">
        <f t="shared" si="3"/>
        <v>0</v>
      </c>
    </row>
    <row r="219" spans="2:12" ht="23.25" hidden="1" customHeight="1" x14ac:dyDescent="0.25">
      <c r="B219" s="4">
        <v>214</v>
      </c>
      <c r="C219" s="36" t="str">
        <f>IF(Order!$C$230="","",Order!$C$230)</f>
        <v>MT0067</v>
      </c>
      <c r="D219" s="36" t="str">
        <f>IF($C219="","",_xlfn.XLOOKUP($C219,Order!$C:$C,Order!$D:$D,"",0,1))</f>
        <v>MT0067(PU008)</v>
      </c>
      <c r="E219" s="4" t="e" vm="414">
        <f>IF($C219="","",_xlfn.XLOOKUP($C219,Order!$C:$C,Order!$E:$E,"",0,1))</f>
        <v>#VALUE!</v>
      </c>
      <c r="F219" s="4">
        <f>IF($C219="","",_xlfn.XLOOKUP($C219,Order!$C:$C,Order!$F:$F,"",0,1))</f>
        <v>6000</v>
      </c>
      <c r="G219" s="4" t="str">
        <f>IF($C219="","",_xlfn.XLOOKUP($C219,Order!$C:$C,Order!$G:$G,"",0,1))</f>
        <v>6063T5</v>
      </c>
      <c r="H219" s="4">
        <f>IF($C219="","",_xlfn.XLOOKUP($C219,Order!$C:$C,Order!$H:$H,"",0,1))</f>
        <v>0.11</v>
      </c>
      <c r="I219" s="36">
        <f>IF($C219="","",_xlfn.XLOOKUP($C219,Order!$C:$C,Order!$I:$I,"",0,1))</f>
        <v>0</v>
      </c>
      <c r="J219" s="4" t="str">
        <f>IF(C219="","",Order!$I$16)</f>
        <v>MILL FINISH</v>
      </c>
      <c r="K219" s="36">
        <f>IF($C219="","",_xlfn.XLOOKUP($C219,Order!$C:$C,Order!$P:$P,"",0,1))</f>
        <v>0</v>
      </c>
      <c r="L219" s="4">
        <f t="shared" si="3"/>
        <v>0</v>
      </c>
    </row>
    <row r="220" spans="2:12" ht="23.25" hidden="1" customHeight="1" x14ac:dyDescent="0.25">
      <c r="B220" s="4">
        <v>215</v>
      </c>
      <c r="C220" s="36" t="str">
        <f>IF(Order!$C$231="","",Order!$C$231)</f>
        <v>MT0080</v>
      </c>
      <c r="D220" s="36" t="str">
        <f>IF($C220="","",_xlfn.XLOOKUP($C220,Order!$C:$C,Order!$D:$D,"",0,1))</f>
        <v>MT0080</v>
      </c>
      <c r="E220" s="4" t="e" vm="415">
        <f>IF($C220="","",_xlfn.XLOOKUP($C220,Order!$C:$C,Order!$E:$E,"",0,1))</f>
        <v>#VALUE!</v>
      </c>
      <c r="F220" s="4">
        <f>IF($C220="","",_xlfn.XLOOKUP($C220,Order!$C:$C,Order!$F:$F,"",0,1))</f>
        <v>6000</v>
      </c>
      <c r="G220" s="4" t="str">
        <f>IF($C220="","",_xlfn.XLOOKUP($C220,Order!$C:$C,Order!$G:$G,"",0,1))</f>
        <v>6063T5</v>
      </c>
      <c r="H220" s="4">
        <f>IF($C220="","",_xlfn.XLOOKUP($C220,Order!$C:$C,Order!$H:$H,"",0,1))</f>
        <v>0.32200000000000001</v>
      </c>
      <c r="I220" s="36">
        <f>IF($C220="","",_xlfn.XLOOKUP($C220,Order!$C:$C,Order!$I:$I,"",0,1))</f>
        <v>0</v>
      </c>
      <c r="J220" s="4" t="str">
        <f>IF(C220="","",Order!$I$16)</f>
        <v>MILL FINISH</v>
      </c>
      <c r="K220" s="36">
        <f>IF($C220="","",_xlfn.XLOOKUP($C220,Order!$C:$C,Order!$P:$P,"",0,1))</f>
        <v>0</v>
      </c>
      <c r="L220" s="4">
        <f t="shared" si="3"/>
        <v>0</v>
      </c>
    </row>
    <row r="221" spans="2:12" ht="23.25" hidden="1" customHeight="1" x14ac:dyDescent="0.25">
      <c r="B221" s="4">
        <v>216</v>
      </c>
      <c r="C221" s="36" t="str">
        <f>IF(Order!$C$232="","",Order!$C$232)</f>
        <v>MT0088</v>
      </c>
      <c r="D221" s="36" t="str">
        <f>IF($C221="","",_xlfn.XLOOKUP($C221,Order!$C:$C,Order!$D:$D,"",0,1))</f>
        <v>MT0088</v>
      </c>
      <c r="E221" s="4" t="e" vm="416">
        <f>IF($C221="","",_xlfn.XLOOKUP($C221,Order!$C:$C,Order!$E:$E,"",0,1))</f>
        <v>#VALUE!</v>
      </c>
      <c r="F221" s="4">
        <f>IF($C221="","",_xlfn.XLOOKUP($C221,Order!$C:$C,Order!$F:$F,"",0,1))</f>
        <v>6000</v>
      </c>
      <c r="G221" s="4" t="str">
        <f>IF($C221="","",_xlfn.XLOOKUP($C221,Order!$C:$C,Order!$G:$G,"",0,1))</f>
        <v>6063T5</v>
      </c>
      <c r="H221" s="4">
        <f>IF($C221="","",_xlfn.XLOOKUP($C221,Order!$C:$C,Order!$H:$H,"",0,1))</f>
        <v>0.26400000000000001</v>
      </c>
      <c r="I221" s="36">
        <f>IF($C221="","",_xlfn.XLOOKUP($C221,Order!$C:$C,Order!$I:$I,"",0,1))</f>
        <v>0</v>
      </c>
      <c r="J221" s="4" t="str">
        <f>IF(C221="","",Order!$I$16)</f>
        <v>MILL FINISH</v>
      </c>
      <c r="K221" s="36">
        <f>IF($C221="","",_xlfn.XLOOKUP($C221,Order!$C:$C,Order!$P:$P,"",0,1))</f>
        <v>0</v>
      </c>
      <c r="L221" s="4">
        <f t="shared" si="3"/>
        <v>0</v>
      </c>
    </row>
    <row r="222" spans="2:12" ht="23.25" hidden="1" customHeight="1" x14ac:dyDescent="0.25">
      <c r="B222" s="4">
        <v>217</v>
      </c>
      <c r="C222" s="36" t="str">
        <f>IF(Order!$C$233="","",Order!$C$233)</f>
        <v>MT0089</v>
      </c>
      <c r="D222" s="36" t="str">
        <f>IF($C222="","",_xlfn.XLOOKUP($C222,Order!$C:$C,Order!$D:$D,"",0,1))</f>
        <v>MT0089</v>
      </c>
      <c r="E222" s="4" t="e" vm="417">
        <f>IF($C222="","",_xlfn.XLOOKUP($C222,Order!$C:$C,Order!$E:$E,"",0,1))</f>
        <v>#VALUE!</v>
      </c>
      <c r="F222" s="4">
        <f>IF($C222="","",_xlfn.XLOOKUP($C222,Order!$C:$C,Order!$F:$F,"",0,1))</f>
        <v>6000</v>
      </c>
      <c r="G222" s="4" t="str">
        <f>IF($C222="","",_xlfn.XLOOKUP($C222,Order!$C:$C,Order!$G:$G,"",0,1))</f>
        <v>6063T5</v>
      </c>
      <c r="H222" s="4">
        <f>IF($C222="","",_xlfn.XLOOKUP($C222,Order!$C:$C,Order!$H:$H,"",0,1))</f>
        <v>7.9000000000000001E-2</v>
      </c>
      <c r="I222" s="36">
        <f>IF($C222="","",_xlfn.XLOOKUP($C222,Order!$C:$C,Order!$I:$I,"",0,1))</f>
        <v>0</v>
      </c>
      <c r="J222" s="4" t="str">
        <f>IF(C222="","",Order!$I$16)</f>
        <v>MILL FINISH</v>
      </c>
      <c r="K222" s="36">
        <f>IF($C222="","",_xlfn.XLOOKUP($C222,Order!$C:$C,Order!$P:$P,"",0,1))</f>
        <v>0</v>
      </c>
      <c r="L222" s="4">
        <f t="shared" si="3"/>
        <v>0</v>
      </c>
    </row>
    <row r="223" spans="2:12" ht="23.25" hidden="1" customHeight="1" x14ac:dyDescent="0.25">
      <c r="B223" s="4">
        <v>218</v>
      </c>
      <c r="C223" s="36" t="str">
        <f>IF(Order!$C$234="","",Order!$C$234)</f>
        <v>MT0090</v>
      </c>
      <c r="D223" s="36" t="str">
        <f>IF($C223="","",_xlfn.XLOOKUP($C223,Order!$C:$C,Order!$D:$D,"",0,1))</f>
        <v>MT0090</v>
      </c>
      <c r="E223" s="4" t="e" vm="418">
        <f>IF($C223="","",_xlfn.XLOOKUP($C223,Order!$C:$C,Order!$E:$E,"",0,1))</f>
        <v>#VALUE!</v>
      </c>
      <c r="F223" s="4">
        <f>IF($C223="","",_xlfn.XLOOKUP($C223,Order!$C:$C,Order!$F:$F,"",0,1))</f>
        <v>6000</v>
      </c>
      <c r="G223" s="4" t="str">
        <f>IF($C223="","",_xlfn.XLOOKUP($C223,Order!$C:$C,Order!$G:$G,"",0,1))</f>
        <v>6063T5</v>
      </c>
      <c r="H223" s="4">
        <f>IF($C223="","",_xlfn.XLOOKUP($C223,Order!$C:$C,Order!$H:$H,"",0,1))</f>
        <v>0.55600000000000005</v>
      </c>
      <c r="I223" s="36">
        <f>IF($C223="","",_xlfn.XLOOKUP($C223,Order!$C:$C,Order!$I:$I,"",0,1))</f>
        <v>0</v>
      </c>
      <c r="J223" s="4" t="str">
        <f>IF(C223="","",Order!$I$16)</f>
        <v>MILL FINISH</v>
      </c>
      <c r="K223" s="36">
        <f>IF($C223="","",_xlfn.XLOOKUP($C223,Order!$C:$C,Order!$P:$P,"",0,1))</f>
        <v>0</v>
      </c>
      <c r="L223" s="4">
        <f t="shared" si="3"/>
        <v>0</v>
      </c>
    </row>
    <row r="224" spans="2:12" ht="23.25" hidden="1" customHeight="1" x14ac:dyDescent="0.25">
      <c r="B224" s="4">
        <v>219</v>
      </c>
      <c r="C224" s="36" t="str">
        <f>IF(Order!$C$235="","",Order!$C$235)</f>
        <v>BX128</v>
      </c>
      <c r="D224" s="36" t="str">
        <f>IF($C224="","",_xlfn.XLOOKUP($C224,Order!$C:$C,Order!$D:$D,"",0,1))</f>
        <v>BX128</v>
      </c>
      <c r="E224" s="4" t="e" vm="419">
        <f>IF($C224="","",_xlfn.XLOOKUP($C224,Order!$C:$C,Order!$E:$E,"",0,1))</f>
        <v>#VALUE!</v>
      </c>
      <c r="F224" s="4">
        <f>IF($C224="","",_xlfn.XLOOKUP($C224,Order!$C:$C,Order!$F:$F,"",0,1))</f>
        <v>6000</v>
      </c>
      <c r="G224" s="4" t="str">
        <f>IF($C224="","",_xlfn.XLOOKUP($C224,Order!$C:$C,Order!$G:$G,"",0,1))</f>
        <v>6063T5</v>
      </c>
      <c r="H224" s="4">
        <f>IF($C224="","",_xlfn.XLOOKUP($C224,Order!$C:$C,Order!$H:$H,"",0,1))</f>
        <v>0.16900000000000001</v>
      </c>
      <c r="I224" s="36">
        <f>IF($C224="","",_xlfn.XLOOKUP($C224,Order!$C:$C,Order!$I:$I,"",0,1))</f>
        <v>0</v>
      </c>
      <c r="J224" s="4" t="str">
        <f>IF(C224="","",Order!$I$16)</f>
        <v>MILL FINISH</v>
      </c>
      <c r="K224" s="36">
        <f>IF($C224="","",_xlfn.XLOOKUP($C224,Order!$C:$C,Order!$P:$P,"",0,1))</f>
        <v>0</v>
      </c>
      <c r="L224" s="4">
        <f t="shared" si="3"/>
        <v>0</v>
      </c>
    </row>
    <row r="225" spans="2:12" ht="23.25" hidden="1" customHeight="1" x14ac:dyDescent="0.25">
      <c r="B225" s="4">
        <v>220</v>
      </c>
      <c r="C225" s="36" t="str">
        <f>IF(Order!$C$236="","",Order!$C$236)</f>
        <v>BX626</v>
      </c>
      <c r="D225" s="36" t="str">
        <f>IF($C225="","",_xlfn.XLOOKUP($C225,Order!$C:$C,Order!$D:$D,"",0,1))</f>
        <v>BX626</v>
      </c>
      <c r="E225" s="4" t="e" vm="420">
        <f>IF($C225="","",_xlfn.XLOOKUP($C225,Order!$C:$C,Order!$E:$E,"",0,1))</f>
        <v>#VALUE!</v>
      </c>
      <c r="F225" s="4">
        <f>IF($C225="","",_xlfn.XLOOKUP($C225,Order!$C:$C,Order!$F:$F,"",0,1))</f>
        <v>6000</v>
      </c>
      <c r="G225" s="4" t="str">
        <f>IF($C225="","",_xlfn.XLOOKUP($C225,Order!$C:$C,Order!$G:$G,"",0,1))</f>
        <v>6063T5</v>
      </c>
      <c r="H225" s="4">
        <f>IF($C225="","",_xlfn.XLOOKUP($C225,Order!$C:$C,Order!$H:$H,"",0,1))</f>
        <v>0.13800000000000001</v>
      </c>
      <c r="I225" s="36">
        <f>IF($C225="","",_xlfn.XLOOKUP($C225,Order!$C:$C,Order!$I:$I,"",0,1))</f>
        <v>0</v>
      </c>
      <c r="J225" s="4" t="str">
        <f>IF(C225="","",Order!$I$16)</f>
        <v>MILL FINISH</v>
      </c>
      <c r="K225" s="36">
        <f>IF($C225="","",_xlfn.XLOOKUP($C225,Order!$C:$C,Order!$P:$P,"",0,1))</f>
        <v>0</v>
      </c>
      <c r="L225" s="4">
        <f t="shared" si="3"/>
        <v>0</v>
      </c>
    </row>
    <row r="226" spans="2:12" ht="23.25" hidden="1" customHeight="1" x14ac:dyDescent="0.25">
      <c r="B226" s="4">
        <v>221</v>
      </c>
      <c r="C226" s="36" t="str">
        <f>IF(Order!$C$237="","",Order!$C$237)</f>
        <v>BT807</v>
      </c>
      <c r="D226" s="36" t="str">
        <f>IF($C226="","",_xlfn.XLOOKUP($C226,Order!$C:$C,Order!$D:$D,"",0,1))</f>
        <v>BT807</v>
      </c>
      <c r="E226" s="4" t="e" vm="421">
        <f>IF($C226="","",_xlfn.XLOOKUP($C226,Order!$C:$C,Order!$E:$E,"",0,1))</f>
        <v>#VALUE!</v>
      </c>
      <c r="F226" s="4">
        <f>IF($C226="","",_xlfn.XLOOKUP($C226,Order!$C:$C,Order!$F:$F,"",0,1))</f>
        <v>6000</v>
      </c>
      <c r="G226" s="4" t="str">
        <f>IF($C226="","",_xlfn.XLOOKUP($C226,Order!$C:$C,Order!$G:$G,"",0,1))</f>
        <v>6063T5</v>
      </c>
      <c r="H226" s="4">
        <f>IF($C226="","",_xlfn.XLOOKUP($C226,Order!$C:$C,Order!$H:$H,"",0,1))</f>
        <v>0.153</v>
      </c>
      <c r="I226" s="36">
        <f>IF($C226="","",_xlfn.XLOOKUP($C226,Order!$C:$C,Order!$I:$I,"",0,1))</f>
        <v>0</v>
      </c>
      <c r="J226" s="4" t="str">
        <f>IF(C226="","",Order!$I$16)</f>
        <v>MILL FINISH</v>
      </c>
      <c r="K226" s="36">
        <f>IF($C226="","",_xlfn.XLOOKUP($C226,Order!$C:$C,Order!$P:$P,"",0,1))</f>
        <v>0</v>
      </c>
      <c r="L226" s="4">
        <f t="shared" si="3"/>
        <v>0</v>
      </c>
    </row>
    <row r="227" spans="2:12" ht="23.25" hidden="1" customHeight="1" x14ac:dyDescent="0.25">
      <c r="B227" s="4">
        <v>222</v>
      </c>
      <c r="C227" s="36" t="str">
        <f>IF(Order!$C$238="","",Order!$C$238)</f>
        <v>BX013</v>
      </c>
      <c r="D227" s="36" t="str">
        <f>IF($C227="","",_xlfn.XLOOKUP($C227,Order!$C:$C,Order!$D:$D,"",0,1))</f>
        <v>BX013</v>
      </c>
      <c r="E227" s="4" t="e" vm="422">
        <f>IF($C227="","",_xlfn.XLOOKUP($C227,Order!$C:$C,Order!$E:$E,"",0,1))</f>
        <v>#VALUE!</v>
      </c>
      <c r="F227" s="4">
        <f>IF($C227="","",_xlfn.XLOOKUP($C227,Order!$C:$C,Order!$F:$F,"",0,1))</f>
        <v>6000</v>
      </c>
      <c r="G227" s="4" t="str">
        <f>IF($C227="","",_xlfn.XLOOKUP($C227,Order!$C:$C,Order!$G:$G,"",0,1))</f>
        <v>6063T5</v>
      </c>
      <c r="H227" s="4">
        <f>IF($C227="","",_xlfn.XLOOKUP($C227,Order!$C:$C,Order!$H:$H,"",0,1))</f>
        <v>0</v>
      </c>
      <c r="I227" s="36">
        <f>IF($C227="","",_xlfn.XLOOKUP($C227,Order!$C:$C,Order!$I:$I,"",0,1))</f>
        <v>0</v>
      </c>
      <c r="J227" s="4" t="str">
        <f>IF(C227="","",Order!$I$16)</f>
        <v>MILL FINISH</v>
      </c>
      <c r="K227" s="36">
        <f>IF($C227="","",_xlfn.XLOOKUP($C227,Order!$C:$C,Order!$P:$P,"",0,1))</f>
        <v>0</v>
      </c>
      <c r="L227" s="4">
        <f t="shared" si="3"/>
        <v>0</v>
      </c>
    </row>
    <row r="228" spans="2:12" ht="23.25" hidden="1" customHeight="1" x14ac:dyDescent="0.25">
      <c r="B228" s="4">
        <v>223</v>
      </c>
      <c r="C228" s="36" t="str">
        <f>IF(Order!$C$239="","",Order!$C$239)</f>
        <v>BX014</v>
      </c>
      <c r="D228" s="36" t="str">
        <f>IF($C228="","",_xlfn.XLOOKUP($C228,Order!$C:$C,Order!$D:$D,"",0,1))</f>
        <v>BX014</v>
      </c>
      <c r="E228" s="4" t="e" vm="423">
        <f>IF($C228="","",_xlfn.XLOOKUP($C228,Order!$C:$C,Order!$E:$E,"",0,1))</f>
        <v>#VALUE!</v>
      </c>
      <c r="F228" s="4">
        <f>IF($C228="","",_xlfn.XLOOKUP($C228,Order!$C:$C,Order!$F:$F,"",0,1))</f>
        <v>6000</v>
      </c>
      <c r="G228" s="4" t="str">
        <f>IF($C228="","",_xlfn.XLOOKUP($C228,Order!$C:$C,Order!$G:$G,"",0,1))</f>
        <v>6063T5</v>
      </c>
      <c r="H228" s="4">
        <f>IF($C228="","",_xlfn.XLOOKUP($C228,Order!$C:$C,Order!$H:$H,"",0,1))</f>
        <v>0</v>
      </c>
      <c r="I228" s="36">
        <f>IF($C228="","",_xlfn.XLOOKUP($C228,Order!$C:$C,Order!$I:$I,"",0,1))</f>
        <v>0</v>
      </c>
      <c r="J228" s="4" t="str">
        <f>IF(C228="","",Order!$I$16)</f>
        <v>MILL FINISH</v>
      </c>
      <c r="K228" s="36">
        <f>IF($C228="","",_xlfn.XLOOKUP($C228,Order!$C:$C,Order!$P:$P,"",0,1))</f>
        <v>0</v>
      </c>
      <c r="L228" s="4">
        <f t="shared" si="3"/>
        <v>0</v>
      </c>
    </row>
    <row r="229" spans="2:12" ht="23.25" hidden="1" customHeight="1" x14ac:dyDescent="0.25">
      <c r="B229" s="4">
        <v>224</v>
      </c>
      <c r="C229" s="36" t="str">
        <f>IF(Order!$C$240="","",Order!$C$240)</f>
        <v>BX016</v>
      </c>
      <c r="D229" s="36" t="str">
        <f>IF($C229="","",_xlfn.XLOOKUP($C229,Order!$C:$C,Order!$D:$D,"",0,1))</f>
        <v>BX016</v>
      </c>
      <c r="E229" s="4" t="e" vm="424">
        <f>IF($C229="","",_xlfn.XLOOKUP($C229,Order!$C:$C,Order!$E:$E,"",0,1))</f>
        <v>#VALUE!</v>
      </c>
      <c r="F229" s="4">
        <f>IF($C229="","",_xlfn.XLOOKUP($C229,Order!$C:$C,Order!$F:$F,"",0,1))</f>
        <v>6000</v>
      </c>
      <c r="G229" s="4" t="str">
        <f>IF($C229="","",_xlfn.XLOOKUP($C229,Order!$C:$C,Order!$G:$G,"",0,1))</f>
        <v>6063T5</v>
      </c>
      <c r="H229" s="4">
        <f>IF($C229="","",_xlfn.XLOOKUP($C229,Order!$C:$C,Order!$H:$H,"",0,1))</f>
        <v>0</v>
      </c>
      <c r="I229" s="36">
        <f>IF($C229="","",_xlfn.XLOOKUP($C229,Order!$C:$C,Order!$I:$I,"",0,1))</f>
        <v>0</v>
      </c>
      <c r="J229" s="4" t="str">
        <f>IF(C229="","",Order!$I$16)</f>
        <v>MILL FINISH</v>
      </c>
      <c r="K229" s="36">
        <f>IF($C229="","",_xlfn.XLOOKUP($C229,Order!$C:$C,Order!$P:$P,"",0,1))</f>
        <v>0</v>
      </c>
      <c r="L229" s="4">
        <f t="shared" si="3"/>
        <v>0</v>
      </c>
    </row>
    <row r="230" spans="2:12" ht="23.25" hidden="1" customHeight="1" x14ac:dyDescent="0.25">
      <c r="B230" s="4">
        <v>225</v>
      </c>
      <c r="C230" s="36" t="str">
        <f>IF(Order!$C$241="","",Order!$C$241)</f>
        <v>MT0079 (Infeiror de engenharia 10 mm)</v>
      </c>
      <c r="D230" s="36" t="str">
        <f>IF($C230="","",_xlfn.XLOOKUP($C230,Order!$C:$C,Order!$D:$D,"",0,1))</f>
        <v>MT0079</v>
      </c>
      <c r="E230" s="4" t="e" vm="425">
        <f>IF($C230="","",_xlfn.XLOOKUP($C230,Order!$C:$C,Order!$E:$E,"",0,1))</f>
        <v>#VALUE!</v>
      </c>
      <c r="F230" s="4">
        <f>IF($C230="","",_xlfn.XLOOKUP($C230,Order!$C:$C,Order!$F:$F,"",0,1))</f>
        <v>6000</v>
      </c>
      <c r="G230" s="4" t="str">
        <f>IF($C230="","",_xlfn.XLOOKUP($C230,Order!$C:$C,Order!$G:$G,"",0,1))</f>
        <v>6063T5</v>
      </c>
      <c r="H230" s="4">
        <f>IF($C230="","",_xlfn.XLOOKUP($C230,Order!$C:$C,Order!$H:$H,"",0,1))</f>
        <v>0.439</v>
      </c>
      <c r="I230" s="36">
        <f>IF($C230="","",_xlfn.XLOOKUP($C230,Order!$C:$C,Order!$I:$I,"",0,1))</f>
        <v>0</v>
      </c>
      <c r="J230" s="4" t="str">
        <f>IF(C230="","",Order!$I$16)</f>
        <v>MILL FINISH</v>
      </c>
      <c r="K230" s="36">
        <f>IF($C230="","",_xlfn.XLOOKUP($C230,Order!$C:$C,Order!$P:$P,"",0,1))</f>
        <v>0</v>
      </c>
      <c r="L230" s="4">
        <f t="shared" si="3"/>
        <v>0</v>
      </c>
    </row>
    <row r="231" spans="2:12" ht="23.25" hidden="1" customHeight="1" x14ac:dyDescent="0.25">
      <c r="B231" s="4">
        <v>226</v>
      </c>
      <c r="C231" s="36" t="str">
        <f>IF(Order!$C$242="","",Order!$C$242)</f>
        <v>MT0092 (Inferior engenharia de 10mm)</v>
      </c>
      <c r="D231" s="36" t="str">
        <f>IF($C231="","",_xlfn.XLOOKUP($C231,Order!$C:$C,Order!$D:$D,"",0,1))</f>
        <v>MT0092</v>
      </c>
      <c r="E231" s="4" t="e" vm="426">
        <f>IF($C231="","",_xlfn.XLOOKUP($C231,Order!$C:$C,Order!$E:$E,"",0,1))</f>
        <v>#VALUE!</v>
      </c>
      <c r="F231" s="4">
        <f>IF($C231="","",_xlfn.XLOOKUP($C231,Order!$C:$C,Order!$F:$F,"",0,1))</f>
        <v>6000</v>
      </c>
      <c r="G231" s="4" t="str">
        <f>IF($C231="","",_xlfn.XLOOKUP($C231,Order!$C:$C,Order!$G:$G,"",0,1))</f>
        <v>6063T5</v>
      </c>
      <c r="H231" s="4">
        <f>IF($C231="","",_xlfn.XLOOKUP($C231,Order!$C:$C,Order!$H:$H,"",0,1))</f>
        <v>0.39700000000000002</v>
      </c>
      <c r="I231" s="36">
        <f>IF($C231="","",_xlfn.XLOOKUP($C231,Order!$C:$C,Order!$I:$I,"",0,1))</f>
        <v>0</v>
      </c>
      <c r="J231" s="4" t="str">
        <f>IF(C231="","",Order!$I$16)</f>
        <v>MILL FINISH</v>
      </c>
      <c r="K231" s="36">
        <f>IF($C231="","",_xlfn.XLOOKUP($C231,Order!$C:$C,Order!$P:$P,"",0,1))</f>
        <v>0</v>
      </c>
      <c r="L231" s="4">
        <f t="shared" si="3"/>
        <v>0</v>
      </c>
    </row>
    <row r="232" spans="2:12" ht="23.25" hidden="1" customHeight="1" x14ac:dyDescent="0.25">
      <c r="B232" s="4">
        <v>227</v>
      </c>
      <c r="C232" s="36" t="str">
        <f>IF(Order!$C$243="","",Order!$C$243)</f>
        <v>MT0093 (Superior engenharia 10 mm)</v>
      </c>
      <c r="D232" s="36" t="str">
        <f>IF($C232="","",_xlfn.XLOOKUP($C232,Order!$C:$C,Order!$D:$D,"",0,1))</f>
        <v>MT0093</v>
      </c>
      <c r="E232" s="4" t="e" vm="427">
        <f>IF($C232="","",_xlfn.XLOOKUP($C232,Order!$C:$C,Order!$E:$E,"",0,1))</f>
        <v>#VALUE!</v>
      </c>
      <c r="F232" s="4">
        <f>IF($C232="","",_xlfn.XLOOKUP($C232,Order!$C:$C,Order!$F:$F,"",0,1))</f>
        <v>6000</v>
      </c>
      <c r="G232" s="4" t="str">
        <f>IF($C232="","",_xlfn.XLOOKUP($C232,Order!$C:$C,Order!$G:$G,"",0,1))</f>
        <v>6063T5</v>
      </c>
      <c r="H232" s="4">
        <f>IF($C232="","",_xlfn.XLOOKUP($C232,Order!$C:$C,Order!$H:$H,"",0,1))</f>
        <v>0.70499999999999996</v>
      </c>
      <c r="I232" s="36">
        <f>IF($C232="","",_xlfn.XLOOKUP($C232,Order!$C:$C,Order!$I:$I,"",0,1))</f>
        <v>0</v>
      </c>
      <c r="J232" s="4" t="str">
        <f>IF(C232="","",Order!$I$16)</f>
        <v>MILL FINISH</v>
      </c>
      <c r="K232" s="36">
        <f>IF($C232="","",_xlfn.XLOOKUP($C232,Order!$C:$C,Order!$P:$P,"",0,1))</f>
        <v>0</v>
      </c>
      <c r="L232" s="4">
        <f t="shared" si="3"/>
        <v>0</v>
      </c>
    </row>
    <row r="233" spans="2:12" ht="23.25" hidden="1" customHeight="1" x14ac:dyDescent="0.25">
      <c r="B233" s="4">
        <v>228</v>
      </c>
      <c r="C233" s="36" t="str">
        <f>IF(Order!$C$244="","",Order!$C$244)</f>
        <v>MT0094 (Capa engenharia de 10 mm)</v>
      </c>
      <c r="D233" s="36" t="str">
        <f>IF($C233="","",_xlfn.XLOOKUP($C233,Order!$C:$C,Order!$D:$D,"",0,1))</f>
        <v>MT0094</v>
      </c>
      <c r="E233" s="4" t="e" vm="428">
        <f>IF($C233="","",_xlfn.XLOOKUP($C233,Order!$C:$C,Order!$E:$E,"",0,1))</f>
        <v>#VALUE!</v>
      </c>
      <c r="F233" s="4">
        <f>IF($C233="","",_xlfn.XLOOKUP($C233,Order!$C:$C,Order!$F:$F,"",0,1))</f>
        <v>6000</v>
      </c>
      <c r="G233" s="4" t="str">
        <f>IF($C233="","",_xlfn.XLOOKUP($C233,Order!$C:$C,Order!$G:$G,"",0,1))</f>
        <v>6063T5</v>
      </c>
      <c r="H233" s="4">
        <f>IF($C233="","",_xlfn.XLOOKUP($C233,Order!$C:$C,Order!$H:$H,"",0,1))</f>
        <v>0.29399999999999998</v>
      </c>
      <c r="I233" s="36">
        <f>IF($C233="","",_xlfn.XLOOKUP($C233,Order!$C:$C,Order!$I:$I,"",0,1))</f>
        <v>0</v>
      </c>
      <c r="J233" s="4" t="str">
        <f>IF(C233="","",Order!$I$16)</f>
        <v>MILL FINISH</v>
      </c>
      <c r="K233" s="36">
        <f>IF($C233="","",_xlfn.XLOOKUP($C233,Order!$C:$C,Order!$P:$P,"",0,1))</f>
        <v>0</v>
      </c>
      <c r="L233" s="4">
        <f t="shared" si="3"/>
        <v>0</v>
      </c>
    </row>
    <row r="234" spans="2:12" ht="23.25" hidden="1" customHeight="1" x14ac:dyDescent="0.25">
      <c r="B234" s="4">
        <v>229</v>
      </c>
      <c r="C234" s="36" t="str">
        <f>IF(Order!$C$245="","",Order!$C$245)</f>
        <v>MT0095 (BX330-Click Engenharia de 10 mm)</v>
      </c>
      <c r="D234" s="36" t="str">
        <f>IF($C234="","",_xlfn.XLOOKUP($C234,Order!$C:$C,Order!$D:$D,"",0,1))</f>
        <v>MT0095</v>
      </c>
      <c r="E234" s="4" t="e" vm="429">
        <f>IF($C234="","",_xlfn.XLOOKUP($C234,Order!$C:$C,Order!$E:$E,"",0,1))</f>
        <v>#VALUE!</v>
      </c>
      <c r="F234" s="4">
        <f>IF($C234="","",_xlfn.XLOOKUP($C234,Order!$C:$C,Order!$F:$F,"",0,1))</f>
        <v>6000</v>
      </c>
      <c r="G234" s="4" t="str">
        <f>IF($C234="","",_xlfn.XLOOKUP($C234,Order!$C:$C,Order!$G:$G,"",0,1))</f>
        <v>6063T5</v>
      </c>
      <c r="H234" s="4">
        <f>IF($C234="","",_xlfn.XLOOKUP($C234,Order!$C:$C,Order!$H:$H,"",0,1))</f>
        <v>8.6999999999999994E-2</v>
      </c>
      <c r="I234" s="36">
        <f>IF($C234="","",_xlfn.XLOOKUP($C234,Order!$C:$C,Order!$I:$I,"",0,1))</f>
        <v>0</v>
      </c>
      <c r="J234" s="4" t="str">
        <f>IF(C234="","",Order!$I$16)</f>
        <v>MILL FINISH</v>
      </c>
      <c r="K234" s="36">
        <f>IF($C234="","",_xlfn.XLOOKUP($C234,Order!$C:$C,Order!$P:$P,"",0,1))</f>
        <v>0</v>
      </c>
      <c r="L234" s="4">
        <f t="shared" si="3"/>
        <v>0</v>
      </c>
    </row>
    <row r="235" spans="2:12" ht="23.25" hidden="1" customHeight="1" x14ac:dyDescent="0.25">
      <c r="B235" s="4">
        <v>230</v>
      </c>
      <c r="C235" s="36" t="str">
        <f>IF(Order!$C$246="","",Order!$C$246)</f>
        <v>BX054 (Inferior simples 10mm)</v>
      </c>
      <c r="D235" s="36" t="str">
        <f>IF($C235="","",_xlfn.XLOOKUP($C235,Order!$C:$C,Order!$D:$D,"",0,1))</f>
        <v>BX054</v>
      </c>
      <c r="E235" s="4" t="e" vm="430">
        <f>IF($C235="","",_xlfn.XLOOKUP($C235,Order!$C:$C,Order!$E:$E,"",0,1))</f>
        <v>#VALUE!</v>
      </c>
      <c r="F235" s="4">
        <f>IF($C235="","",_xlfn.XLOOKUP($C235,Order!$C:$C,Order!$F:$F,"",0,1))</f>
        <v>6000</v>
      </c>
      <c r="G235" s="4" t="str">
        <f>IF($C235="","",_xlfn.XLOOKUP($C235,Order!$C:$C,Order!$G:$G,"",0,1))</f>
        <v>6063T5</v>
      </c>
      <c r="H235" s="4">
        <f>IF($C235="","",_xlfn.XLOOKUP($C235,Order!$C:$C,Order!$H:$H,"",0,1))</f>
        <v>0.28799999999999998</v>
      </c>
      <c r="I235" s="36">
        <f>IF($C235="","",_xlfn.XLOOKUP($C235,Order!$C:$C,Order!$I:$I,"",0,1))</f>
        <v>0</v>
      </c>
      <c r="J235" s="4" t="str">
        <f>IF(C235="","",Order!$I$16)</f>
        <v>MILL FINISH</v>
      </c>
      <c r="K235" s="36">
        <f>IF($C235="","",_xlfn.XLOOKUP($C235,Order!$C:$C,Order!$P:$P,"",0,1))</f>
        <v>0</v>
      </c>
      <c r="L235" s="4">
        <f t="shared" si="3"/>
        <v>0</v>
      </c>
    </row>
    <row r="236" spans="2:12" ht="23.25" hidden="1" customHeight="1" x14ac:dyDescent="0.25">
      <c r="B236" s="4">
        <v>231</v>
      </c>
      <c r="C236" s="36" t="str">
        <f>IF(Order!$C$247="","",Order!$C$247)</f>
        <v>BX130</v>
      </c>
      <c r="D236" s="36" t="str">
        <f>IF($C236="","",_xlfn.XLOOKUP($C236,Order!$C:$C,Order!$D:$D,"",0,1))</f>
        <v>BX130</v>
      </c>
      <c r="E236" s="4" t="e" vm="431">
        <f>IF($C236="","",_xlfn.XLOOKUP($C236,Order!$C:$C,Order!$E:$E,"",0,1))</f>
        <v>#VALUE!</v>
      </c>
      <c r="F236" s="4">
        <f>IF($C236="","",_xlfn.XLOOKUP($C236,Order!$C:$C,Order!$F:$F,"",0,1))</f>
        <v>6000</v>
      </c>
      <c r="G236" s="4" t="str">
        <f>IF($C236="","",_xlfn.XLOOKUP($C236,Order!$C:$C,Order!$G:$G,"",0,1))</f>
        <v>6063T5</v>
      </c>
      <c r="H236" s="4">
        <f>IF($C236="","",_xlfn.XLOOKUP($C236,Order!$C:$C,Order!$H:$H,"",0,1))</f>
        <v>0.14199999999999999</v>
      </c>
      <c r="I236" s="36">
        <f>IF($C236="","",_xlfn.XLOOKUP($C236,Order!$C:$C,Order!$I:$I,"",0,1))</f>
        <v>0</v>
      </c>
      <c r="J236" s="4" t="str">
        <f>IF(C236="","",Order!$I$16)</f>
        <v>MILL FINISH</v>
      </c>
      <c r="K236" s="36">
        <f>IF($C236="","",_xlfn.XLOOKUP($C236,Order!$C:$C,Order!$P:$P,"",0,1))</f>
        <v>0</v>
      </c>
      <c r="L236" s="4">
        <f t="shared" si="3"/>
        <v>0</v>
      </c>
    </row>
    <row r="237" spans="2:12" ht="23.25" hidden="1" customHeight="1" x14ac:dyDescent="0.25">
      <c r="B237" s="4">
        <v>232</v>
      </c>
      <c r="C237" s="36" t="str">
        <f>IF(Order!$C$248="","",Order!$C$248)</f>
        <v>BX238</v>
      </c>
      <c r="D237" s="36" t="str">
        <f>IF($C237="","",_xlfn.XLOOKUP($C237,Order!$C:$C,Order!$D:$D,"",0,1))</f>
        <v>BX238</v>
      </c>
      <c r="E237" s="4" t="e" vm="432">
        <f>IF($C237="","",_xlfn.XLOOKUP($C237,Order!$C:$C,Order!$E:$E,"",0,1))</f>
        <v>#VALUE!</v>
      </c>
      <c r="F237" s="4">
        <f>IF($C237="","",_xlfn.XLOOKUP($C237,Order!$C:$C,Order!$F:$F,"",0,1))</f>
        <v>6000</v>
      </c>
      <c r="G237" s="4" t="str">
        <f>IF($C237="","",_xlfn.XLOOKUP($C237,Order!$C:$C,Order!$G:$G,"",0,1))</f>
        <v>6063T5</v>
      </c>
      <c r="H237" s="4">
        <f>IF($C237="","",_xlfn.XLOOKUP($C237,Order!$C:$C,Order!$H:$H,"",0,1))</f>
        <v>0.35699999999999998</v>
      </c>
      <c r="I237" s="36">
        <f>IF($C237="","",_xlfn.XLOOKUP($C237,Order!$C:$C,Order!$I:$I,"",0,1))</f>
        <v>0</v>
      </c>
      <c r="J237" s="4" t="str">
        <f>IF(C237="","",Order!$I$16)</f>
        <v>MILL FINISH</v>
      </c>
      <c r="K237" s="36">
        <f>IF($C237="","",_xlfn.XLOOKUP($C237,Order!$C:$C,Order!$P:$P,"",0,1))</f>
        <v>0</v>
      </c>
      <c r="L237" s="4">
        <f t="shared" si="3"/>
        <v>0</v>
      </c>
    </row>
    <row r="238" spans="2:12" ht="23.25" hidden="1" customHeight="1" x14ac:dyDescent="0.25">
      <c r="B238" s="4">
        <v>233</v>
      </c>
      <c r="C238" s="36" t="str">
        <f>IF(Order!$C$249="","",Order!$C$249)</f>
        <v/>
      </c>
      <c r="D238" s="36" t="str">
        <f>IF($C238="","",_xlfn.XLOOKUP($C238,Order!$C:$C,Order!$D:$D,"",0,1))</f>
        <v/>
      </c>
      <c r="E238" s="4" t="str">
        <f>IF($C238="","",_xlfn.XLOOKUP($C238,Order!$C:$C,Order!$E:$E,"",0,1))</f>
        <v/>
      </c>
      <c r="F238" s="4" t="str">
        <f>IF($C238="","",_xlfn.XLOOKUP($C238,Order!$C:$C,Order!$F:$F,"",0,1))</f>
        <v/>
      </c>
      <c r="G238" s="4" t="str">
        <f>IF($C238="","",_xlfn.XLOOKUP($C238,Order!$C:$C,Order!$G:$G,"",0,1))</f>
        <v/>
      </c>
      <c r="H238" s="4" t="str">
        <f>IF($C238="","",_xlfn.XLOOKUP($C238,Order!$C:$C,Order!$H:$H,"",0,1))</f>
        <v/>
      </c>
      <c r="I238" s="36" t="str">
        <f>IF($C238="","",_xlfn.XLOOKUP($C238,Order!$C:$C,Order!$I:$I,"",0,1))</f>
        <v/>
      </c>
      <c r="J238" s="4" t="str">
        <f>IF(C238="","",Order!$I$16)</f>
        <v/>
      </c>
      <c r="K238" s="36" t="str">
        <f>IF($C238="","",_xlfn.XLOOKUP($C238,Order!$C:$C,Order!$P:$P,"",0,1))</f>
        <v/>
      </c>
      <c r="L238" s="4" t="str">
        <f t="shared" si="3"/>
        <v/>
      </c>
    </row>
    <row r="239" spans="2:12" ht="23.25" hidden="1" customHeight="1" x14ac:dyDescent="0.25">
      <c r="B239" s="4">
        <v>234</v>
      </c>
      <c r="C239" s="36" t="str">
        <f>IF(Order!$C$250="","",Order!$C$250)</f>
        <v>KP062</v>
      </c>
      <c r="D239" s="36" t="str">
        <f>IF($C239="","",_xlfn.XLOOKUP($C239,Order!$C:$C,Order!$D:$D,"",0,1))</f>
        <v>KP062</v>
      </c>
      <c r="E239" s="4" t="e" vm="433">
        <f>IF($C239="","",_xlfn.XLOOKUP($C239,Order!$C:$C,Order!$E:$E,"",0,1))</f>
        <v>#VALUE!</v>
      </c>
      <c r="F239" s="4">
        <f>IF($C239="","",_xlfn.XLOOKUP($C239,Order!$C:$C,Order!$F:$F,"",0,1))</f>
        <v>6000</v>
      </c>
      <c r="G239" s="4" t="str">
        <f>IF($C239="","",_xlfn.XLOOKUP($C239,Order!$C:$C,Order!$G:$G,"",0,1))</f>
        <v>6063T5</v>
      </c>
      <c r="H239" s="4">
        <f>IF($C239="","",_xlfn.XLOOKUP($C239,Order!$C:$C,Order!$H:$H,"",0,1))</f>
        <v>0.17499999999999999</v>
      </c>
      <c r="I239" s="36">
        <f>IF($C239="","",_xlfn.XLOOKUP($C239,Order!$C:$C,Order!$I:$I,"",0,1))</f>
        <v>0</v>
      </c>
      <c r="J239" s="4" t="str">
        <f>IF(C239="","",Order!$I$16)</f>
        <v>MILL FINISH</v>
      </c>
      <c r="K239" s="36">
        <f>IF($C239="","",_xlfn.XLOOKUP($C239,Order!$C:$C,Order!$P:$P,"",0,1))</f>
        <v>0</v>
      </c>
      <c r="L239" s="4">
        <f t="shared" si="3"/>
        <v>0</v>
      </c>
    </row>
    <row r="240" spans="2:12" ht="23.25" hidden="1" customHeight="1" x14ac:dyDescent="0.25">
      <c r="B240" s="4">
        <v>235</v>
      </c>
      <c r="C240" s="36" t="str">
        <f>IF(Order!$C$251="","",Order!$C$251)</f>
        <v>KP063</v>
      </c>
      <c r="D240" s="36" t="str">
        <f>IF($C240="","",_xlfn.XLOOKUP($C240,Order!$C:$C,Order!$D:$D,"",0,1))</f>
        <v>KP063</v>
      </c>
      <c r="E240" s="4" t="e" vm="434">
        <f>IF($C240="","",_xlfn.XLOOKUP($C240,Order!$C:$C,Order!$E:$E,"",0,1))</f>
        <v>#VALUE!</v>
      </c>
      <c r="F240" s="4">
        <f>IF($C240="","",_xlfn.XLOOKUP($C240,Order!$C:$C,Order!$F:$F,"",0,1))</f>
        <v>6000</v>
      </c>
      <c r="G240" s="4" t="str">
        <f>IF($C240="","",_xlfn.XLOOKUP($C240,Order!$C:$C,Order!$G:$G,"",0,1))</f>
        <v>6063T5</v>
      </c>
      <c r="H240" s="4">
        <f>IF($C240="","",_xlfn.XLOOKUP($C240,Order!$C:$C,Order!$H:$H,"",0,1))</f>
        <v>0.30199999999999999</v>
      </c>
      <c r="I240" s="36">
        <f>IF($C240="","",_xlfn.XLOOKUP($C240,Order!$C:$C,Order!$I:$I,"",0,1))</f>
        <v>0</v>
      </c>
      <c r="J240" s="4" t="str">
        <f>IF(C240="","",Order!$I$16)</f>
        <v>MILL FINISH</v>
      </c>
      <c r="K240" s="36">
        <f>IF($C240="","",_xlfn.XLOOKUP($C240,Order!$C:$C,Order!$P:$P,"",0,1))</f>
        <v>0</v>
      </c>
      <c r="L240" s="4">
        <f t="shared" si="3"/>
        <v>0</v>
      </c>
    </row>
    <row r="241" spans="2:12" ht="23.25" hidden="1" customHeight="1" x14ac:dyDescent="0.25">
      <c r="B241" s="4">
        <v>236</v>
      </c>
      <c r="C241" s="36" t="str">
        <f>IF(Order!$C$252="","",Order!$C$252)</f>
        <v>KP064</v>
      </c>
      <c r="D241" s="36" t="str">
        <f>IF($C241="","",_xlfn.XLOOKUP($C241,Order!$C:$C,Order!$D:$D,"",0,1))</f>
        <v>KP064</v>
      </c>
      <c r="E241" s="4" t="e" vm="435">
        <f>IF($C241="","",_xlfn.XLOOKUP($C241,Order!$C:$C,Order!$E:$E,"",0,1))</f>
        <v>#VALUE!</v>
      </c>
      <c r="F241" s="4">
        <f>IF($C241="","",_xlfn.XLOOKUP($C241,Order!$C:$C,Order!$F:$F,"",0,1))</f>
        <v>6000</v>
      </c>
      <c r="G241" s="4" t="str">
        <f>IF($C241="","",_xlfn.XLOOKUP($C241,Order!$C:$C,Order!$G:$G,"",0,1))</f>
        <v>6063T5</v>
      </c>
      <c r="H241" s="4">
        <f>IF($C241="","",_xlfn.XLOOKUP($C241,Order!$C:$C,Order!$H:$H,"",0,1))</f>
        <v>0.308</v>
      </c>
      <c r="I241" s="36">
        <f>IF($C241="","",_xlfn.XLOOKUP($C241,Order!$C:$C,Order!$I:$I,"",0,1))</f>
        <v>0</v>
      </c>
      <c r="J241" s="4" t="str">
        <f>IF(C241="","",Order!$I$16)</f>
        <v>MILL FINISH</v>
      </c>
      <c r="K241" s="36">
        <f>IF($C241="","",_xlfn.XLOOKUP($C241,Order!$C:$C,Order!$P:$P,"",0,1))</f>
        <v>0</v>
      </c>
      <c r="L241" s="4">
        <f t="shared" si="3"/>
        <v>0</v>
      </c>
    </row>
    <row r="242" spans="2:12" ht="23.25" hidden="1" customHeight="1" x14ac:dyDescent="0.25">
      <c r="B242" s="4">
        <v>237</v>
      </c>
      <c r="C242" s="36" t="str">
        <f>IF(Order!$C$253="","",Order!$C$253)</f>
        <v>DS004</v>
      </c>
      <c r="D242" s="36" t="str">
        <f>IF($C242="","",_xlfn.XLOOKUP($C242,Order!$C:$C,Order!$D:$D,"",0,1))</f>
        <v>DS004</v>
      </c>
      <c r="E242" s="4" t="e" vm="436">
        <f>IF($C242="","",_xlfn.XLOOKUP($C242,Order!$C:$C,Order!$E:$E,"",0,1))</f>
        <v>#VALUE!</v>
      </c>
      <c r="F242" s="4">
        <f>IF($C242="","",_xlfn.XLOOKUP($C242,Order!$C:$C,Order!$F:$F,"",0,1))</f>
        <v>6000</v>
      </c>
      <c r="G242" s="4" t="str">
        <f>IF($C242="","",_xlfn.XLOOKUP($C242,Order!$C:$C,Order!$G:$G,"",0,1))</f>
        <v>6063T5</v>
      </c>
      <c r="H242" s="4">
        <f>IF($C242="","",_xlfn.XLOOKUP($C242,Order!$C:$C,Order!$H:$H,"",0,1))</f>
        <v>0.33200000000000002</v>
      </c>
      <c r="I242" s="36">
        <f>IF($C242="","",_xlfn.XLOOKUP($C242,Order!$C:$C,Order!$I:$I,"",0,1))</f>
        <v>0</v>
      </c>
      <c r="J242" s="4" t="str">
        <f>IF(C242="","",Order!$I$16)</f>
        <v>MILL FINISH</v>
      </c>
      <c r="K242" s="36">
        <f>IF($C242="","",_xlfn.XLOOKUP($C242,Order!$C:$C,Order!$P:$P,"",0,1))</f>
        <v>0</v>
      </c>
      <c r="L242" s="4">
        <f t="shared" si="3"/>
        <v>0</v>
      </c>
    </row>
    <row r="243" spans="2:12" ht="23.25" hidden="1" customHeight="1" x14ac:dyDescent="0.25">
      <c r="B243" s="4">
        <v>238</v>
      </c>
      <c r="C243" s="36" t="str">
        <f>IF(Order!$C$254="","",Order!$C$254)</f>
        <v>SU079</v>
      </c>
      <c r="D243" s="36" t="str">
        <f>IF($C243="","",_xlfn.XLOOKUP($C243,Order!$C:$C,Order!$D:$D,"",0,1))</f>
        <v>SU079</v>
      </c>
      <c r="E243" s="4" t="e" vm="437">
        <f>IF($C243="","",_xlfn.XLOOKUP($C243,Order!$C:$C,Order!$E:$E,"",0,1))</f>
        <v>#VALUE!</v>
      </c>
      <c r="F243" s="4">
        <f>IF($C243="","",_xlfn.XLOOKUP($C243,Order!$C:$C,Order!$F:$F,"",0,1))</f>
        <v>6000</v>
      </c>
      <c r="G243" s="4" t="str">
        <f>IF($C243="","",_xlfn.XLOOKUP($C243,Order!$C:$C,Order!$G:$G,"",0,1))</f>
        <v>6063T5</v>
      </c>
      <c r="H243" s="4">
        <f>IF($C243="","",_xlfn.XLOOKUP($C243,Order!$C:$C,Order!$H:$H,"",0,1))</f>
        <v>0.30099999999999999</v>
      </c>
      <c r="I243" s="36">
        <f>IF($C243="","",_xlfn.XLOOKUP($C243,Order!$C:$C,Order!$I:$I,"",0,1))</f>
        <v>0</v>
      </c>
      <c r="J243" s="4" t="str">
        <f>IF(C243="","",Order!$I$16)</f>
        <v>MILL FINISH</v>
      </c>
      <c r="K243" s="36">
        <f>IF($C243="","",_xlfn.XLOOKUP($C243,Order!$C:$C,Order!$P:$P,"",0,1))</f>
        <v>0</v>
      </c>
      <c r="L243" s="4">
        <f t="shared" si="3"/>
        <v>0</v>
      </c>
    </row>
    <row r="244" spans="2:12" ht="23.25" hidden="1" customHeight="1" x14ac:dyDescent="0.25">
      <c r="B244" s="4">
        <v>239</v>
      </c>
      <c r="C244" s="36" t="str">
        <f>IF(Order!$C$255="","",Order!$C$255)</f>
        <v>SU086</v>
      </c>
      <c r="D244" s="36" t="str">
        <f>IF($C244="","",_xlfn.XLOOKUP($C244,Order!$C:$C,Order!$D:$D,"",0,1))</f>
        <v>SU086</v>
      </c>
      <c r="E244" s="4" t="e" vm="438">
        <f>IF($C244="","",_xlfn.XLOOKUP($C244,Order!$C:$C,Order!$E:$E,"",0,1))</f>
        <v>#VALUE!</v>
      </c>
      <c r="F244" s="4">
        <f>IF($C244="","",_xlfn.XLOOKUP($C244,Order!$C:$C,Order!$F:$F,"",0,1))</f>
        <v>6000</v>
      </c>
      <c r="G244" s="4" t="str">
        <f>IF($C244="","",_xlfn.XLOOKUP($C244,Order!$C:$C,Order!$G:$G,"",0,1))</f>
        <v>6063T5</v>
      </c>
      <c r="H244" s="4">
        <f>IF($C244="","",_xlfn.XLOOKUP($C244,Order!$C:$C,Order!$H:$H,"",0,1))</f>
        <v>0.57899999999999996</v>
      </c>
      <c r="I244" s="36">
        <f>IF($C244="","",_xlfn.XLOOKUP($C244,Order!$C:$C,Order!$I:$I,"",0,1))</f>
        <v>0</v>
      </c>
      <c r="J244" s="4" t="str">
        <f>IF(C244="","",Order!$I$16)</f>
        <v>MILL FINISH</v>
      </c>
      <c r="K244" s="36">
        <f>IF($C244="","",_xlfn.XLOOKUP($C244,Order!$C:$C,Order!$P:$P,"",0,1))</f>
        <v>0</v>
      </c>
      <c r="L244" s="4">
        <f t="shared" si="3"/>
        <v>0</v>
      </c>
    </row>
    <row r="245" spans="2:12" ht="23.25" hidden="1" customHeight="1" x14ac:dyDescent="0.25">
      <c r="B245" s="4">
        <v>240</v>
      </c>
      <c r="C245" s="36" t="str">
        <f>IF(Order!$C$256="","",Order!$C$256)</f>
        <v>SU090</v>
      </c>
      <c r="D245" s="36" t="str">
        <f>IF($C245="","",_xlfn.XLOOKUP($C245,Order!$C:$C,Order!$D:$D,"",0,1))</f>
        <v>SU090</v>
      </c>
      <c r="E245" s="4" t="e" vm="439">
        <f>IF($C245="","",_xlfn.XLOOKUP($C245,Order!$C:$C,Order!$E:$E,"",0,1))</f>
        <v>#VALUE!</v>
      </c>
      <c r="F245" s="4">
        <f>IF($C245="","",_xlfn.XLOOKUP($C245,Order!$C:$C,Order!$F:$F,"",0,1))</f>
        <v>6000</v>
      </c>
      <c r="G245" s="4" t="str">
        <f>IF($C245="","",_xlfn.XLOOKUP($C245,Order!$C:$C,Order!$G:$G,"",0,1))</f>
        <v>6063T5</v>
      </c>
      <c r="H245" s="4">
        <f>IF($C245="","",_xlfn.XLOOKUP($C245,Order!$C:$C,Order!$H:$H,"",0,1))</f>
        <v>0.48399999999999999</v>
      </c>
      <c r="I245" s="36">
        <f>IF($C245="","",_xlfn.XLOOKUP($C245,Order!$C:$C,Order!$I:$I,"",0,1))</f>
        <v>0</v>
      </c>
      <c r="J245" s="4" t="str">
        <f>IF(C245="","",Order!$I$16)</f>
        <v>MILL FINISH</v>
      </c>
      <c r="K245" s="36">
        <f>IF($C245="","",_xlfn.XLOOKUP($C245,Order!$C:$C,Order!$P:$P,"",0,1))</f>
        <v>0</v>
      </c>
      <c r="L245" s="4">
        <f t="shared" si="3"/>
        <v>0</v>
      </c>
    </row>
    <row r="246" spans="2:12" ht="23.25" hidden="1" customHeight="1" x14ac:dyDescent="0.25">
      <c r="B246" s="4">
        <v>241</v>
      </c>
      <c r="C246" s="36" t="str">
        <f>IF(Order!$C$257="","",Order!$C$257)</f>
        <v>SU091</v>
      </c>
      <c r="D246" s="36" t="str">
        <f>IF($C246="","",_xlfn.XLOOKUP($C246,Order!$C:$C,Order!$D:$D,"",0,1))</f>
        <v>SU091</v>
      </c>
      <c r="E246" s="4" t="e" vm="440">
        <f>IF($C246="","",_xlfn.XLOOKUP($C246,Order!$C:$C,Order!$E:$E,"",0,1))</f>
        <v>#VALUE!</v>
      </c>
      <c r="F246" s="4">
        <f>IF($C246="","",_xlfn.XLOOKUP($C246,Order!$C:$C,Order!$F:$F,"",0,1))</f>
        <v>6000</v>
      </c>
      <c r="G246" s="4" t="str">
        <f>IF($C246="","",_xlfn.XLOOKUP($C246,Order!$C:$C,Order!$G:$G,"",0,1))</f>
        <v>6063T5</v>
      </c>
      <c r="H246" s="4">
        <f>IF($C246="","",_xlfn.XLOOKUP($C246,Order!$C:$C,Order!$H:$H,"",0,1))</f>
        <v>0.42699999999999999</v>
      </c>
      <c r="I246" s="36">
        <f>IF($C246="","",_xlfn.XLOOKUP($C246,Order!$C:$C,Order!$I:$I,"",0,1))</f>
        <v>0</v>
      </c>
      <c r="J246" s="4" t="str">
        <f>IF(C246="","",Order!$I$16)</f>
        <v>MILL FINISH</v>
      </c>
      <c r="K246" s="36">
        <f>IF($C246="","",_xlfn.XLOOKUP($C246,Order!$C:$C,Order!$P:$P,"",0,1))</f>
        <v>0</v>
      </c>
      <c r="L246" s="4">
        <f t="shared" si="3"/>
        <v>0</v>
      </c>
    </row>
    <row r="247" spans="2:12" ht="23.25" hidden="1" customHeight="1" x14ac:dyDescent="0.25">
      <c r="B247" s="4">
        <v>242</v>
      </c>
      <c r="C247" s="36" t="str">
        <f>IF(Order!$C$258="","",Order!$C$258)</f>
        <v>SU103</v>
      </c>
      <c r="D247" s="36" t="str">
        <f>IF($C247="","",_xlfn.XLOOKUP($C247,Order!$C:$C,Order!$D:$D,"",0,1))</f>
        <v>SU103</v>
      </c>
      <c r="E247" s="4" t="e" vm="441">
        <f>IF($C247="","",_xlfn.XLOOKUP($C247,Order!$C:$C,Order!$E:$E,"",0,1))</f>
        <v>#VALUE!</v>
      </c>
      <c r="F247" s="4">
        <f>IF($C247="","",_xlfn.XLOOKUP($C247,Order!$C:$C,Order!$F:$F,"",0,1))</f>
        <v>6000</v>
      </c>
      <c r="G247" s="4" t="str">
        <f>IF($C247="","",_xlfn.XLOOKUP($C247,Order!$C:$C,Order!$G:$G,"",0,1))</f>
        <v>6063T5</v>
      </c>
      <c r="H247" s="4">
        <f>IF($C247="","",_xlfn.XLOOKUP($C247,Order!$C:$C,Order!$H:$H,"",0,1))</f>
        <v>0.14299999999999999</v>
      </c>
      <c r="I247" s="36">
        <f>IF($C247="","",_xlfn.XLOOKUP($C247,Order!$C:$C,Order!$I:$I,"",0,1))</f>
        <v>0</v>
      </c>
      <c r="J247" s="4" t="str">
        <f>IF(C247="","",Order!$I$16)</f>
        <v>MILL FINISH</v>
      </c>
      <c r="K247" s="36">
        <f>IF($C247="","",_xlfn.XLOOKUP($C247,Order!$C:$C,Order!$P:$P,"",0,1))</f>
        <v>0</v>
      </c>
      <c r="L247" s="4">
        <f t="shared" si="3"/>
        <v>0</v>
      </c>
    </row>
    <row r="248" spans="2:12" ht="23.25" hidden="1" customHeight="1" x14ac:dyDescent="0.25">
      <c r="B248" s="4">
        <v>243</v>
      </c>
      <c r="C248" s="36" t="str">
        <f>IF(Order!$C$259="","",Order!$C$259)</f>
        <v>SU276</v>
      </c>
      <c r="D248" s="36" t="str">
        <f>IF($C248="","",_xlfn.XLOOKUP($C248,Order!$C:$C,Order!$D:$D,"",0,1))</f>
        <v>SU276</v>
      </c>
      <c r="E248" s="4" t="e" vm="442">
        <f>IF($C248="","",_xlfn.XLOOKUP($C248,Order!$C:$C,Order!$E:$E,"",0,1))</f>
        <v>#VALUE!</v>
      </c>
      <c r="F248" s="4">
        <f>IF($C248="","",_xlfn.XLOOKUP($C248,Order!$C:$C,Order!$F:$F,"",0,1))</f>
        <v>6000</v>
      </c>
      <c r="G248" s="4" t="str">
        <f>IF($C248="","",_xlfn.XLOOKUP($C248,Order!$C:$C,Order!$G:$G,"",0,1))</f>
        <v>6063T5</v>
      </c>
      <c r="H248" s="4">
        <f>IF($C248="","",_xlfn.XLOOKUP($C248,Order!$C:$C,Order!$H:$H,"",0,1))</f>
        <v>0.17199999999999999</v>
      </c>
      <c r="I248" s="36">
        <f>IF($C248="","",_xlfn.XLOOKUP($C248,Order!$C:$C,Order!$I:$I,"",0,1))</f>
        <v>0</v>
      </c>
      <c r="J248" s="4" t="str">
        <f>IF(C248="","",Order!$I$16)</f>
        <v>MILL FINISH</v>
      </c>
      <c r="K248" s="36">
        <f>IF($C248="","",_xlfn.XLOOKUP($C248,Order!$C:$C,Order!$P:$P,"",0,1))</f>
        <v>0</v>
      </c>
      <c r="L248" s="4">
        <f t="shared" si="3"/>
        <v>0</v>
      </c>
    </row>
    <row r="249" spans="2:12" ht="23.25" hidden="1" customHeight="1" x14ac:dyDescent="0.25">
      <c r="B249" s="4">
        <v>244</v>
      </c>
      <c r="C249" s="36" t="str">
        <f>IF(Order!$C$260="","",Order!$C$260)</f>
        <v>SU302</v>
      </c>
      <c r="D249" s="36" t="str">
        <f>IF($C249="","",_xlfn.XLOOKUP($C249,Order!$C:$C,Order!$D:$D,"",0,1))</f>
        <v>SU302</v>
      </c>
      <c r="E249" s="4" t="e" vm="443">
        <f>IF($C249="","",_xlfn.XLOOKUP($C249,Order!$C:$C,Order!$E:$E,"",0,1))</f>
        <v>#VALUE!</v>
      </c>
      <c r="F249" s="4">
        <f>IF($C249="","",_xlfn.XLOOKUP($C249,Order!$C:$C,Order!$F:$F,"",0,1))</f>
        <v>6000</v>
      </c>
      <c r="G249" s="4" t="str">
        <f>IF($C249="","",_xlfn.XLOOKUP($C249,Order!$C:$C,Order!$G:$G,"",0,1))</f>
        <v>6063T5</v>
      </c>
      <c r="H249" s="4">
        <f>IF($C249="","",_xlfn.XLOOKUP($C249,Order!$C:$C,Order!$H:$H,"",0,1))</f>
        <v>0.22700000000000001</v>
      </c>
      <c r="I249" s="36">
        <f>IF($C249="","",_xlfn.XLOOKUP($C249,Order!$C:$C,Order!$I:$I,"",0,1))</f>
        <v>0</v>
      </c>
      <c r="J249" s="4" t="str">
        <f>IF(C249="","",Order!$I$16)</f>
        <v>MILL FINISH</v>
      </c>
      <c r="K249" s="36">
        <f>IF($C249="","",_xlfn.XLOOKUP($C249,Order!$C:$C,Order!$P:$P,"",0,1))</f>
        <v>0</v>
      </c>
      <c r="L249" s="4">
        <f t="shared" si="3"/>
        <v>0</v>
      </c>
    </row>
    <row r="250" spans="2:12" ht="23.25" hidden="1" customHeight="1" x14ac:dyDescent="0.25">
      <c r="B250" s="4">
        <v>245</v>
      </c>
      <c r="C250" s="36" t="str">
        <f>IF(Order!$C$261="","",Order!$C$261)</f>
        <v>SU779</v>
      </c>
      <c r="D250" s="36" t="str">
        <f>IF($C250="","",_xlfn.XLOOKUP($C250,Order!$C:$C,Order!$D:$D,"",0,1))</f>
        <v>SU779</v>
      </c>
      <c r="E250" s="4" t="e" vm="444">
        <f>IF($C250="","",_xlfn.XLOOKUP($C250,Order!$C:$C,Order!$E:$E,"",0,1))</f>
        <v>#VALUE!</v>
      </c>
      <c r="F250" s="4">
        <f>IF($C250="","",_xlfn.XLOOKUP($C250,Order!$C:$C,Order!$F:$F,"",0,1))</f>
        <v>6000</v>
      </c>
      <c r="G250" s="4" t="str">
        <f>IF($C250="","",_xlfn.XLOOKUP($C250,Order!$C:$C,Order!$G:$G,"",0,1))</f>
        <v>6063T5</v>
      </c>
      <c r="H250" s="4">
        <f>IF($C250="","",_xlfn.XLOOKUP($C250,Order!$C:$C,Order!$H:$H,"",0,1))</f>
        <v>0.378</v>
      </c>
      <c r="I250" s="36">
        <f>IF($C250="","",_xlfn.XLOOKUP($C250,Order!$C:$C,Order!$I:$I,"",0,1))</f>
        <v>0</v>
      </c>
      <c r="J250" s="4" t="str">
        <f>IF(C250="","",Order!$I$16)</f>
        <v>MILL FINISH</v>
      </c>
      <c r="K250" s="36">
        <f>IF($C250="","",_xlfn.XLOOKUP($C250,Order!$C:$C,Order!$P:$P,"",0,1))</f>
        <v>0</v>
      </c>
      <c r="L250" s="4">
        <f t="shared" si="3"/>
        <v>0</v>
      </c>
    </row>
    <row r="251" spans="2:12" ht="23.25" hidden="1" customHeight="1" x14ac:dyDescent="0.25">
      <c r="B251" s="4">
        <v>246</v>
      </c>
      <c r="C251" s="36" t="str">
        <f>IF(Order!$C$262="","",Order!$C$262)</f>
        <v>SU004</v>
      </c>
      <c r="D251" s="36" t="str">
        <f>IF($C251="","",_xlfn.XLOOKUP($C251,Order!$C:$C,Order!$D:$D,"",0,1))</f>
        <v>SU004</v>
      </c>
      <c r="E251" s="4" t="e" vm="445">
        <f>IF($C251="","",_xlfn.XLOOKUP($C251,Order!$C:$C,Order!$E:$E,"",0,1))</f>
        <v>#VALUE!</v>
      </c>
      <c r="F251" s="4">
        <f>IF($C251="","",_xlfn.XLOOKUP($C251,Order!$C:$C,Order!$F:$F,"",0,1))</f>
        <v>6000</v>
      </c>
      <c r="G251" s="4" t="str">
        <f>IF($C251="","",_xlfn.XLOOKUP($C251,Order!$C:$C,Order!$G:$G,"",0,1))</f>
        <v>6063T5</v>
      </c>
      <c r="H251" s="4">
        <f>IF($C251="","",_xlfn.XLOOKUP($C251,Order!$C:$C,Order!$H:$H,"",0,1))</f>
        <v>0.47799999999999998</v>
      </c>
      <c r="I251" s="36">
        <f>IF($C251="","",_xlfn.XLOOKUP($C251,Order!$C:$C,Order!$I:$I,"",0,1))</f>
        <v>0</v>
      </c>
      <c r="J251" s="4" t="str">
        <f>IF(C251="","",Order!$I$16)</f>
        <v>MILL FINISH</v>
      </c>
      <c r="K251" s="36">
        <f>IF($C251="","",_xlfn.XLOOKUP($C251,Order!$C:$C,Order!$P:$P,"",0,1))</f>
        <v>0</v>
      </c>
      <c r="L251" s="4">
        <f t="shared" si="3"/>
        <v>0</v>
      </c>
    </row>
    <row r="252" spans="2:12" ht="23.25" hidden="1" customHeight="1" x14ac:dyDescent="0.25">
      <c r="B252" s="4">
        <v>247</v>
      </c>
      <c r="C252" s="36" t="str">
        <f>IF(Order!$C$263="","",Order!$C$263)</f>
        <v>SU005</v>
      </c>
      <c r="D252" s="36" t="str">
        <f>IF($C252="","",_xlfn.XLOOKUP($C252,Order!$C:$C,Order!$D:$D,"",0,1))</f>
        <v>SU005</v>
      </c>
      <c r="E252" s="4" t="e" vm="446">
        <f>IF($C252="","",_xlfn.XLOOKUP($C252,Order!$C:$C,Order!$E:$E,"",0,1))</f>
        <v>#VALUE!</v>
      </c>
      <c r="F252" s="4">
        <f>IF($C252="","",_xlfn.XLOOKUP($C252,Order!$C:$C,Order!$F:$F,"",0,1))</f>
        <v>6000</v>
      </c>
      <c r="G252" s="4" t="str">
        <f>IF($C252="","",_xlfn.XLOOKUP($C252,Order!$C:$C,Order!$G:$G,"",0,1))</f>
        <v>6063T5</v>
      </c>
      <c r="H252" s="4">
        <f>IF($C252="","",_xlfn.XLOOKUP($C252,Order!$C:$C,Order!$H:$H,"",0,1))</f>
        <v>1.012</v>
      </c>
      <c r="I252" s="36">
        <f>IF($C252="","",_xlfn.XLOOKUP($C252,Order!$C:$C,Order!$I:$I,"",0,1))</f>
        <v>0</v>
      </c>
      <c r="J252" s="4" t="str">
        <f>IF(C252="","",Order!$I$16)</f>
        <v>MILL FINISH</v>
      </c>
      <c r="K252" s="36">
        <f>IF($C252="","",_xlfn.XLOOKUP($C252,Order!$C:$C,Order!$P:$P,"",0,1))</f>
        <v>0</v>
      </c>
      <c r="L252" s="4">
        <f t="shared" si="3"/>
        <v>0</v>
      </c>
    </row>
    <row r="253" spans="2:12" ht="23.25" hidden="1" customHeight="1" x14ac:dyDescent="0.25">
      <c r="B253" s="4">
        <v>248</v>
      </c>
      <c r="C253" s="36" t="str">
        <f>IF(Order!$C$264="","",Order!$C$264)</f>
        <v>SU006</v>
      </c>
      <c r="D253" s="36" t="str">
        <f>IF($C253="","",_xlfn.XLOOKUP($C253,Order!$C:$C,Order!$D:$D,"",0,1))</f>
        <v>SU006</v>
      </c>
      <c r="E253" s="4" t="e" vm="447">
        <f>IF($C253="","",_xlfn.XLOOKUP($C253,Order!$C:$C,Order!$E:$E,"",0,1))</f>
        <v>#VALUE!</v>
      </c>
      <c r="F253" s="4">
        <f>IF($C253="","",_xlfn.XLOOKUP($C253,Order!$C:$C,Order!$F:$F,"",0,1))</f>
        <v>6000</v>
      </c>
      <c r="G253" s="4" t="str">
        <f>IF($C253="","",_xlfn.XLOOKUP($C253,Order!$C:$C,Order!$G:$G,"",0,1))</f>
        <v>6063T5</v>
      </c>
      <c r="H253" s="4">
        <f>IF($C253="","",_xlfn.XLOOKUP($C253,Order!$C:$C,Order!$H:$H,"",0,1))</f>
        <v>0.98399999999999999</v>
      </c>
      <c r="I253" s="36">
        <f>IF($C253="","",_xlfn.XLOOKUP($C253,Order!$C:$C,Order!$I:$I,"",0,1))</f>
        <v>0</v>
      </c>
      <c r="J253" s="4" t="str">
        <f>IF(C253="","",Order!$I$16)</f>
        <v>MILL FINISH</v>
      </c>
      <c r="K253" s="36">
        <f>IF($C253="","",_xlfn.XLOOKUP($C253,Order!$C:$C,Order!$P:$P,"",0,1))</f>
        <v>0</v>
      </c>
      <c r="L253" s="4">
        <f t="shared" si="3"/>
        <v>0</v>
      </c>
    </row>
    <row r="254" spans="2:12" ht="23.25" hidden="1" customHeight="1" x14ac:dyDescent="0.25">
      <c r="B254" s="4">
        <v>249</v>
      </c>
      <c r="C254" s="36" t="str">
        <f>IF(Order!$C$265="","",Order!$C$265)</f>
        <v>SU007</v>
      </c>
      <c r="D254" s="36" t="str">
        <f>IF($C254="","",_xlfn.XLOOKUP($C254,Order!$C:$C,Order!$D:$D,"",0,1))</f>
        <v>SU007</v>
      </c>
      <c r="E254" s="4" t="e" vm="448">
        <f>IF($C254="","",_xlfn.XLOOKUP($C254,Order!$C:$C,Order!$E:$E,"",0,1))</f>
        <v>#VALUE!</v>
      </c>
      <c r="F254" s="4">
        <f>IF($C254="","",_xlfn.XLOOKUP($C254,Order!$C:$C,Order!$F:$F,"",0,1))</f>
        <v>6000</v>
      </c>
      <c r="G254" s="4" t="str">
        <f>IF($C254="","",_xlfn.XLOOKUP($C254,Order!$C:$C,Order!$G:$G,"",0,1))</f>
        <v>6063T5</v>
      </c>
      <c r="H254" s="4">
        <f>IF($C254="","",_xlfn.XLOOKUP($C254,Order!$C:$C,Order!$H:$H,"",0,1))</f>
        <v>0.38100000000000001</v>
      </c>
      <c r="I254" s="36">
        <f>IF($C254="","",_xlfn.XLOOKUP($C254,Order!$C:$C,Order!$I:$I,"",0,1))</f>
        <v>0</v>
      </c>
      <c r="J254" s="4" t="str">
        <f>IF(C254="","",Order!$I$16)</f>
        <v>MILL FINISH</v>
      </c>
      <c r="K254" s="36">
        <f>IF($C254="","",_xlfn.XLOOKUP($C254,Order!$C:$C,Order!$P:$P,"",0,1))</f>
        <v>0</v>
      </c>
      <c r="L254" s="4">
        <f t="shared" si="3"/>
        <v>0</v>
      </c>
    </row>
    <row r="255" spans="2:12" ht="23.25" hidden="1" customHeight="1" x14ac:dyDescent="0.25">
      <c r="B255" s="4">
        <v>250</v>
      </c>
      <c r="C255" s="36" t="str">
        <f>IF(Order!$C$266="","",Order!$C$266)</f>
        <v>SU009</v>
      </c>
      <c r="D255" s="36" t="str">
        <f>IF($C255="","",_xlfn.XLOOKUP($C255,Order!$C:$C,Order!$D:$D,"",0,1))</f>
        <v>SU009</v>
      </c>
      <c r="E255" s="4" t="e" vm="449">
        <f>IF($C255="","",_xlfn.XLOOKUP($C255,Order!$C:$C,Order!$E:$E,"",0,1))</f>
        <v>#VALUE!</v>
      </c>
      <c r="F255" s="4">
        <f>IF($C255="","",_xlfn.XLOOKUP($C255,Order!$C:$C,Order!$F:$F,"",0,1))</f>
        <v>6000</v>
      </c>
      <c r="G255" s="4" t="str">
        <f>IF($C255="","",_xlfn.XLOOKUP($C255,Order!$C:$C,Order!$G:$G,"",0,1))</f>
        <v>6063T5</v>
      </c>
      <c r="H255" s="4">
        <f>IF($C255="","",_xlfn.XLOOKUP($C255,Order!$C:$C,Order!$H:$H,"",0,1))</f>
        <v>1.0669999999999999</v>
      </c>
      <c r="I255" s="36">
        <f>IF($C255="","",_xlfn.XLOOKUP($C255,Order!$C:$C,Order!$I:$I,"",0,1))</f>
        <v>0</v>
      </c>
      <c r="J255" s="4" t="str">
        <f>IF(C255="","",Order!$I$16)</f>
        <v>MILL FINISH</v>
      </c>
      <c r="K255" s="36">
        <f>IF($C255="","",_xlfn.XLOOKUP($C255,Order!$C:$C,Order!$P:$P,"",0,1))</f>
        <v>0</v>
      </c>
      <c r="L255" s="4">
        <f t="shared" si="3"/>
        <v>0</v>
      </c>
    </row>
    <row r="256" spans="2:12" ht="23.25" hidden="1" customHeight="1" x14ac:dyDescent="0.25">
      <c r="B256" s="4">
        <v>251</v>
      </c>
      <c r="C256" s="36" t="str">
        <f>IF(Order!$C$267="","",Order!$C$267)</f>
        <v>SU010</v>
      </c>
      <c r="D256" s="36" t="str">
        <f>IF($C256="","",_xlfn.XLOOKUP($C256,Order!$C:$C,Order!$D:$D,"",0,1))</f>
        <v>SU010</v>
      </c>
      <c r="E256" s="4" t="e" vm="450">
        <f>IF($C256="","",_xlfn.XLOOKUP($C256,Order!$C:$C,Order!$E:$E,"",0,1))</f>
        <v>#VALUE!</v>
      </c>
      <c r="F256" s="4">
        <f>IF($C256="","",_xlfn.XLOOKUP($C256,Order!$C:$C,Order!$F:$F,"",0,1))</f>
        <v>6000</v>
      </c>
      <c r="G256" s="4" t="str">
        <f>IF($C256="","",_xlfn.XLOOKUP($C256,Order!$C:$C,Order!$G:$G,"",0,1))</f>
        <v>6063T5</v>
      </c>
      <c r="H256" s="4">
        <f>IF($C256="","",_xlfn.XLOOKUP($C256,Order!$C:$C,Order!$H:$H,"",0,1))</f>
        <v>1.0349999999999999</v>
      </c>
      <c r="I256" s="36">
        <f>IF($C256="","",_xlfn.XLOOKUP($C256,Order!$C:$C,Order!$I:$I,"",0,1))</f>
        <v>0</v>
      </c>
      <c r="J256" s="4" t="str">
        <f>IF(C256="","",Order!$I$16)</f>
        <v>MILL FINISH</v>
      </c>
      <c r="K256" s="36">
        <f>IF($C256="","",_xlfn.XLOOKUP($C256,Order!$C:$C,Order!$P:$P,"",0,1))</f>
        <v>0</v>
      </c>
      <c r="L256" s="4">
        <f t="shared" si="3"/>
        <v>0</v>
      </c>
    </row>
    <row r="257" spans="2:12" ht="23.25" hidden="1" customHeight="1" x14ac:dyDescent="0.25">
      <c r="B257" s="4">
        <v>252</v>
      </c>
      <c r="C257" s="36" t="str">
        <f>IF(Order!$C$268="","",Order!$C$268)</f>
        <v>SU011</v>
      </c>
      <c r="D257" s="36" t="str">
        <f>IF($C257="","",_xlfn.XLOOKUP($C257,Order!$C:$C,Order!$D:$D,"",0,1))</f>
        <v>SU011</v>
      </c>
      <c r="E257" s="4" t="e" vm="451">
        <f>IF($C257="","",_xlfn.XLOOKUP($C257,Order!$C:$C,Order!$E:$E,"",0,1))</f>
        <v>#VALUE!</v>
      </c>
      <c r="F257" s="4">
        <f>IF($C257="","",_xlfn.XLOOKUP($C257,Order!$C:$C,Order!$F:$F,"",0,1))</f>
        <v>6000</v>
      </c>
      <c r="G257" s="4" t="str">
        <f>IF($C257="","",_xlfn.XLOOKUP($C257,Order!$C:$C,Order!$G:$G,"",0,1))</f>
        <v>6063T5</v>
      </c>
      <c r="H257" s="4">
        <f>IF($C257="","",_xlfn.XLOOKUP($C257,Order!$C:$C,Order!$H:$H,"",0,1))</f>
        <v>0.97299999999999998</v>
      </c>
      <c r="I257" s="36">
        <f>IF($C257="","",_xlfn.XLOOKUP($C257,Order!$C:$C,Order!$I:$I,"",0,1))</f>
        <v>0</v>
      </c>
      <c r="J257" s="4" t="str">
        <f>IF(C257="","",Order!$I$16)</f>
        <v>MILL FINISH</v>
      </c>
      <c r="K257" s="36">
        <f>IF($C257="","",_xlfn.XLOOKUP($C257,Order!$C:$C,Order!$P:$P,"",0,1))</f>
        <v>0</v>
      </c>
      <c r="L257" s="4">
        <f t="shared" si="3"/>
        <v>0</v>
      </c>
    </row>
    <row r="258" spans="2:12" ht="23.25" hidden="1" customHeight="1" x14ac:dyDescent="0.25">
      <c r="B258" s="4">
        <v>253</v>
      </c>
      <c r="C258" s="36" t="str">
        <f>IF(Order!$C$269="","",Order!$C$269)</f>
        <v>SU012</v>
      </c>
      <c r="D258" s="36" t="str">
        <f>IF($C258="","",_xlfn.XLOOKUP($C258,Order!$C:$C,Order!$D:$D,"",0,1))</f>
        <v>SU012</v>
      </c>
      <c r="E258" s="4" t="e" vm="452">
        <f>IF($C258="","",_xlfn.XLOOKUP($C258,Order!$C:$C,Order!$E:$E,"",0,1))</f>
        <v>#VALUE!</v>
      </c>
      <c r="F258" s="4">
        <f>IF($C258="","",_xlfn.XLOOKUP($C258,Order!$C:$C,Order!$F:$F,"",0,1))</f>
        <v>6000</v>
      </c>
      <c r="G258" s="4" t="str">
        <f>IF($C258="","",_xlfn.XLOOKUP($C258,Order!$C:$C,Order!$G:$G,"",0,1))</f>
        <v>6063T5</v>
      </c>
      <c r="H258" s="4">
        <f>IF($C258="","",_xlfn.XLOOKUP($C258,Order!$C:$C,Order!$H:$H,"",0,1))</f>
        <v>0.47499999999999998</v>
      </c>
      <c r="I258" s="36">
        <f>IF($C258="","",_xlfn.XLOOKUP($C258,Order!$C:$C,Order!$I:$I,"",0,1))</f>
        <v>0</v>
      </c>
      <c r="J258" s="4" t="str">
        <f>IF(C258="","",Order!$I$16)</f>
        <v>MILL FINISH</v>
      </c>
      <c r="K258" s="36">
        <f>IF($C258="","",_xlfn.XLOOKUP($C258,Order!$C:$C,Order!$P:$P,"",0,1))</f>
        <v>0</v>
      </c>
      <c r="L258" s="4">
        <f t="shared" si="3"/>
        <v>0</v>
      </c>
    </row>
    <row r="259" spans="2:12" ht="23.25" hidden="1" customHeight="1" x14ac:dyDescent="0.25">
      <c r="B259" s="4">
        <v>254</v>
      </c>
      <c r="C259" s="36" t="str">
        <f>IF(Order!$C$270="","",Order!$C$270)</f>
        <v>SU121</v>
      </c>
      <c r="D259" s="36" t="str">
        <f>IF($C259="","",_xlfn.XLOOKUP($C259,Order!$C:$C,Order!$D:$D,"",0,1))</f>
        <v>SU121</v>
      </c>
      <c r="E259" s="4" t="e" vm="453">
        <f>IF($C259="","",_xlfn.XLOOKUP($C259,Order!$C:$C,Order!$E:$E,"",0,1))</f>
        <v>#VALUE!</v>
      </c>
      <c r="F259" s="4">
        <f>IF($C259="","",_xlfn.XLOOKUP($C259,Order!$C:$C,Order!$F:$F,"",0,1))</f>
        <v>6000</v>
      </c>
      <c r="G259" s="4" t="str">
        <f>IF($C259="","",_xlfn.XLOOKUP($C259,Order!$C:$C,Order!$G:$G,"",0,1))</f>
        <v>6063T5</v>
      </c>
      <c r="H259" s="4">
        <f>IF($C259="","",_xlfn.XLOOKUP($C259,Order!$C:$C,Order!$H:$H,"",0,1))</f>
        <v>1.423</v>
      </c>
      <c r="I259" s="36">
        <f>IF($C259="","",_xlfn.XLOOKUP($C259,Order!$C:$C,Order!$I:$I,"",0,1))</f>
        <v>0</v>
      </c>
      <c r="J259" s="4" t="str">
        <f>IF(C259="","",Order!$I$16)</f>
        <v>MILL FINISH</v>
      </c>
      <c r="K259" s="36">
        <f>IF($C259="","",_xlfn.XLOOKUP($C259,Order!$C:$C,Order!$P:$P,"",0,1))</f>
        <v>0</v>
      </c>
      <c r="L259" s="4">
        <f t="shared" si="3"/>
        <v>0</v>
      </c>
    </row>
    <row r="260" spans="2:12" ht="23.25" hidden="1" customHeight="1" x14ac:dyDescent="0.25">
      <c r="B260" s="4">
        <v>255</v>
      </c>
      <c r="C260" s="36" t="str">
        <f>IF(Order!$C$271="","",Order!$C$271)</f>
        <v>SU122</v>
      </c>
      <c r="D260" s="36" t="str">
        <f>IF($C260="","",_xlfn.XLOOKUP($C260,Order!$C:$C,Order!$D:$D,"",0,1))</f>
        <v>SU122</v>
      </c>
      <c r="E260" s="4" t="e" vm="454">
        <f>IF($C260="","",_xlfn.XLOOKUP($C260,Order!$C:$C,Order!$E:$E,"",0,1))</f>
        <v>#VALUE!</v>
      </c>
      <c r="F260" s="4">
        <f>IF($C260="","",_xlfn.XLOOKUP($C260,Order!$C:$C,Order!$F:$F,"",0,1))</f>
        <v>6000</v>
      </c>
      <c r="G260" s="4" t="str">
        <f>IF($C260="","",_xlfn.XLOOKUP($C260,Order!$C:$C,Order!$G:$G,"",0,1))</f>
        <v>6063T5</v>
      </c>
      <c r="H260" s="4">
        <f>IF($C260="","",_xlfn.XLOOKUP($C260,Order!$C:$C,Order!$H:$H,"",0,1))</f>
        <v>1.46</v>
      </c>
      <c r="I260" s="36">
        <f>IF($C260="","",_xlfn.XLOOKUP($C260,Order!$C:$C,Order!$I:$I,"",0,1))</f>
        <v>0</v>
      </c>
      <c r="J260" s="4" t="str">
        <f>IF(C260="","",Order!$I$16)</f>
        <v>MILL FINISH</v>
      </c>
      <c r="K260" s="36">
        <f>IF($C260="","",_xlfn.XLOOKUP($C260,Order!$C:$C,Order!$P:$P,"",0,1))</f>
        <v>0</v>
      </c>
      <c r="L260" s="4">
        <f t="shared" si="3"/>
        <v>0</v>
      </c>
    </row>
    <row r="261" spans="2:12" ht="23.25" hidden="1" customHeight="1" x14ac:dyDescent="0.25">
      <c r="B261" s="4">
        <v>256</v>
      </c>
      <c r="C261" s="36" t="str">
        <f>IF(Order!$C$272="","",Order!$C$272)</f>
        <v>SU123</v>
      </c>
      <c r="D261" s="36" t="str">
        <f>IF($C261="","",_xlfn.XLOOKUP($C261,Order!$C:$C,Order!$D:$D,"",0,1))</f>
        <v>SU123</v>
      </c>
      <c r="E261" s="4" t="e" vm="455">
        <f>IF($C261="","",_xlfn.XLOOKUP($C261,Order!$C:$C,Order!$E:$E,"",0,1))</f>
        <v>#VALUE!</v>
      </c>
      <c r="F261" s="4">
        <f>IF($C261="","",_xlfn.XLOOKUP($C261,Order!$C:$C,Order!$F:$F,"",0,1))</f>
        <v>6000</v>
      </c>
      <c r="G261" s="4" t="str">
        <f>IF($C261="","",_xlfn.XLOOKUP($C261,Order!$C:$C,Order!$G:$G,"",0,1))</f>
        <v>6063T5</v>
      </c>
      <c r="H261" s="4">
        <f>IF($C261="","",_xlfn.XLOOKUP($C261,Order!$C:$C,Order!$H:$H,"",0,1))</f>
        <v>0.84799999999999998</v>
      </c>
      <c r="I261" s="36">
        <f>IF($C261="","",_xlfn.XLOOKUP($C261,Order!$C:$C,Order!$I:$I,"",0,1))</f>
        <v>0</v>
      </c>
      <c r="J261" s="4" t="str">
        <f>IF(C261="","",Order!$I$16)</f>
        <v>MILL FINISH</v>
      </c>
      <c r="K261" s="36">
        <f>IF($C261="","",_xlfn.XLOOKUP($C261,Order!$C:$C,Order!$P:$P,"",0,1))</f>
        <v>0</v>
      </c>
      <c r="L261" s="4">
        <f t="shared" si="3"/>
        <v>0</v>
      </c>
    </row>
    <row r="262" spans="2:12" ht="23.25" hidden="1" customHeight="1" x14ac:dyDescent="0.25">
      <c r="B262" s="4">
        <v>257</v>
      </c>
      <c r="C262" s="36" t="str">
        <f>IF(Order!$C$273="","",Order!$C$273)</f>
        <v>SU230</v>
      </c>
      <c r="D262" s="36" t="str">
        <f>IF($C262="","",_xlfn.XLOOKUP($C262,Order!$C:$C,Order!$D:$D,"",0,1))</f>
        <v>SU230</v>
      </c>
      <c r="E262" s="4" t="e" vm="456">
        <f>IF($C262="","",_xlfn.XLOOKUP($C262,Order!$C:$C,Order!$E:$E,"",0,1))</f>
        <v>#VALUE!</v>
      </c>
      <c r="F262" s="4">
        <f>IF($C262="","",_xlfn.XLOOKUP($C262,Order!$C:$C,Order!$F:$F,"",0,1))</f>
        <v>6000</v>
      </c>
      <c r="G262" s="4" t="str">
        <f>IF($C262="","",_xlfn.XLOOKUP($C262,Order!$C:$C,Order!$G:$G,"",0,1))</f>
        <v>6063T5</v>
      </c>
      <c r="H262" s="4">
        <f>IF($C262="","",_xlfn.XLOOKUP($C262,Order!$C:$C,Order!$H:$H,"",0,1))</f>
        <v>0.88100000000000001</v>
      </c>
      <c r="I262" s="36">
        <f>IF($C262="","",_xlfn.XLOOKUP($C262,Order!$C:$C,Order!$I:$I,"",0,1))</f>
        <v>0</v>
      </c>
      <c r="J262" s="4" t="str">
        <f>IF(C262="","",Order!$I$16)</f>
        <v>MILL FINISH</v>
      </c>
      <c r="K262" s="36">
        <f>IF($C262="","",_xlfn.XLOOKUP($C262,Order!$C:$C,Order!$P:$P,"",0,1))</f>
        <v>0</v>
      </c>
      <c r="L262" s="4">
        <f t="shared" si="3"/>
        <v>0</v>
      </c>
    </row>
    <row r="263" spans="2:12" ht="23.25" hidden="1" customHeight="1" x14ac:dyDescent="0.25">
      <c r="B263" s="4">
        <v>258</v>
      </c>
      <c r="C263" s="36" t="str">
        <f>IF(Order!$C$274="","",Order!$C$274)</f>
        <v>SU238</v>
      </c>
      <c r="D263" s="36" t="str">
        <f>IF($C263="","",_xlfn.XLOOKUP($C263,Order!$C:$C,Order!$D:$D,"",0,1))</f>
        <v>SU238</v>
      </c>
      <c r="E263" s="4" t="e" vm="457">
        <f>IF($C263="","",_xlfn.XLOOKUP($C263,Order!$C:$C,Order!$E:$E,"",0,1))</f>
        <v>#VALUE!</v>
      </c>
      <c r="F263" s="4">
        <f>IF($C263="","",_xlfn.XLOOKUP($C263,Order!$C:$C,Order!$F:$F,"",0,1))</f>
        <v>6000</v>
      </c>
      <c r="G263" s="4" t="str">
        <f>IF($C263="","",_xlfn.XLOOKUP($C263,Order!$C:$C,Order!$G:$G,"",0,1))</f>
        <v>6063T5</v>
      </c>
      <c r="H263" s="4">
        <f>IF($C263="","",_xlfn.XLOOKUP($C263,Order!$C:$C,Order!$H:$H,"",0,1))</f>
        <v>0.72699999999999998</v>
      </c>
      <c r="I263" s="36">
        <f>IF($C263="","",_xlfn.XLOOKUP($C263,Order!$C:$C,Order!$I:$I,"",0,1))</f>
        <v>0</v>
      </c>
      <c r="J263" s="4" t="str">
        <f>IF(C263="","",Order!$I$16)</f>
        <v>MILL FINISH</v>
      </c>
      <c r="K263" s="36">
        <f>IF($C263="","",_xlfn.XLOOKUP($C263,Order!$C:$C,Order!$P:$P,"",0,1))</f>
        <v>0</v>
      </c>
      <c r="L263" s="4">
        <f t="shared" ref="L263:L326" si="4">IF(C263="","",F263/1000*H263*I263)</f>
        <v>0</v>
      </c>
    </row>
    <row r="264" spans="2:12" ht="23.25" hidden="1" customHeight="1" x14ac:dyDescent="0.25">
      <c r="B264" s="4">
        <v>259</v>
      </c>
      <c r="C264" s="36" t="str">
        <f>IF(Order!$C$275="","",Order!$C$275)</f>
        <v>SU250</v>
      </c>
      <c r="D264" s="36" t="str">
        <f>IF($C264="","",_xlfn.XLOOKUP($C264,Order!$C:$C,Order!$D:$D,"",0,1))</f>
        <v>SU250</v>
      </c>
      <c r="E264" s="4" t="e" vm="458">
        <f>IF($C264="","",_xlfn.XLOOKUP($C264,Order!$C:$C,Order!$E:$E,"",0,1))</f>
        <v>#VALUE!</v>
      </c>
      <c r="F264" s="4">
        <f>IF($C264="","",_xlfn.XLOOKUP($C264,Order!$C:$C,Order!$F:$F,"",0,1))</f>
        <v>6000</v>
      </c>
      <c r="G264" s="4" t="str">
        <f>IF($C264="","",_xlfn.XLOOKUP($C264,Order!$C:$C,Order!$G:$G,"",0,1))</f>
        <v>6063T5</v>
      </c>
      <c r="H264" s="4">
        <f>IF($C264="","",_xlfn.XLOOKUP($C264,Order!$C:$C,Order!$H:$H,"",0,1))</f>
        <v>0.89400000000000002</v>
      </c>
      <c r="I264" s="36">
        <f>IF($C264="","",_xlfn.XLOOKUP($C264,Order!$C:$C,Order!$I:$I,"",0,1))</f>
        <v>0</v>
      </c>
      <c r="J264" s="4" t="str">
        <f>IF(C264="","",Order!$I$16)</f>
        <v>MILL FINISH</v>
      </c>
      <c r="K264" s="36">
        <f>IF($C264="","",_xlfn.XLOOKUP($C264,Order!$C:$C,Order!$P:$P,"",0,1))</f>
        <v>0</v>
      </c>
      <c r="L264" s="4">
        <f t="shared" si="4"/>
        <v>0</v>
      </c>
    </row>
    <row r="265" spans="2:12" ht="23.25" hidden="1" customHeight="1" x14ac:dyDescent="0.25">
      <c r="B265" s="4">
        <v>260</v>
      </c>
      <c r="C265" s="36" t="str">
        <f>IF(Order!$C$276="","",Order!$C$276)</f>
        <v>SU279</v>
      </c>
      <c r="D265" s="36" t="str">
        <f>IF($C265="","",_xlfn.XLOOKUP($C265,Order!$C:$C,Order!$D:$D,"",0,1))</f>
        <v>SU279</v>
      </c>
      <c r="E265" s="4" t="e" vm="459">
        <f>IF($C265="","",_xlfn.XLOOKUP($C265,Order!$C:$C,Order!$E:$E,"",0,1))</f>
        <v>#VALUE!</v>
      </c>
      <c r="F265" s="4">
        <f>IF($C265="","",_xlfn.XLOOKUP($C265,Order!$C:$C,Order!$F:$F,"",0,1))</f>
        <v>6000</v>
      </c>
      <c r="G265" s="4" t="str">
        <f>IF($C265="","",_xlfn.XLOOKUP($C265,Order!$C:$C,Order!$G:$G,"",0,1))</f>
        <v>6063T5</v>
      </c>
      <c r="H265" s="4">
        <f>IF($C265="","",_xlfn.XLOOKUP($C265,Order!$C:$C,Order!$H:$H,"",0,1))</f>
        <v>0.45800000000000002</v>
      </c>
      <c r="I265" s="36">
        <f>IF($C265="","",_xlfn.XLOOKUP($C265,Order!$C:$C,Order!$I:$I,"",0,1))</f>
        <v>0</v>
      </c>
      <c r="J265" s="4" t="str">
        <f>IF(C265="","",Order!$I$16)</f>
        <v>MILL FINISH</v>
      </c>
      <c r="K265" s="36">
        <f>IF($C265="","",_xlfn.XLOOKUP($C265,Order!$C:$C,Order!$P:$P,"",0,1))</f>
        <v>0</v>
      </c>
      <c r="L265" s="4">
        <f t="shared" si="4"/>
        <v>0</v>
      </c>
    </row>
    <row r="266" spans="2:12" ht="23.25" hidden="1" customHeight="1" x14ac:dyDescent="0.25">
      <c r="B266" s="4">
        <v>261</v>
      </c>
      <c r="C266" s="36" t="str">
        <f>IF(Order!$C$277="","",Order!$C$277)</f>
        <v>SU352</v>
      </c>
      <c r="D266" s="36" t="str">
        <f>IF($C266="","",_xlfn.XLOOKUP($C266,Order!$C:$C,Order!$D:$D,"",0,1))</f>
        <v>SU352</v>
      </c>
      <c r="E266" s="4" t="e" vm="460">
        <f>IF($C266="","",_xlfn.XLOOKUP($C266,Order!$C:$C,Order!$E:$E,"",0,1))</f>
        <v>#VALUE!</v>
      </c>
      <c r="F266" s="4">
        <f>IF($C266="","",_xlfn.XLOOKUP($C266,Order!$C:$C,Order!$F:$F,"",0,1))</f>
        <v>6000</v>
      </c>
      <c r="G266" s="4" t="str">
        <f>IF($C266="","",_xlfn.XLOOKUP($C266,Order!$C:$C,Order!$G:$G,"",0,1))</f>
        <v>6063T5</v>
      </c>
      <c r="H266" s="4">
        <f>IF($C266="","",_xlfn.XLOOKUP($C266,Order!$C:$C,Order!$H:$H,"",0,1))</f>
        <v>1.127</v>
      </c>
      <c r="I266" s="36">
        <f>IF($C266="","",_xlfn.XLOOKUP($C266,Order!$C:$C,Order!$I:$I,"",0,1))</f>
        <v>0</v>
      </c>
      <c r="J266" s="4" t="str">
        <f>IF(C266="","",Order!$I$16)</f>
        <v>MILL FINISH</v>
      </c>
      <c r="K266" s="36">
        <f>IF($C266="","",_xlfn.XLOOKUP($C266,Order!$C:$C,Order!$P:$P,"",0,1))</f>
        <v>0</v>
      </c>
      <c r="L266" s="4">
        <f t="shared" si="4"/>
        <v>0</v>
      </c>
    </row>
    <row r="267" spans="2:12" ht="23.25" hidden="1" customHeight="1" x14ac:dyDescent="0.25">
      <c r="B267" s="4">
        <v>262</v>
      </c>
      <c r="C267" s="36" t="str">
        <f>IF(Order!$C$278="","",Order!$C$278)</f>
        <v>FU350</v>
      </c>
      <c r="D267" s="36" t="str">
        <f>IF($C267="","",_xlfn.XLOOKUP($C267,Order!$C:$C,Order!$D:$D,"",0,1))</f>
        <v>FU350</v>
      </c>
      <c r="E267" s="4" t="e" vm="461">
        <f>IF($C267="","",_xlfn.XLOOKUP($C267,Order!$C:$C,Order!$E:$E,"",0,1))</f>
        <v>#VALUE!</v>
      </c>
      <c r="F267" s="4">
        <f>IF($C267="","",_xlfn.XLOOKUP($C267,Order!$C:$C,Order!$F:$F,"",0,1))</f>
        <v>6000</v>
      </c>
      <c r="G267" s="4" t="str">
        <f>IF($C267="","",_xlfn.XLOOKUP($C267,Order!$C:$C,Order!$G:$G,"",0,1))</f>
        <v>6063T5</v>
      </c>
      <c r="H267" s="4">
        <f>IF($C267="","",_xlfn.XLOOKUP($C267,Order!$C:$C,Order!$H:$H,"",0,1))</f>
        <v>0.45400000000000001</v>
      </c>
      <c r="I267" s="36">
        <f>IF($C267="","",_xlfn.XLOOKUP($C267,Order!$C:$C,Order!$I:$I,"",0,1))</f>
        <v>0</v>
      </c>
      <c r="J267" s="4" t="str">
        <f>IF(C267="","",Order!$I$16)</f>
        <v>MILL FINISH</v>
      </c>
      <c r="K267" s="36">
        <f>IF($C267="","",_xlfn.XLOOKUP($C267,Order!$C:$C,Order!$P:$P,"",0,1))</f>
        <v>0</v>
      </c>
      <c r="L267" s="4">
        <f t="shared" si="4"/>
        <v>0</v>
      </c>
    </row>
    <row r="268" spans="2:12" ht="23.25" hidden="1" customHeight="1" x14ac:dyDescent="0.25">
      <c r="B268" s="4">
        <v>263</v>
      </c>
      <c r="C268" s="36" t="str">
        <f>IF(Order!$C$279="","",Order!$C$279)</f>
        <v>FU362</v>
      </c>
      <c r="D268" s="36" t="str">
        <f>IF($C268="","",_xlfn.XLOOKUP($C268,Order!$C:$C,Order!$D:$D,"",0,1))</f>
        <v>FU362</v>
      </c>
      <c r="E268" s="4" t="e" vm="462">
        <f>IF($C268="","",_xlfn.XLOOKUP($C268,Order!$C:$C,Order!$E:$E,"",0,1))</f>
        <v>#VALUE!</v>
      </c>
      <c r="F268" s="4">
        <f>IF($C268="","",_xlfn.XLOOKUP($C268,Order!$C:$C,Order!$F:$F,"",0,1))</f>
        <v>6000</v>
      </c>
      <c r="G268" s="4" t="str">
        <f>IF($C268="","",_xlfn.XLOOKUP($C268,Order!$C:$C,Order!$G:$G,"",0,1))</f>
        <v>6063T5</v>
      </c>
      <c r="H268" s="4">
        <f>IF($C268="","",_xlfn.XLOOKUP($C268,Order!$C:$C,Order!$H:$H,"",0,1))</f>
        <v>0.66800000000000004</v>
      </c>
      <c r="I268" s="36">
        <f>IF($C268="","",_xlfn.XLOOKUP($C268,Order!$C:$C,Order!$I:$I,"",0,1))</f>
        <v>0</v>
      </c>
      <c r="J268" s="4" t="str">
        <f>IF(C268="","",Order!$I$16)</f>
        <v>MILL FINISH</v>
      </c>
      <c r="K268" s="36">
        <f>IF($C268="","",_xlfn.XLOOKUP($C268,Order!$C:$C,Order!$P:$P,"",0,1))</f>
        <v>0</v>
      </c>
      <c r="L268" s="4">
        <f t="shared" si="4"/>
        <v>0</v>
      </c>
    </row>
    <row r="269" spans="2:12" ht="23.25" hidden="1" customHeight="1" x14ac:dyDescent="0.25">
      <c r="B269" s="4">
        <v>264</v>
      </c>
      <c r="C269" s="36" t="str">
        <f>IF(Order!$C$280="","",Order!$C$280)</f>
        <v>FU363</v>
      </c>
      <c r="D269" s="36" t="str">
        <f>IF($C269="","",_xlfn.XLOOKUP($C269,Order!$C:$C,Order!$D:$D,"",0,1))</f>
        <v>FU363</v>
      </c>
      <c r="E269" s="4" t="e" vm="463">
        <f>IF($C269="","",_xlfn.XLOOKUP($C269,Order!$C:$C,Order!$E:$E,"",0,1))</f>
        <v>#VALUE!</v>
      </c>
      <c r="F269" s="4">
        <f>IF($C269="","",_xlfn.XLOOKUP($C269,Order!$C:$C,Order!$F:$F,"",0,1))</f>
        <v>6000</v>
      </c>
      <c r="G269" s="4" t="str">
        <f>IF($C269="","",_xlfn.XLOOKUP($C269,Order!$C:$C,Order!$G:$G,"",0,1))</f>
        <v>6063T5</v>
      </c>
      <c r="H269" s="4">
        <f>IF($C269="","",_xlfn.XLOOKUP($C269,Order!$C:$C,Order!$H:$H,"",0,1))</f>
        <v>0.65300000000000002</v>
      </c>
      <c r="I269" s="36">
        <f>IF($C269="","",_xlfn.XLOOKUP($C269,Order!$C:$C,Order!$I:$I,"",0,1))</f>
        <v>0</v>
      </c>
      <c r="J269" s="4" t="str">
        <f>IF(C269="","",Order!$I$16)</f>
        <v>MILL FINISH</v>
      </c>
      <c r="K269" s="36">
        <f>IF($C269="","",_xlfn.XLOOKUP($C269,Order!$C:$C,Order!$P:$P,"",0,1))</f>
        <v>0</v>
      </c>
      <c r="L269" s="4">
        <f t="shared" si="4"/>
        <v>0</v>
      </c>
    </row>
    <row r="270" spans="2:12" ht="23.25" hidden="1" customHeight="1" x14ac:dyDescent="0.25">
      <c r="B270" s="4">
        <v>265</v>
      </c>
      <c r="C270" s="36" t="str">
        <f>IF(Order!$C$281="","",Order!$C$281)</f>
        <v>FU364</v>
      </c>
      <c r="D270" s="36" t="str">
        <f>IF($C270="","",_xlfn.XLOOKUP($C270,Order!$C:$C,Order!$D:$D,"",0,1))</f>
        <v>FU364</v>
      </c>
      <c r="E270" s="4" t="e" vm="464">
        <f>IF($C270="","",_xlfn.XLOOKUP($C270,Order!$C:$C,Order!$E:$E,"",0,1))</f>
        <v>#VALUE!</v>
      </c>
      <c r="F270" s="4">
        <f>IF($C270="","",_xlfn.XLOOKUP($C270,Order!$C:$C,Order!$F:$F,"",0,1))</f>
        <v>6000</v>
      </c>
      <c r="G270" s="4" t="str">
        <f>IF($C270="","",_xlfn.XLOOKUP($C270,Order!$C:$C,Order!$G:$G,"",0,1))</f>
        <v>6063T5</v>
      </c>
      <c r="H270" s="4">
        <f>IF($C270="","",_xlfn.XLOOKUP($C270,Order!$C:$C,Order!$H:$H,"",0,1))</f>
        <v>0.61</v>
      </c>
      <c r="I270" s="36">
        <f>IF($C270="","",_xlfn.XLOOKUP($C270,Order!$C:$C,Order!$I:$I,"",0,1))</f>
        <v>0</v>
      </c>
      <c r="J270" s="4" t="str">
        <f>IF(C270="","",Order!$I$16)</f>
        <v>MILL FINISH</v>
      </c>
      <c r="K270" s="36">
        <f>IF($C270="","",_xlfn.XLOOKUP($C270,Order!$C:$C,Order!$P:$P,"",0,1))</f>
        <v>0</v>
      </c>
      <c r="L270" s="4">
        <f t="shared" si="4"/>
        <v>0</v>
      </c>
    </row>
    <row r="271" spans="2:12" ht="23.25" hidden="1" customHeight="1" x14ac:dyDescent="0.25">
      <c r="B271" s="4">
        <v>266</v>
      </c>
      <c r="C271" s="36" t="str">
        <f>IF(Order!$C$282="","",Order!$C$282)</f>
        <v>FU899</v>
      </c>
      <c r="D271" s="36" t="str">
        <f>IF($C271="","",_xlfn.XLOOKUP($C271,Order!$C:$C,Order!$D:$D,"",0,1))</f>
        <v>FU899</v>
      </c>
      <c r="E271" s="4" t="e" vm="465">
        <f>IF($C271="","",_xlfn.XLOOKUP($C271,Order!$C:$C,Order!$E:$E,"",0,1))</f>
        <v>#VALUE!</v>
      </c>
      <c r="F271" s="4">
        <f>IF($C271="","",_xlfn.XLOOKUP($C271,Order!$C:$C,Order!$F:$F,"",0,1))</f>
        <v>6000</v>
      </c>
      <c r="G271" s="4" t="str">
        <f>IF($C271="","",_xlfn.XLOOKUP($C271,Order!$C:$C,Order!$G:$G,"",0,1))</f>
        <v>6063T5</v>
      </c>
      <c r="H271" s="4">
        <f>IF($C271="","",_xlfn.XLOOKUP($C271,Order!$C:$C,Order!$H:$H,"",0,1))</f>
        <v>0.52900000000000003</v>
      </c>
      <c r="I271" s="36">
        <f>IF($C271="","",_xlfn.XLOOKUP($C271,Order!$C:$C,Order!$I:$I,"",0,1))</f>
        <v>0</v>
      </c>
      <c r="J271" s="4" t="str">
        <f>IF(C271="","",Order!$I$16)</f>
        <v>MILL FINISH</v>
      </c>
      <c r="K271" s="36">
        <f>IF($C271="","",_xlfn.XLOOKUP($C271,Order!$C:$C,Order!$P:$P,"",0,1))</f>
        <v>0</v>
      </c>
      <c r="L271" s="4">
        <f t="shared" si="4"/>
        <v>0</v>
      </c>
    </row>
    <row r="272" spans="2:12" ht="23.25" hidden="1" customHeight="1" x14ac:dyDescent="0.25">
      <c r="B272" s="4">
        <v>267</v>
      </c>
      <c r="C272" s="36" t="str">
        <f>IF(Order!$C$283="","",Order!$C$283)</f>
        <v>FU900</v>
      </c>
      <c r="D272" s="36" t="str">
        <f>IF($C272="","",_xlfn.XLOOKUP($C272,Order!$C:$C,Order!$D:$D,"",0,1))</f>
        <v>FU900</v>
      </c>
      <c r="E272" s="4" t="e" vm="466">
        <f>IF($C272="","",_xlfn.XLOOKUP($C272,Order!$C:$C,Order!$E:$E,"",0,1))</f>
        <v>#VALUE!</v>
      </c>
      <c r="F272" s="4">
        <f>IF($C272="","",_xlfn.XLOOKUP($C272,Order!$C:$C,Order!$F:$F,"",0,1))</f>
        <v>6000</v>
      </c>
      <c r="G272" s="4" t="str">
        <f>IF($C272="","",_xlfn.XLOOKUP($C272,Order!$C:$C,Order!$G:$G,"",0,1))</f>
        <v>6063T5</v>
      </c>
      <c r="H272" s="4">
        <f>IF($C272="","",_xlfn.XLOOKUP($C272,Order!$C:$C,Order!$H:$H,"",0,1))</f>
        <v>0.48499999999999999</v>
      </c>
      <c r="I272" s="36">
        <f>IF($C272="","",_xlfn.XLOOKUP($C272,Order!$C:$C,Order!$I:$I,"",0,1))</f>
        <v>0</v>
      </c>
      <c r="J272" s="4" t="str">
        <f>IF(C272="","",Order!$I$16)</f>
        <v>MILL FINISH</v>
      </c>
      <c r="K272" s="36">
        <f>IF($C272="","",_xlfn.XLOOKUP($C272,Order!$C:$C,Order!$P:$P,"",0,1))</f>
        <v>0</v>
      </c>
      <c r="L272" s="4">
        <f t="shared" si="4"/>
        <v>0</v>
      </c>
    </row>
    <row r="273" spans="2:12" ht="23.25" hidden="1" customHeight="1" x14ac:dyDescent="0.25">
      <c r="B273" s="4">
        <v>268</v>
      </c>
      <c r="C273" s="36" t="str">
        <f>IF(Order!$C$284="","",Order!$C$284)</f>
        <v>FU901</v>
      </c>
      <c r="D273" s="36" t="str">
        <f>IF($C273="","",_xlfn.XLOOKUP($C273,Order!$C:$C,Order!$D:$D,"",0,1))</f>
        <v>FU901</v>
      </c>
      <c r="E273" s="4" t="e" vm="467">
        <f>IF($C273="","",_xlfn.XLOOKUP($C273,Order!$C:$C,Order!$E:$E,"",0,1))</f>
        <v>#VALUE!</v>
      </c>
      <c r="F273" s="4">
        <f>IF($C273="","",_xlfn.XLOOKUP($C273,Order!$C:$C,Order!$F:$F,"",0,1))</f>
        <v>6000</v>
      </c>
      <c r="G273" s="4" t="str">
        <f>IF($C273="","",_xlfn.XLOOKUP($C273,Order!$C:$C,Order!$G:$G,"",0,1))</f>
        <v>6063T5</v>
      </c>
      <c r="H273" s="4">
        <f>IF($C273="","",_xlfn.XLOOKUP($C273,Order!$C:$C,Order!$H:$H,"",0,1))</f>
        <v>0.54100000000000004</v>
      </c>
      <c r="I273" s="36">
        <f>IF($C273="","",_xlfn.XLOOKUP($C273,Order!$C:$C,Order!$I:$I,"",0,1))</f>
        <v>0</v>
      </c>
      <c r="J273" s="4" t="str">
        <f>IF(C273="","",Order!$I$16)</f>
        <v>MILL FINISH</v>
      </c>
      <c r="K273" s="36">
        <f>IF($C273="","",_xlfn.XLOOKUP($C273,Order!$C:$C,Order!$P:$P,"",0,1))</f>
        <v>0</v>
      </c>
      <c r="L273" s="4">
        <f t="shared" si="4"/>
        <v>0</v>
      </c>
    </row>
    <row r="274" spans="2:12" ht="23.25" hidden="1" customHeight="1" x14ac:dyDescent="0.25">
      <c r="B274" s="4">
        <v>269</v>
      </c>
      <c r="C274" s="36" t="str">
        <f>IF(Order!$C$285="","",Order!$C$285)</f>
        <v>MT0113</v>
      </c>
      <c r="D274" s="36" t="str">
        <f>IF($C274="","",_xlfn.XLOOKUP($C274,Order!$C:$C,Order!$D:$D,"",0,1))</f>
        <v>MT0113</v>
      </c>
      <c r="E274" s="4" t="e" vm="468">
        <f>IF($C274="","",_xlfn.XLOOKUP($C274,Order!$C:$C,Order!$E:$E,"",0,1))</f>
        <v>#VALUE!</v>
      </c>
      <c r="F274" s="4">
        <f>IF($C274="","",_xlfn.XLOOKUP($C274,Order!$C:$C,Order!$F:$F,"",0,1))</f>
        <v>6000</v>
      </c>
      <c r="G274" s="4" t="str">
        <f>IF($C274="","",_xlfn.XLOOKUP($C274,Order!$C:$C,Order!$G:$G,"",0,1))</f>
        <v>6063T5</v>
      </c>
      <c r="H274" s="4">
        <f>IF($C274="","",_xlfn.XLOOKUP($C274,Order!$C:$C,Order!$H:$H,"",0,1))</f>
        <v>0.54400000000000004</v>
      </c>
      <c r="I274" s="36">
        <f>IF($C274="","",_xlfn.XLOOKUP($C274,Order!$C:$C,Order!$I:$I,"",0,1))</f>
        <v>0</v>
      </c>
      <c r="J274" s="4" t="str">
        <f>IF(C274="","",Order!$I$16)</f>
        <v>MILL FINISH</v>
      </c>
      <c r="K274" s="36">
        <f>IF($C274="","",_xlfn.XLOOKUP($C274,Order!$C:$C,Order!$P:$P,"",0,1))</f>
        <v>0</v>
      </c>
      <c r="L274" s="4">
        <f t="shared" si="4"/>
        <v>0</v>
      </c>
    </row>
    <row r="275" spans="2:12" ht="23.25" hidden="1" customHeight="1" x14ac:dyDescent="0.25">
      <c r="B275" s="4">
        <v>270</v>
      </c>
      <c r="C275" s="36" t="str">
        <f>IF(Order!$C$286="","",Order!$C$286)</f>
        <v>MT0117</v>
      </c>
      <c r="D275" s="36" t="str">
        <f>IF($C275="","",_xlfn.XLOOKUP($C275,Order!$C:$C,Order!$D:$D,"",0,1))</f>
        <v>MT0117</v>
      </c>
      <c r="E275" s="4" t="e" vm="469">
        <f>IF($C275="","",_xlfn.XLOOKUP($C275,Order!$C:$C,Order!$E:$E,"",0,1))</f>
        <v>#VALUE!</v>
      </c>
      <c r="F275" s="4">
        <f>IF($C275="","",_xlfn.XLOOKUP($C275,Order!$C:$C,Order!$F:$F,"",0,1))</f>
        <v>6000</v>
      </c>
      <c r="G275" s="4" t="str">
        <f>IF($C275="","",_xlfn.XLOOKUP($C275,Order!$C:$C,Order!$G:$G,"",0,1))</f>
        <v>6063T5</v>
      </c>
      <c r="H275" s="4">
        <f>IF($C275="","",_xlfn.XLOOKUP($C275,Order!$C:$C,Order!$H:$H,"",0,1))</f>
        <v>0.76300000000000001</v>
      </c>
      <c r="I275" s="36">
        <f>IF($C275="","",_xlfn.XLOOKUP($C275,Order!$C:$C,Order!$I:$I,"",0,1))</f>
        <v>0</v>
      </c>
      <c r="J275" s="4" t="str">
        <f>IF(C275="","",Order!$I$16)</f>
        <v>MILL FINISH</v>
      </c>
      <c r="K275" s="36">
        <f>IF($C275="","",_xlfn.XLOOKUP($C275,Order!$C:$C,Order!$P:$P,"",0,1))</f>
        <v>0</v>
      </c>
      <c r="L275" s="4">
        <f t="shared" si="4"/>
        <v>0</v>
      </c>
    </row>
    <row r="276" spans="2:12" ht="23.25" hidden="1" customHeight="1" x14ac:dyDescent="0.25">
      <c r="B276" s="4">
        <v>271</v>
      </c>
      <c r="C276" s="36" t="str">
        <f>IF(Order!$C$287="","",Order!$C$287)</f>
        <v>MT0121</v>
      </c>
      <c r="D276" s="36" t="str">
        <f>IF($C276="","",_xlfn.XLOOKUP($C276,Order!$C:$C,Order!$D:$D,"",0,1))</f>
        <v>MT0121</v>
      </c>
      <c r="E276" s="4" t="e" vm="470">
        <f>IF($C276="","",_xlfn.XLOOKUP($C276,Order!$C:$C,Order!$E:$E,"",0,1))</f>
        <v>#VALUE!</v>
      </c>
      <c r="F276" s="4">
        <f>IF($C276="","",_xlfn.XLOOKUP($C276,Order!$C:$C,Order!$F:$F,"",0,1))</f>
        <v>6000</v>
      </c>
      <c r="G276" s="4" t="str">
        <f>IF($C276="","",_xlfn.XLOOKUP($C276,Order!$C:$C,Order!$G:$G,"",0,1))</f>
        <v>6063T5</v>
      </c>
      <c r="H276" s="4">
        <f>IF($C276="","",_xlfn.XLOOKUP($C276,Order!$C:$C,Order!$H:$H,"",0,1))</f>
        <v>0.91500000000000004</v>
      </c>
      <c r="I276" s="36">
        <f>IF($C276="","",_xlfn.XLOOKUP($C276,Order!$C:$C,Order!$I:$I,"",0,1))</f>
        <v>0</v>
      </c>
      <c r="J276" s="4" t="str">
        <f>IF(C276="","",Order!$I$16)</f>
        <v>MILL FINISH</v>
      </c>
      <c r="K276" s="36">
        <f>IF($C276="","",_xlfn.XLOOKUP($C276,Order!$C:$C,Order!$P:$P,"",0,1))</f>
        <v>0</v>
      </c>
      <c r="L276" s="4">
        <f t="shared" si="4"/>
        <v>0</v>
      </c>
    </row>
    <row r="277" spans="2:12" ht="23.25" hidden="1" customHeight="1" x14ac:dyDescent="0.25">
      <c r="B277" s="4">
        <v>272</v>
      </c>
      <c r="C277" s="36" t="str">
        <f>IF(Order!$C$288="","",Order!$C$288)</f>
        <v>BX823</v>
      </c>
      <c r="D277" s="36" t="str">
        <f>IF($C277="","",_xlfn.XLOOKUP($C277,Order!$C:$C,Order!$D:$D,"",0,1))</f>
        <v>BX823</v>
      </c>
      <c r="E277" s="4" t="e" vm="471">
        <f>IF($C277="","",_xlfn.XLOOKUP($C277,Order!$C:$C,Order!$E:$E,"",0,1))</f>
        <v>#VALUE!</v>
      </c>
      <c r="F277" s="4">
        <f>IF($C277="","",_xlfn.XLOOKUP($C277,Order!$C:$C,Order!$F:$F,"",0,1))</f>
        <v>6000</v>
      </c>
      <c r="G277" s="4" t="str">
        <f>IF($C277="","",_xlfn.XLOOKUP($C277,Order!$C:$C,Order!$G:$G,"",0,1))</f>
        <v>6063T5</v>
      </c>
      <c r="H277" s="4">
        <f>IF($C277="","",_xlfn.XLOOKUP($C277,Order!$C:$C,Order!$H:$H,"",0,1))</f>
        <v>0</v>
      </c>
      <c r="I277" s="36">
        <f>IF($C277="","",_xlfn.XLOOKUP($C277,Order!$C:$C,Order!$I:$I,"",0,1))</f>
        <v>0</v>
      </c>
      <c r="J277" s="4" t="str">
        <f>IF(C277="","",Order!$I$16)</f>
        <v>MILL FINISH</v>
      </c>
      <c r="K277" s="36">
        <f>IF($C277="","",_xlfn.XLOOKUP($C277,Order!$C:$C,Order!$P:$P,"",0,1))</f>
        <v>0</v>
      </c>
      <c r="L277" s="4">
        <f t="shared" si="4"/>
        <v>0</v>
      </c>
    </row>
    <row r="278" spans="2:12" ht="23.25" hidden="1" customHeight="1" x14ac:dyDescent="0.25">
      <c r="B278" s="4">
        <v>273</v>
      </c>
      <c r="C278" s="36" t="str">
        <f>IF(Order!$C$289="","",Order!$C$289)</f>
        <v>BX824</v>
      </c>
      <c r="D278" s="36" t="str">
        <f>IF($C278="","",_xlfn.XLOOKUP($C278,Order!$C:$C,Order!$D:$D,"",0,1))</f>
        <v>BX824</v>
      </c>
      <c r="E278" s="4" t="e" vm="472">
        <f>IF($C278="","",_xlfn.XLOOKUP($C278,Order!$C:$C,Order!$E:$E,"",0,1))</f>
        <v>#VALUE!</v>
      </c>
      <c r="F278" s="4">
        <f>IF($C278="","",_xlfn.XLOOKUP($C278,Order!$C:$C,Order!$F:$F,"",0,1))</f>
        <v>6000</v>
      </c>
      <c r="G278" s="4" t="str">
        <f>IF($C278="","",_xlfn.XLOOKUP($C278,Order!$C:$C,Order!$G:$G,"",0,1))</f>
        <v>6063T5</v>
      </c>
      <c r="H278" s="4">
        <f>IF($C278="","",_xlfn.XLOOKUP($C278,Order!$C:$C,Order!$H:$H,"",0,1))</f>
        <v>0.47299999999999998</v>
      </c>
      <c r="I278" s="36">
        <f>IF($C278="","",_xlfn.XLOOKUP($C278,Order!$C:$C,Order!$I:$I,"",0,1))</f>
        <v>0</v>
      </c>
      <c r="J278" s="4" t="str">
        <f>IF(C278="","",Order!$I$16)</f>
        <v>MILL FINISH</v>
      </c>
      <c r="K278" s="36">
        <f>IF($C278="","",_xlfn.XLOOKUP($C278,Order!$C:$C,Order!$P:$P,"",0,1))</f>
        <v>0</v>
      </c>
      <c r="L278" s="4">
        <f t="shared" si="4"/>
        <v>0</v>
      </c>
    </row>
    <row r="279" spans="2:12" ht="23.25" hidden="1" customHeight="1" x14ac:dyDescent="0.25">
      <c r="B279" s="4">
        <v>274</v>
      </c>
      <c r="C279" s="36" t="str">
        <f>IF(Order!$C$290="","",Order!$C$290)</f>
        <v>BX825</v>
      </c>
      <c r="D279" s="36" t="str">
        <f>IF($C279="","",_xlfn.XLOOKUP($C279,Order!$C:$C,Order!$D:$D,"",0,1))</f>
        <v>BX825</v>
      </c>
      <c r="E279" s="4" t="e" vm="473">
        <f>IF($C279="","",_xlfn.XLOOKUP($C279,Order!$C:$C,Order!$E:$E,"",0,1))</f>
        <v>#VALUE!</v>
      </c>
      <c r="F279" s="4">
        <f>IF($C279="","",_xlfn.XLOOKUP($C279,Order!$C:$C,Order!$F:$F,"",0,1))</f>
        <v>6000</v>
      </c>
      <c r="G279" s="4" t="str">
        <f>IF($C279="","",_xlfn.XLOOKUP($C279,Order!$C:$C,Order!$G:$G,"",0,1))</f>
        <v>6063T5</v>
      </c>
      <c r="H279" s="4">
        <f>IF($C279="","",_xlfn.XLOOKUP($C279,Order!$C:$C,Order!$H:$H,"",0,1))</f>
        <v>0</v>
      </c>
      <c r="I279" s="36">
        <f>IF($C279="","",_xlfn.XLOOKUP($C279,Order!$C:$C,Order!$I:$I,"",0,1))</f>
        <v>0</v>
      </c>
      <c r="J279" s="4" t="str">
        <f>IF(C279="","",Order!$I$16)</f>
        <v>MILL FINISH</v>
      </c>
      <c r="K279" s="36">
        <f>IF($C279="","",_xlfn.XLOOKUP($C279,Order!$C:$C,Order!$P:$P,"",0,1))</f>
        <v>0</v>
      </c>
      <c r="L279" s="4">
        <f t="shared" si="4"/>
        <v>0</v>
      </c>
    </row>
    <row r="280" spans="2:12" ht="23.25" hidden="1" customHeight="1" x14ac:dyDescent="0.25">
      <c r="B280" s="4">
        <v>275</v>
      </c>
      <c r="C280" s="36" t="str">
        <f>IF(Order!$C$291="","",Order!$C$291)</f>
        <v>BX826</v>
      </c>
      <c r="D280" s="36" t="str">
        <f>IF($C280="","",_xlfn.XLOOKUP($C280,Order!$C:$C,Order!$D:$D,"",0,1))</f>
        <v>BX826</v>
      </c>
      <c r="E280" s="4" t="e" vm="474">
        <f>IF($C280="","",_xlfn.XLOOKUP($C280,Order!$C:$C,Order!$E:$E,"",0,1))</f>
        <v>#VALUE!</v>
      </c>
      <c r="F280" s="4">
        <f>IF($C280="","",_xlfn.XLOOKUP($C280,Order!$C:$C,Order!$F:$F,"",0,1))</f>
        <v>6000</v>
      </c>
      <c r="G280" s="4" t="str">
        <f>IF($C280="","",_xlfn.XLOOKUP($C280,Order!$C:$C,Order!$G:$G,"",0,1))</f>
        <v>6063T5</v>
      </c>
      <c r="H280" s="4">
        <f>IF($C280="","",_xlfn.XLOOKUP($C280,Order!$C:$C,Order!$H:$H,"",0,1))</f>
        <v>0.53800000000000003</v>
      </c>
      <c r="I280" s="36">
        <f>IF($C280="","",_xlfn.XLOOKUP($C280,Order!$C:$C,Order!$I:$I,"",0,1))</f>
        <v>0</v>
      </c>
      <c r="J280" s="4" t="str">
        <f>IF(C280="","",Order!$I$16)</f>
        <v>MILL FINISH</v>
      </c>
      <c r="K280" s="36">
        <f>IF($C280="","",_xlfn.XLOOKUP($C280,Order!$C:$C,Order!$P:$P,"",0,1))</f>
        <v>0</v>
      </c>
      <c r="L280" s="4">
        <f t="shared" si="4"/>
        <v>0</v>
      </c>
    </row>
    <row r="281" spans="2:12" ht="23.25" hidden="1" customHeight="1" x14ac:dyDescent="0.25">
      <c r="B281" s="4">
        <v>276</v>
      </c>
      <c r="C281" s="36" t="str">
        <f>IF(Order!$C$292="","",Order!$C$292)</f>
        <v>BX827</v>
      </c>
      <c r="D281" s="36" t="str">
        <f>IF($C281="","",_xlfn.XLOOKUP($C281,Order!$C:$C,Order!$D:$D,"",0,1))</f>
        <v>BX827</v>
      </c>
      <c r="E281" s="4" t="e" vm="475">
        <f>IF($C281="","",_xlfn.XLOOKUP($C281,Order!$C:$C,Order!$E:$E,"",0,1))</f>
        <v>#VALUE!</v>
      </c>
      <c r="F281" s="4">
        <f>IF($C281="","",_xlfn.XLOOKUP($C281,Order!$C:$C,Order!$F:$F,"",0,1))</f>
        <v>6000</v>
      </c>
      <c r="G281" s="4" t="str">
        <f>IF($C281="","",_xlfn.XLOOKUP($C281,Order!$C:$C,Order!$G:$G,"",0,1))</f>
        <v>6063T5</v>
      </c>
      <c r="H281" s="4">
        <f>IF($C281="","",_xlfn.XLOOKUP($C281,Order!$C:$C,Order!$H:$H,"",0,1))</f>
        <v>0</v>
      </c>
      <c r="I281" s="36">
        <f>IF($C281="","",_xlfn.XLOOKUP($C281,Order!$C:$C,Order!$I:$I,"",0,1))</f>
        <v>0</v>
      </c>
      <c r="J281" s="4" t="str">
        <f>IF(C281="","",Order!$I$16)</f>
        <v>MILL FINISH</v>
      </c>
      <c r="K281" s="36">
        <f>IF($C281="","",_xlfn.XLOOKUP($C281,Order!$C:$C,Order!$P:$P,"",0,1))</f>
        <v>0</v>
      </c>
      <c r="L281" s="4">
        <f t="shared" si="4"/>
        <v>0</v>
      </c>
    </row>
    <row r="282" spans="2:12" ht="23.25" hidden="1" customHeight="1" x14ac:dyDescent="0.25">
      <c r="B282" s="4">
        <v>277</v>
      </c>
      <c r="C282" s="36" t="str">
        <f>IF(Order!$C$293="","",Order!$C$293)</f>
        <v>BX1087</v>
      </c>
      <c r="D282" s="36" t="str">
        <f>IF($C282="","",_xlfn.XLOOKUP($C282,Order!$C:$C,Order!$D:$D,"",0,1))</f>
        <v>BX1087</v>
      </c>
      <c r="E282" s="4" t="e" vm="476">
        <f>IF($C282="","",_xlfn.XLOOKUP($C282,Order!$C:$C,Order!$E:$E,"",0,1))</f>
        <v>#VALUE!</v>
      </c>
      <c r="F282" s="4">
        <f>IF($C282="","",_xlfn.XLOOKUP($C282,Order!$C:$C,Order!$F:$F,"",0,1))</f>
        <v>6000</v>
      </c>
      <c r="G282" s="4" t="str">
        <f>IF($C282="","",_xlfn.XLOOKUP($C282,Order!$C:$C,Order!$G:$G,"",0,1))</f>
        <v>6063T5</v>
      </c>
      <c r="H282" s="4">
        <f>IF($C282="","",_xlfn.XLOOKUP($C282,Order!$C:$C,Order!$H:$H,"",0,1))</f>
        <v>0.58399999999999996</v>
      </c>
      <c r="I282" s="36">
        <f>IF($C282="","",_xlfn.XLOOKUP($C282,Order!$C:$C,Order!$I:$I,"",0,1))</f>
        <v>0</v>
      </c>
      <c r="J282" s="4" t="str">
        <f>IF(C282="","",Order!$I$16)</f>
        <v>MILL FINISH</v>
      </c>
      <c r="K282" s="36">
        <f>IF($C282="","",_xlfn.XLOOKUP($C282,Order!$C:$C,Order!$P:$P,"",0,1))</f>
        <v>0</v>
      </c>
      <c r="L282" s="4">
        <f t="shared" si="4"/>
        <v>0</v>
      </c>
    </row>
    <row r="283" spans="2:12" ht="23.25" hidden="1" customHeight="1" x14ac:dyDescent="0.25">
      <c r="B283" s="4">
        <v>278</v>
      </c>
      <c r="C283" s="36" t="str">
        <f>IF(Order!$C$294="","",Order!$C$294)</f>
        <v>ME013</v>
      </c>
      <c r="D283" s="36" t="str">
        <f>IF($C283="","",_xlfn.XLOOKUP($C283,Order!$C:$C,Order!$D:$D,"",0,1))</f>
        <v>ME013</v>
      </c>
      <c r="E283" s="4" t="e" vm="477">
        <f>IF($C283="","",_xlfn.XLOOKUP($C283,Order!$C:$C,Order!$E:$E,"",0,1))</f>
        <v>#VALUE!</v>
      </c>
      <c r="F283" s="4">
        <f>IF($C283="","",_xlfn.XLOOKUP($C283,Order!$C:$C,Order!$F:$F,"",0,1))</f>
        <v>6000</v>
      </c>
      <c r="G283" s="4" t="str">
        <f>IF($C283="","",_xlfn.XLOOKUP($C283,Order!$C:$C,Order!$G:$G,"",0,1))</f>
        <v>6063T5</v>
      </c>
      <c r="H283" s="4">
        <f>IF($C283="","",_xlfn.XLOOKUP($C283,Order!$C:$C,Order!$H:$H,"",0,1))</f>
        <v>0.27600000000000002</v>
      </c>
      <c r="I283" s="36">
        <f>IF($C283="","",_xlfn.XLOOKUP($C283,Order!$C:$C,Order!$I:$I,"",0,1))</f>
        <v>0</v>
      </c>
      <c r="J283" s="4" t="str">
        <f>IF(C283="","",Order!$I$16)</f>
        <v>MILL FINISH</v>
      </c>
      <c r="K283" s="36">
        <f>IF($C283="","",_xlfn.XLOOKUP($C283,Order!$C:$C,Order!$P:$P,"",0,1))</f>
        <v>0</v>
      </c>
      <c r="L283" s="4">
        <f t="shared" si="4"/>
        <v>0</v>
      </c>
    </row>
    <row r="284" spans="2:12" ht="23.25" hidden="1" customHeight="1" x14ac:dyDescent="0.25">
      <c r="B284" s="4">
        <v>279</v>
      </c>
      <c r="C284" s="36" t="str">
        <f>IF(Order!$C$295="","",Order!$C$295)</f>
        <v/>
      </c>
      <c r="D284" s="36" t="str">
        <f>IF($C284="","",_xlfn.XLOOKUP($C284,Order!$C:$C,Order!$D:$D,"",0,1))</f>
        <v/>
      </c>
      <c r="E284" s="4" t="str">
        <f>IF($C284="","",_xlfn.XLOOKUP($C284,Order!$C:$C,Order!$E:$E,"",0,1))</f>
        <v/>
      </c>
      <c r="F284" s="4" t="str">
        <f>IF($C284="","",_xlfn.XLOOKUP($C284,Order!$C:$C,Order!$F:$F,"",0,1))</f>
        <v/>
      </c>
      <c r="G284" s="4" t="str">
        <f>IF($C284="","",_xlfn.XLOOKUP($C284,Order!$C:$C,Order!$G:$G,"",0,1))</f>
        <v/>
      </c>
      <c r="H284" s="4" t="str">
        <f>IF($C284="","",_xlfn.XLOOKUP($C284,Order!$C:$C,Order!$H:$H,"",0,1))</f>
        <v/>
      </c>
      <c r="I284" s="36" t="str">
        <f>IF($C284="","",_xlfn.XLOOKUP($C284,Order!$C:$C,Order!$I:$I,"",0,1))</f>
        <v/>
      </c>
      <c r="J284" s="4" t="str">
        <f>IF(C284="","",Order!$I$16)</f>
        <v/>
      </c>
      <c r="K284" s="36" t="str">
        <f>IF($C284="","",_xlfn.XLOOKUP($C284,Order!$C:$C,Order!$P:$P,"",0,1))</f>
        <v/>
      </c>
      <c r="L284" s="4" t="str">
        <f t="shared" si="4"/>
        <v/>
      </c>
    </row>
    <row r="285" spans="2:12" ht="23.25" hidden="1" customHeight="1" x14ac:dyDescent="0.25">
      <c r="B285" s="4">
        <v>280</v>
      </c>
      <c r="C285" s="36" t="str">
        <f>IF(Order!$C$296="","",Order!$C$296)</f>
        <v/>
      </c>
      <c r="D285" s="36" t="str">
        <f>IF($C285="","",_xlfn.XLOOKUP($C285,Order!$C:$C,Order!$D:$D,"",0,1))</f>
        <v/>
      </c>
      <c r="E285" s="4" t="str">
        <f>IF($C285="","",_xlfn.XLOOKUP($C285,Order!$C:$C,Order!$E:$E,"",0,1))</f>
        <v/>
      </c>
      <c r="F285" s="4" t="str">
        <f>IF($C285="","",_xlfn.XLOOKUP($C285,Order!$C:$C,Order!$F:$F,"",0,1))</f>
        <v/>
      </c>
      <c r="G285" s="4" t="str">
        <f>IF($C285="","",_xlfn.XLOOKUP($C285,Order!$C:$C,Order!$G:$G,"",0,1))</f>
        <v/>
      </c>
      <c r="H285" s="4" t="str">
        <f>IF($C285="","",_xlfn.XLOOKUP($C285,Order!$C:$C,Order!$H:$H,"",0,1))</f>
        <v/>
      </c>
      <c r="I285" s="36" t="str">
        <f>IF($C285="","",_xlfn.XLOOKUP($C285,Order!$C:$C,Order!$I:$I,"",0,1))</f>
        <v/>
      </c>
      <c r="J285" s="4" t="str">
        <f>IF(C285="","",Order!$I$16)</f>
        <v/>
      </c>
      <c r="K285" s="36" t="str">
        <f>IF($C285="","",_xlfn.XLOOKUP($C285,Order!$C:$C,Order!$P:$P,"",0,1))</f>
        <v/>
      </c>
      <c r="L285" s="4" t="str">
        <f t="shared" si="4"/>
        <v/>
      </c>
    </row>
    <row r="286" spans="2:12" ht="23.25" hidden="1" customHeight="1" x14ac:dyDescent="0.25">
      <c r="B286" s="4">
        <v>281</v>
      </c>
      <c r="C286" s="36" t="str">
        <f>IF(Order!$C$297="","",Order!$C$297)</f>
        <v/>
      </c>
      <c r="D286" s="36" t="str">
        <f>IF($C286="","",_xlfn.XLOOKUP($C286,Order!$C:$C,Order!$D:$D,"",0,1))</f>
        <v/>
      </c>
      <c r="E286" s="4" t="str">
        <f>IF($C286="","",_xlfn.XLOOKUP($C286,Order!$C:$C,Order!$E:$E,"",0,1))</f>
        <v/>
      </c>
      <c r="F286" s="4" t="str">
        <f>IF($C286="","",_xlfn.XLOOKUP($C286,Order!$C:$C,Order!$F:$F,"",0,1))</f>
        <v/>
      </c>
      <c r="G286" s="4" t="str">
        <f>IF($C286="","",_xlfn.XLOOKUP($C286,Order!$C:$C,Order!$G:$G,"",0,1))</f>
        <v/>
      </c>
      <c r="H286" s="4" t="str">
        <f>IF($C286="","",_xlfn.XLOOKUP($C286,Order!$C:$C,Order!$H:$H,"",0,1))</f>
        <v/>
      </c>
      <c r="I286" s="36" t="str">
        <f>IF($C286="","",_xlfn.XLOOKUP($C286,Order!$C:$C,Order!$I:$I,"",0,1))</f>
        <v/>
      </c>
      <c r="J286" s="4" t="str">
        <f>IF(C286="","",Order!$I$16)</f>
        <v/>
      </c>
      <c r="K286" s="36" t="str">
        <f>IF($C286="","",_xlfn.XLOOKUP($C286,Order!$C:$C,Order!$P:$P,"",0,1))</f>
        <v/>
      </c>
      <c r="L286" s="4" t="str">
        <f t="shared" si="4"/>
        <v/>
      </c>
    </row>
    <row r="287" spans="2:12" ht="23.25" hidden="1" customHeight="1" x14ac:dyDescent="0.25">
      <c r="B287" s="4">
        <v>282</v>
      </c>
      <c r="C287" s="36" t="str">
        <f>IF(Order!$C$298="","",Order!$C$298)</f>
        <v/>
      </c>
      <c r="D287" s="36" t="str">
        <f>IF($C287="","",_xlfn.XLOOKUP($C287,Order!$C:$C,Order!$D:$D,"",0,1))</f>
        <v/>
      </c>
      <c r="E287" s="4" t="str">
        <f>IF($C287="","",_xlfn.XLOOKUP($C287,Order!$C:$C,Order!$E:$E,"",0,1))</f>
        <v/>
      </c>
      <c r="F287" s="4" t="str">
        <f>IF($C287="","",_xlfn.XLOOKUP($C287,Order!$C:$C,Order!$F:$F,"",0,1))</f>
        <v/>
      </c>
      <c r="G287" s="4" t="str">
        <f>IF($C287="","",_xlfn.XLOOKUP($C287,Order!$C:$C,Order!$G:$G,"",0,1))</f>
        <v/>
      </c>
      <c r="H287" s="4" t="str">
        <f>IF($C287="","",_xlfn.XLOOKUP($C287,Order!$C:$C,Order!$H:$H,"",0,1))</f>
        <v/>
      </c>
      <c r="I287" s="36" t="str">
        <f>IF($C287="","",_xlfn.XLOOKUP($C287,Order!$C:$C,Order!$I:$I,"",0,1))</f>
        <v/>
      </c>
      <c r="J287" s="4" t="str">
        <f>IF(C287="","",Order!$I$16)</f>
        <v/>
      </c>
      <c r="K287" s="36" t="str">
        <f>IF($C287="","",_xlfn.XLOOKUP($C287,Order!$C:$C,Order!$P:$P,"",0,1))</f>
        <v/>
      </c>
      <c r="L287" s="4" t="str">
        <f t="shared" si="4"/>
        <v/>
      </c>
    </row>
    <row r="288" spans="2:12" ht="23.25" hidden="1" customHeight="1" x14ac:dyDescent="0.25">
      <c r="B288" s="4">
        <v>283</v>
      </c>
      <c r="C288" s="36" t="str">
        <f>IF(Order!$C$299="","",Order!$C$299)</f>
        <v/>
      </c>
      <c r="D288" s="36" t="str">
        <f>IF($C288="","",_xlfn.XLOOKUP($C288,Order!$C:$C,Order!$D:$D,"",0,1))</f>
        <v/>
      </c>
      <c r="E288" s="4" t="str">
        <f>IF($C288="","",_xlfn.XLOOKUP($C288,Order!$C:$C,Order!$E:$E,"",0,1))</f>
        <v/>
      </c>
      <c r="F288" s="4" t="str">
        <f>IF($C288="","",_xlfn.XLOOKUP($C288,Order!$C:$C,Order!$F:$F,"",0,1))</f>
        <v/>
      </c>
      <c r="G288" s="4" t="str">
        <f>IF($C288="","",_xlfn.XLOOKUP($C288,Order!$C:$C,Order!$G:$G,"",0,1))</f>
        <v/>
      </c>
      <c r="H288" s="4" t="str">
        <f>IF($C288="","",_xlfn.XLOOKUP($C288,Order!$C:$C,Order!$H:$H,"",0,1))</f>
        <v/>
      </c>
      <c r="I288" s="36" t="str">
        <f>IF($C288="","",_xlfn.XLOOKUP($C288,Order!$C:$C,Order!$I:$I,"",0,1))</f>
        <v/>
      </c>
      <c r="J288" s="4" t="str">
        <f>IF(C288="","",Order!$I$16)</f>
        <v/>
      </c>
      <c r="K288" s="36" t="str">
        <f>IF($C288="","",_xlfn.XLOOKUP($C288,Order!$C:$C,Order!$P:$P,"",0,1))</f>
        <v/>
      </c>
      <c r="L288" s="4" t="str">
        <f t="shared" si="4"/>
        <v/>
      </c>
    </row>
    <row r="289" spans="2:12" ht="23.25" hidden="1" customHeight="1" x14ac:dyDescent="0.25">
      <c r="B289" s="4">
        <v>284</v>
      </c>
      <c r="C289" s="36" t="str">
        <f>IF(Order!$C$300="","",Order!$C$300)</f>
        <v/>
      </c>
      <c r="D289" s="36" t="str">
        <f>IF($C289="","",_xlfn.XLOOKUP($C289,Order!$C:$C,Order!$D:$D,"",0,1))</f>
        <v/>
      </c>
      <c r="E289" s="4" t="str">
        <f>IF($C289="","",_xlfn.XLOOKUP($C289,Order!$C:$C,Order!$E:$E,"",0,1))</f>
        <v/>
      </c>
      <c r="F289" s="4" t="str">
        <f>IF($C289="","",_xlfn.XLOOKUP($C289,Order!$C:$C,Order!$F:$F,"",0,1))</f>
        <v/>
      </c>
      <c r="G289" s="4" t="str">
        <f>IF($C289="","",_xlfn.XLOOKUP($C289,Order!$C:$C,Order!$G:$G,"",0,1))</f>
        <v/>
      </c>
      <c r="H289" s="4" t="str">
        <f>IF($C289="","",_xlfn.XLOOKUP($C289,Order!$C:$C,Order!$H:$H,"",0,1))</f>
        <v/>
      </c>
      <c r="I289" s="36" t="str">
        <f>IF($C289="","",_xlfn.XLOOKUP($C289,Order!$C:$C,Order!$I:$I,"",0,1))</f>
        <v/>
      </c>
      <c r="J289" s="4" t="str">
        <f>IF(C289="","",Order!$I$16)</f>
        <v/>
      </c>
      <c r="K289" s="36" t="str">
        <f>IF($C289="","",_xlfn.XLOOKUP($C289,Order!$C:$C,Order!$P:$P,"",0,1))</f>
        <v/>
      </c>
      <c r="L289" s="4" t="str">
        <f t="shared" si="4"/>
        <v/>
      </c>
    </row>
    <row r="290" spans="2:12" ht="23.25" hidden="1" customHeight="1" x14ac:dyDescent="0.25">
      <c r="B290" s="4">
        <v>285</v>
      </c>
      <c r="C290" s="36" t="str">
        <f>IF(Order!$C$301="","",Order!$C$301)</f>
        <v/>
      </c>
      <c r="D290" s="36" t="str">
        <f>IF($C290="","",_xlfn.XLOOKUP($C290,Order!$C:$C,Order!$D:$D,"",0,1))</f>
        <v/>
      </c>
      <c r="E290" s="4" t="str">
        <f>IF($C290="","",_xlfn.XLOOKUP($C290,Order!$C:$C,Order!$E:$E,"",0,1))</f>
        <v/>
      </c>
      <c r="F290" s="4" t="str">
        <f>IF($C290="","",_xlfn.XLOOKUP($C290,Order!$C:$C,Order!$F:$F,"",0,1))</f>
        <v/>
      </c>
      <c r="G290" s="4" t="str">
        <f>IF($C290="","",_xlfn.XLOOKUP($C290,Order!$C:$C,Order!$G:$G,"",0,1))</f>
        <v/>
      </c>
      <c r="H290" s="4" t="str">
        <f>IF($C290="","",_xlfn.XLOOKUP($C290,Order!$C:$C,Order!$H:$H,"",0,1))</f>
        <v/>
      </c>
      <c r="I290" s="36" t="str">
        <f>IF($C290="","",_xlfn.XLOOKUP($C290,Order!$C:$C,Order!$I:$I,"",0,1))</f>
        <v/>
      </c>
      <c r="J290" s="4" t="str">
        <f>IF(C290="","",Order!$I$16)</f>
        <v/>
      </c>
      <c r="K290" s="36" t="str">
        <f>IF($C290="","",_xlfn.XLOOKUP($C290,Order!$C:$C,Order!$P:$P,"",0,1))</f>
        <v/>
      </c>
      <c r="L290" s="4" t="str">
        <f t="shared" si="4"/>
        <v/>
      </c>
    </row>
    <row r="291" spans="2:12" ht="23.25" hidden="1" customHeight="1" x14ac:dyDescent="0.25">
      <c r="B291" s="4">
        <v>286</v>
      </c>
      <c r="C291" s="36" t="str">
        <f>IF(Order!$C$302="","",Order!$C$302)</f>
        <v/>
      </c>
      <c r="D291" s="36" t="str">
        <f>IF($C291="","",_xlfn.XLOOKUP($C291,Order!$C:$C,Order!$D:$D,"",0,1))</f>
        <v/>
      </c>
      <c r="E291" s="4" t="str">
        <f>IF($C291="","",_xlfn.XLOOKUP($C291,Order!$C:$C,Order!$E:$E,"",0,1))</f>
        <v/>
      </c>
      <c r="F291" s="4" t="str">
        <f>IF($C291="","",_xlfn.XLOOKUP($C291,Order!$C:$C,Order!$F:$F,"",0,1))</f>
        <v/>
      </c>
      <c r="G291" s="4" t="str">
        <f>IF($C291="","",_xlfn.XLOOKUP($C291,Order!$C:$C,Order!$G:$G,"",0,1))</f>
        <v/>
      </c>
      <c r="H291" s="4" t="str">
        <f>IF($C291="","",_xlfn.XLOOKUP($C291,Order!$C:$C,Order!$H:$H,"",0,1))</f>
        <v/>
      </c>
      <c r="I291" s="36" t="str">
        <f>IF($C291="","",_xlfn.XLOOKUP($C291,Order!$C:$C,Order!$I:$I,"",0,1))</f>
        <v/>
      </c>
      <c r="J291" s="4" t="str">
        <f>IF(C291="","",Order!$I$16)</f>
        <v/>
      </c>
      <c r="K291" s="36" t="str">
        <f>IF($C291="","",_xlfn.XLOOKUP($C291,Order!$C:$C,Order!$P:$P,"",0,1))</f>
        <v/>
      </c>
      <c r="L291" s="4" t="str">
        <f t="shared" si="4"/>
        <v/>
      </c>
    </row>
    <row r="292" spans="2:12" ht="23.25" hidden="1" customHeight="1" x14ac:dyDescent="0.25">
      <c r="B292" s="4">
        <v>287</v>
      </c>
      <c r="C292" s="36" t="str">
        <f>IF(Order!$C$303="","",Order!$C$303)</f>
        <v/>
      </c>
      <c r="D292" s="36" t="str">
        <f>IF($C292="","",_xlfn.XLOOKUP($C292,Order!$C:$C,Order!$D:$D,"",0,1))</f>
        <v/>
      </c>
      <c r="E292" s="4" t="str">
        <f>IF($C292="","",_xlfn.XLOOKUP($C292,Order!$C:$C,Order!$E:$E,"",0,1))</f>
        <v/>
      </c>
      <c r="F292" s="4" t="str">
        <f>IF($C292="","",_xlfn.XLOOKUP($C292,Order!$C:$C,Order!$F:$F,"",0,1))</f>
        <v/>
      </c>
      <c r="G292" s="4" t="str">
        <f>IF($C292="","",_xlfn.XLOOKUP($C292,Order!$C:$C,Order!$G:$G,"",0,1))</f>
        <v/>
      </c>
      <c r="H292" s="4" t="str">
        <f>IF($C292="","",_xlfn.XLOOKUP($C292,Order!$C:$C,Order!$H:$H,"",0,1))</f>
        <v/>
      </c>
      <c r="I292" s="36" t="str">
        <f>IF($C292="","",_xlfn.XLOOKUP($C292,Order!$C:$C,Order!$I:$I,"",0,1))</f>
        <v/>
      </c>
      <c r="J292" s="4" t="str">
        <f>IF(C292="","",Order!$I$16)</f>
        <v/>
      </c>
      <c r="K292" s="36" t="str">
        <f>IF($C292="","",_xlfn.XLOOKUP($C292,Order!$C:$C,Order!$P:$P,"",0,1))</f>
        <v/>
      </c>
      <c r="L292" s="4" t="str">
        <f t="shared" si="4"/>
        <v/>
      </c>
    </row>
    <row r="293" spans="2:12" ht="23.25" hidden="1" customHeight="1" x14ac:dyDescent="0.25">
      <c r="B293" s="4">
        <v>288</v>
      </c>
      <c r="C293" s="36" t="str">
        <f>IF(Order!$C$304="","",Order!$C$304)</f>
        <v/>
      </c>
      <c r="D293" s="36" t="str">
        <f>IF($C293="","",_xlfn.XLOOKUP($C293,Order!$C:$C,Order!$D:$D,"",0,1))</f>
        <v/>
      </c>
      <c r="E293" s="4" t="str">
        <f>IF($C293="","",_xlfn.XLOOKUP($C293,Order!$C:$C,Order!$E:$E,"",0,1))</f>
        <v/>
      </c>
      <c r="F293" s="4" t="str">
        <f>IF($C293="","",_xlfn.XLOOKUP($C293,Order!$C:$C,Order!$F:$F,"",0,1))</f>
        <v/>
      </c>
      <c r="G293" s="4" t="str">
        <f>IF($C293="","",_xlfn.XLOOKUP($C293,Order!$C:$C,Order!$G:$G,"",0,1))</f>
        <v/>
      </c>
      <c r="H293" s="4" t="str">
        <f>IF($C293="","",_xlfn.XLOOKUP($C293,Order!$C:$C,Order!$H:$H,"",0,1))</f>
        <v/>
      </c>
      <c r="I293" s="36" t="str">
        <f>IF($C293="","",_xlfn.XLOOKUP($C293,Order!$C:$C,Order!$I:$I,"",0,1))</f>
        <v/>
      </c>
      <c r="J293" s="4" t="str">
        <f>IF(C293="","",Order!$I$16)</f>
        <v/>
      </c>
      <c r="K293" s="36" t="str">
        <f>IF($C293="","",_xlfn.XLOOKUP($C293,Order!$C:$C,Order!$P:$P,"",0,1))</f>
        <v/>
      </c>
      <c r="L293" s="4" t="str">
        <f t="shared" si="4"/>
        <v/>
      </c>
    </row>
    <row r="294" spans="2:12" ht="23.25" hidden="1" customHeight="1" x14ac:dyDescent="0.25">
      <c r="B294" s="4">
        <v>289</v>
      </c>
      <c r="C294" s="36" t="str">
        <f>IF(Order!$C$305="","",Order!$C$305)</f>
        <v/>
      </c>
      <c r="D294" s="36" t="str">
        <f>IF($C294="","",_xlfn.XLOOKUP($C294,Order!$C:$C,Order!$D:$D,"",0,1))</f>
        <v/>
      </c>
      <c r="E294" s="4" t="str">
        <f>IF($C294="","",_xlfn.XLOOKUP($C294,Order!$C:$C,Order!$E:$E,"",0,1))</f>
        <v/>
      </c>
      <c r="F294" s="4" t="str">
        <f>IF($C294="","",_xlfn.XLOOKUP($C294,Order!$C:$C,Order!$F:$F,"",0,1))</f>
        <v/>
      </c>
      <c r="G294" s="4" t="str">
        <f>IF($C294="","",_xlfn.XLOOKUP($C294,Order!$C:$C,Order!$G:$G,"",0,1))</f>
        <v/>
      </c>
      <c r="H294" s="4" t="str">
        <f>IF($C294="","",_xlfn.XLOOKUP($C294,Order!$C:$C,Order!$H:$H,"",0,1))</f>
        <v/>
      </c>
      <c r="I294" s="36" t="str">
        <f>IF($C294="","",_xlfn.XLOOKUP($C294,Order!$C:$C,Order!$I:$I,"",0,1))</f>
        <v/>
      </c>
      <c r="J294" s="4" t="str">
        <f>IF(C294="","",Order!$I$16)</f>
        <v/>
      </c>
      <c r="K294" s="36" t="str">
        <f>IF($C294="","",_xlfn.XLOOKUP($C294,Order!$C:$C,Order!$P:$P,"",0,1))</f>
        <v/>
      </c>
      <c r="L294" s="4" t="str">
        <f t="shared" si="4"/>
        <v/>
      </c>
    </row>
    <row r="295" spans="2:12" ht="23.25" hidden="1" customHeight="1" x14ac:dyDescent="0.25">
      <c r="B295" s="4">
        <v>290</v>
      </c>
      <c r="C295" s="36" t="str">
        <f>IF(Order!$C$306="","",Order!$C$306)</f>
        <v>BX662</v>
      </c>
      <c r="D295" s="36" t="str">
        <f>IF($C295="","",_xlfn.XLOOKUP($C295,Order!$C:$C,Order!$D:$D,"",0,1))</f>
        <v>BX662</v>
      </c>
      <c r="E295" s="4" t="e" vm="478">
        <f>IF($C295="","",_xlfn.XLOOKUP($C295,Order!$C:$C,Order!$E:$E,"",0,1))</f>
        <v>#VALUE!</v>
      </c>
      <c r="F295" s="4">
        <f>IF($C295="","",_xlfn.XLOOKUP($C295,Order!$C:$C,Order!$F:$F,"",0,1))</f>
        <v>6000</v>
      </c>
      <c r="G295" s="4" t="str">
        <f>IF($C295="","",_xlfn.XLOOKUP($C295,Order!$C:$C,Order!$G:$G,"",0,1))</f>
        <v>6063T5</v>
      </c>
      <c r="H295" s="4">
        <f>IF($C295="","",_xlfn.XLOOKUP($C295,Order!$C:$C,Order!$H:$H,"",0,1))</f>
        <v>0.96499999999999997</v>
      </c>
      <c r="I295" s="36">
        <f>IF($C295="","",_xlfn.XLOOKUP($C295,Order!$C:$C,Order!$I:$I,"",0,1))</f>
        <v>0</v>
      </c>
      <c r="J295" s="4" t="str">
        <f>IF(C295="","",Order!$I$16)</f>
        <v>MILL FINISH</v>
      </c>
      <c r="K295" s="36">
        <f>IF($C295="","",_xlfn.XLOOKUP($C295,Order!$C:$C,Order!$P:$P,"",0,1))</f>
        <v>0</v>
      </c>
      <c r="L295" s="4">
        <f t="shared" si="4"/>
        <v>0</v>
      </c>
    </row>
    <row r="296" spans="2:12" ht="23.25" hidden="1" customHeight="1" x14ac:dyDescent="0.25">
      <c r="B296" s="4">
        <v>291</v>
      </c>
      <c r="C296" s="36" t="str">
        <f>IF(Order!$C$307="","",Order!$C$307)</f>
        <v>BX663</v>
      </c>
      <c r="D296" s="36" t="str">
        <f>IF($C296="","",_xlfn.XLOOKUP($C296,Order!$C:$C,Order!$D:$D,"",0,1))</f>
        <v>BX663</v>
      </c>
      <c r="E296" s="4" t="e" vm="479">
        <f>IF($C296="","",_xlfn.XLOOKUP($C296,Order!$C:$C,Order!$E:$E,"",0,1))</f>
        <v>#VALUE!</v>
      </c>
      <c r="F296" s="4">
        <f>IF($C296="","",_xlfn.XLOOKUP($C296,Order!$C:$C,Order!$F:$F,"",0,1))</f>
        <v>6000</v>
      </c>
      <c r="G296" s="4" t="str">
        <f>IF($C296="","",_xlfn.XLOOKUP($C296,Order!$C:$C,Order!$G:$G,"",0,1))</f>
        <v>6063T5</v>
      </c>
      <c r="H296" s="4">
        <f>IF($C296="","",_xlfn.XLOOKUP($C296,Order!$C:$C,Order!$H:$H,"",0,1))</f>
        <v>0.58899999999999997</v>
      </c>
      <c r="I296" s="36">
        <f>IF($C296="","",_xlfn.XLOOKUP($C296,Order!$C:$C,Order!$I:$I,"",0,1))</f>
        <v>0</v>
      </c>
      <c r="J296" s="4" t="str">
        <f>IF(C296="","",Order!$I$16)</f>
        <v>MILL FINISH</v>
      </c>
      <c r="K296" s="36">
        <f>IF($C296="","",_xlfn.XLOOKUP($C296,Order!$C:$C,Order!$P:$P,"",0,1))</f>
        <v>0</v>
      </c>
      <c r="L296" s="4">
        <f t="shared" si="4"/>
        <v>0</v>
      </c>
    </row>
    <row r="297" spans="2:12" ht="23.25" hidden="1" customHeight="1" x14ac:dyDescent="0.25">
      <c r="B297" s="4">
        <v>292</v>
      </c>
      <c r="C297" s="36" t="str">
        <f>IF(Order!$C$308="","",Order!$C$308)</f>
        <v>BX664</v>
      </c>
      <c r="D297" s="36" t="str">
        <f>IF($C297="","",_xlfn.XLOOKUP($C297,Order!$C:$C,Order!$D:$D,"",0,1))</f>
        <v>BX664</v>
      </c>
      <c r="E297" s="4" t="e" vm="480">
        <f>IF($C297="","",_xlfn.XLOOKUP($C297,Order!$C:$C,Order!$E:$E,"",0,1))</f>
        <v>#VALUE!</v>
      </c>
      <c r="F297" s="4">
        <f>IF($C297="","",_xlfn.XLOOKUP($C297,Order!$C:$C,Order!$F:$F,"",0,1))</f>
        <v>6000</v>
      </c>
      <c r="G297" s="4" t="str">
        <f>IF($C297="","",_xlfn.XLOOKUP($C297,Order!$C:$C,Order!$G:$G,"",0,1))</f>
        <v>6063T5</v>
      </c>
      <c r="H297" s="4">
        <f>IF($C297="","",_xlfn.XLOOKUP($C297,Order!$C:$C,Order!$H:$H,"",0,1))</f>
        <v>1.244</v>
      </c>
      <c r="I297" s="36">
        <f>IF($C297="","",_xlfn.XLOOKUP($C297,Order!$C:$C,Order!$I:$I,"",0,1))</f>
        <v>0</v>
      </c>
      <c r="J297" s="4" t="str">
        <f>IF(C297="","",Order!$I$16)</f>
        <v>MILL FINISH</v>
      </c>
      <c r="K297" s="36">
        <f>IF($C297="","",_xlfn.XLOOKUP($C297,Order!$C:$C,Order!$P:$P,"",0,1))</f>
        <v>0</v>
      </c>
      <c r="L297" s="4">
        <f t="shared" si="4"/>
        <v>0</v>
      </c>
    </row>
    <row r="298" spans="2:12" ht="23.25" hidden="1" customHeight="1" x14ac:dyDescent="0.25">
      <c r="B298" s="4">
        <v>293</v>
      </c>
      <c r="C298" s="36" t="str">
        <f>IF(Order!$C$309="","",Order!$C$309)</f>
        <v>BX665</v>
      </c>
      <c r="D298" s="36" t="str">
        <f>IF($C298="","",_xlfn.XLOOKUP($C298,Order!$C:$C,Order!$D:$D,"",0,1))</f>
        <v>BX665</v>
      </c>
      <c r="E298" s="4" t="e" vm="481">
        <f>IF($C298="","",_xlfn.XLOOKUP($C298,Order!$C:$C,Order!$E:$E,"",0,1))</f>
        <v>#VALUE!</v>
      </c>
      <c r="F298" s="4">
        <f>IF($C298="","",_xlfn.XLOOKUP($C298,Order!$C:$C,Order!$F:$F,"",0,1))</f>
        <v>6000</v>
      </c>
      <c r="G298" s="4" t="str">
        <f>IF($C298="","",_xlfn.XLOOKUP($C298,Order!$C:$C,Order!$G:$G,"",0,1))</f>
        <v>6063T5</v>
      </c>
      <c r="H298" s="4">
        <f>IF($C298="","",_xlfn.XLOOKUP($C298,Order!$C:$C,Order!$H:$H,"",0,1))</f>
        <v>0.192</v>
      </c>
      <c r="I298" s="36">
        <f>IF($C298="","",_xlfn.XLOOKUP($C298,Order!$C:$C,Order!$I:$I,"",0,1))</f>
        <v>0</v>
      </c>
      <c r="J298" s="4" t="str">
        <f>IF(C298="","",Order!$I$16)</f>
        <v>MILL FINISH</v>
      </c>
      <c r="K298" s="36">
        <f>IF($C298="","",_xlfn.XLOOKUP($C298,Order!$C:$C,Order!$P:$P,"",0,1))</f>
        <v>0</v>
      </c>
      <c r="L298" s="4">
        <f t="shared" si="4"/>
        <v>0</v>
      </c>
    </row>
    <row r="299" spans="2:12" ht="23.25" hidden="1" customHeight="1" x14ac:dyDescent="0.25">
      <c r="B299" s="4">
        <v>294</v>
      </c>
      <c r="C299" s="36" t="str">
        <f>IF(Order!$C$310="","",Order!$C$310)</f>
        <v>BX666</v>
      </c>
      <c r="D299" s="36" t="str">
        <f>IF($C299="","",_xlfn.XLOOKUP($C299,Order!$C:$C,Order!$D:$D,"",0,1))</f>
        <v>BX666</v>
      </c>
      <c r="E299" s="4" t="e" vm="482">
        <f>IF($C299="","",_xlfn.XLOOKUP($C299,Order!$C:$C,Order!$E:$E,"",0,1))</f>
        <v>#VALUE!</v>
      </c>
      <c r="F299" s="4">
        <f>IF($C299="","",_xlfn.XLOOKUP($C299,Order!$C:$C,Order!$F:$F,"",0,1))</f>
        <v>6000</v>
      </c>
      <c r="G299" s="4" t="str">
        <f>IF($C299="","",_xlfn.XLOOKUP($C299,Order!$C:$C,Order!$G:$G,"",0,1))</f>
        <v>6063T5</v>
      </c>
      <c r="H299" s="4">
        <f>IF($C299="","",_xlfn.XLOOKUP($C299,Order!$C:$C,Order!$H:$H,"",0,1))</f>
        <v>0.48799999999999999</v>
      </c>
      <c r="I299" s="36">
        <f>IF($C299="","",_xlfn.XLOOKUP($C299,Order!$C:$C,Order!$I:$I,"",0,1))</f>
        <v>0</v>
      </c>
      <c r="J299" s="4" t="str">
        <f>IF(C299="","",Order!$I$16)</f>
        <v>MILL FINISH</v>
      </c>
      <c r="K299" s="36">
        <f>IF($C299="","",_xlfn.XLOOKUP($C299,Order!$C:$C,Order!$P:$P,"",0,1))</f>
        <v>0</v>
      </c>
      <c r="L299" s="4">
        <f t="shared" si="4"/>
        <v>0</v>
      </c>
    </row>
    <row r="300" spans="2:12" ht="23.25" hidden="1" customHeight="1" x14ac:dyDescent="0.25">
      <c r="B300" s="4">
        <v>295</v>
      </c>
      <c r="C300" s="36" t="str">
        <f>IF(Order!$C$311="","",Order!$C$311)</f>
        <v>BX667</v>
      </c>
      <c r="D300" s="36" t="str">
        <f>IF($C300="","",_xlfn.XLOOKUP($C300,Order!$C:$C,Order!$D:$D,"",0,1))</f>
        <v>BX667</v>
      </c>
      <c r="E300" s="4" t="e" vm="483">
        <f>IF($C300="","",_xlfn.XLOOKUP($C300,Order!$C:$C,Order!$E:$E,"",0,1))</f>
        <v>#VALUE!</v>
      </c>
      <c r="F300" s="4">
        <f>IF($C300="","",_xlfn.XLOOKUP($C300,Order!$C:$C,Order!$F:$F,"",0,1))</f>
        <v>6000</v>
      </c>
      <c r="G300" s="4" t="str">
        <f>IF($C300="","",_xlfn.XLOOKUP($C300,Order!$C:$C,Order!$G:$G,"",0,1))</f>
        <v>6063T5</v>
      </c>
      <c r="H300" s="4">
        <f>IF($C300="","",_xlfn.XLOOKUP($C300,Order!$C:$C,Order!$H:$H,"",0,1))</f>
        <v>0.48299999999999998</v>
      </c>
      <c r="I300" s="36">
        <f>IF($C300="","",_xlfn.XLOOKUP($C300,Order!$C:$C,Order!$I:$I,"",0,1))</f>
        <v>0</v>
      </c>
      <c r="J300" s="4" t="str">
        <f>IF(C300="","",Order!$I$16)</f>
        <v>MILL FINISH</v>
      </c>
      <c r="K300" s="36">
        <f>IF($C300="","",_xlfn.XLOOKUP($C300,Order!$C:$C,Order!$P:$P,"",0,1))</f>
        <v>0</v>
      </c>
      <c r="L300" s="4">
        <f t="shared" si="4"/>
        <v>0</v>
      </c>
    </row>
    <row r="301" spans="2:12" ht="23.25" hidden="1" customHeight="1" x14ac:dyDescent="0.25">
      <c r="B301" s="4">
        <v>296</v>
      </c>
      <c r="C301" s="36" t="str">
        <f>IF(Order!$C$312="","",Order!$C$312)</f>
        <v>BX709</v>
      </c>
      <c r="D301" s="36" t="str">
        <f>IF($C301="","",_xlfn.XLOOKUP($C301,Order!$C:$C,Order!$D:$D,"",0,1))</f>
        <v>BX709</v>
      </c>
      <c r="E301" s="4" t="e" vm="484">
        <f>IF($C301="","",_xlfn.XLOOKUP($C301,Order!$C:$C,Order!$E:$E,"",0,1))</f>
        <v>#VALUE!</v>
      </c>
      <c r="F301" s="4">
        <f>IF($C301="","",_xlfn.XLOOKUP($C301,Order!$C:$C,Order!$F:$F,"",0,1))</f>
        <v>6000</v>
      </c>
      <c r="G301" s="4" t="str">
        <f>IF($C301="","",_xlfn.XLOOKUP($C301,Order!$C:$C,Order!$G:$G,"",0,1))</f>
        <v>6063T5</v>
      </c>
      <c r="H301" s="4">
        <f>IF($C301="","",_xlfn.XLOOKUP($C301,Order!$C:$C,Order!$H:$H,"",0,1))</f>
        <v>1.595</v>
      </c>
      <c r="I301" s="36">
        <f>IF($C301="","",_xlfn.XLOOKUP($C301,Order!$C:$C,Order!$I:$I,"",0,1))</f>
        <v>0</v>
      </c>
      <c r="J301" s="4" t="str">
        <f>IF(C301="","",Order!$I$16)</f>
        <v>MILL FINISH</v>
      </c>
      <c r="K301" s="36">
        <f>IF($C301="","",_xlfn.XLOOKUP($C301,Order!$C:$C,Order!$P:$P,"",0,1))</f>
        <v>0</v>
      </c>
      <c r="L301" s="4">
        <f t="shared" si="4"/>
        <v>0</v>
      </c>
    </row>
    <row r="302" spans="2:12" ht="23.25" hidden="1" customHeight="1" x14ac:dyDescent="0.25">
      <c r="B302" s="4">
        <v>297</v>
      </c>
      <c r="C302" s="36" t="str">
        <f>IF(Order!$C$313="","",Order!$C$313)</f>
        <v>BX710</v>
      </c>
      <c r="D302" s="36" t="str">
        <f>IF($C302="","",_xlfn.XLOOKUP($C302,Order!$C:$C,Order!$D:$D,"",0,1))</f>
        <v>BX710</v>
      </c>
      <c r="E302" s="4" t="e" vm="485">
        <f>IF($C302="","",_xlfn.XLOOKUP($C302,Order!$C:$C,Order!$E:$E,"",0,1))</f>
        <v>#VALUE!</v>
      </c>
      <c r="F302" s="4">
        <f>IF($C302="","",_xlfn.XLOOKUP($C302,Order!$C:$C,Order!$F:$F,"",0,1))</f>
        <v>6000</v>
      </c>
      <c r="G302" s="4" t="str">
        <f>IF($C302="","",_xlfn.XLOOKUP($C302,Order!$C:$C,Order!$G:$G,"",0,1))</f>
        <v>6063T5</v>
      </c>
      <c r="H302" s="4">
        <f>IF($C302="","",_xlfn.XLOOKUP($C302,Order!$C:$C,Order!$H:$H,"",0,1))</f>
        <v>2.125</v>
      </c>
      <c r="I302" s="36">
        <f>IF($C302="","",_xlfn.XLOOKUP($C302,Order!$C:$C,Order!$I:$I,"",0,1))</f>
        <v>0</v>
      </c>
      <c r="J302" s="4" t="str">
        <f>IF(C302="","",Order!$I$16)</f>
        <v>MILL FINISH</v>
      </c>
      <c r="K302" s="36">
        <f>IF($C302="","",_xlfn.XLOOKUP($C302,Order!$C:$C,Order!$P:$P,"",0,1))</f>
        <v>0</v>
      </c>
      <c r="L302" s="4">
        <f t="shared" si="4"/>
        <v>0</v>
      </c>
    </row>
    <row r="303" spans="2:12" ht="23.25" hidden="1" customHeight="1" x14ac:dyDescent="0.25">
      <c r="B303" s="4">
        <v>298</v>
      </c>
      <c r="C303" s="36" t="str">
        <f>IF(Order!$C$314="","",Order!$C$314)</f>
        <v>BX713</v>
      </c>
      <c r="D303" s="36" t="str">
        <f>IF($C303="","",_xlfn.XLOOKUP($C303,Order!$C:$C,Order!$D:$D,"",0,1))</f>
        <v>BX713</v>
      </c>
      <c r="E303" s="4" t="e" vm="486">
        <f>IF($C303="","",_xlfn.XLOOKUP($C303,Order!$C:$C,Order!$E:$E,"",0,1))</f>
        <v>#VALUE!</v>
      </c>
      <c r="F303" s="4">
        <f>IF($C303="","",_xlfn.XLOOKUP($C303,Order!$C:$C,Order!$F:$F,"",0,1))</f>
        <v>6000</v>
      </c>
      <c r="G303" s="4" t="str">
        <f>IF($C303="","",_xlfn.XLOOKUP($C303,Order!$C:$C,Order!$G:$G,"",0,1))</f>
        <v>6063T5</v>
      </c>
      <c r="H303" s="4">
        <f>IF($C303="","",_xlfn.XLOOKUP($C303,Order!$C:$C,Order!$H:$H,"",0,1))</f>
        <v>1.169</v>
      </c>
      <c r="I303" s="36">
        <f>IF($C303="","",_xlfn.XLOOKUP($C303,Order!$C:$C,Order!$I:$I,"",0,1))</f>
        <v>0</v>
      </c>
      <c r="J303" s="4" t="str">
        <f>IF(C303="","",Order!$I$16)</f>
        <v>MILL FINISH</v>
      </c>
      <c r="K303" s="36">
        <f>IF($C303="","",_xlfn.XLOOKUP($C303,Order!$C:$C,Order!$P:$P,"",0,1))</f>
        <v>0</v>
      </c>
      <c r="L303" s="4">
        <f t="shared" si="4"/>
        <v>0</v>
      </c>
    </row>
    <row r="304" spans="2:12" ht="23.25" hidden="1" customHeight="1" x14ac:dyDescent="0.25">
      <c r="B304" s="4">
        <v>299</v>
      </c>
      <c r="C304" s="36" t="str">
        <f>IF(Order!$C$315="","",Order!$C$315)</f>
        <v>BX716</v>
      </c>
      <c r="D304" s="36" t="str">
        <f>IF($C304="","",_xlfn.XLOOKUP($C304,Order!$C:$C,Order!$D:$D,"",0,1))</f>
        <v>BX716</v>
      </c>
      <c r="E304" s="4" t="e" vm="487">
        <f>IF($C304="","",_xlfn.XLOOKUP($C304,Order!$C:$C,Order!$E:$E,"",0,1))</f>
        <v>#VALUE!</v>
      </c>
      <c r="F304" s="4">
        <f>IF($C304="","",_xlfn.XLOOKUP($C304,Order!$C:$C,Order!$F:$F,"",0,1))</f>
        <v>6000</v>
      </c>
      <c r="G304" s="4" t="str">
        <f>IF($C304="","",_xlfn.XLOOKUP($C304,Order!$C:$C,Order!$G:$G,"",0,1))</f>
        <v>6063T5</v>
      </c>
      <c r="H304" s="4">
        <f>IF($C304="","",_xlfn.XLOOKUP($C304,Order!$C:$C,Order!$H:$H,"",0,1))</f>
        <v>0.71699999999999997</v>
      </c>
      <c r="I304" s="36">
        <f>IF($C304="","",_xlfn.XLOOKUP($C304,Order!$C:$C,Order!$I:$I,"",0,1))</f>
        <v>0</v>
      </c>
      <c r="J304" s="4" t="str">
        <f>IF(C304="","",Order!$I$16)</f>
        <v>MILL FINISH</v>
      </c>
      <c r="K304" s="36">
        <f>IF($C304="","",_xlfn.XLOOKUP($C304,Order!$C:$C,Order!$P:$P,"",0,1))</f>
        <v>0</v>
      </c>
      <c r="L304" s="4">
        <f t="shared" si="4"/>
        <v>0</v>
      </c>
    </row>
    <row r="305" spans="2:12" ht="23.25" hidden="1" customHeight="1" x14ac:dyDescent="0.25">
      <c r="B305" s="4">
        <v>300</v>
      </c>
      <c r="C305" s="36" t="str">
        <f>IF(Order!$C$316="","",Order!$C$316)</f>
        <v>BX717A</v>
      </c>
      <c r="D305" s="36" t="str">
        <f>IF($C305="","",_xlfn.XLOOKUP($C305,Order!$C:$C,Order!$D:$D,"",0,1))</f>
        <v>BX717A</v>
      </c>
      <c r="E305" s="4" t="e" vm="488">
        <f>IF($C305="","",_xlfn.XLOOKUP($C305,Order!$C:$C,Order!$E:$E,"",0,1))</f>
        <v>#VALUE!</v>
      </c>
      <c r="F305" s="4">
        <f>IF($C305="","",_xlfn.XLOOKUP($C305,Order!$C:$C,Order!$F:$F,"",0,1))</f>
        <v>6000</v>
      </c>
      <c r="G305" s="4" t="str">
        <f>IF($C305="","",_xlfn.XLOOKUP($C305,Order!$C:$C,Order!$G:$G,"",0,1))</f>
        <v>6063T5</v>
      </c>
      <c r="H305" s="4">
        <f>IF($C305="","",_xlfn.XLOOKUP($C305,Order!$C:$C,Order!$H:$H,"",0,1))</f>
        <v>0.68500000000000005</v>
      </c>
      <c r="I305" s="36">
        <f>IF($C305="","",_xlfn.XLOOKUP($C305,Order!$C:$C,Order!$I:$I,"",0,1))</f>
        <v>0</v>
      </c>
      <c r="J305" s="4" t="str">
        <f>IF(C305="","",Order!$I$16)</f>
        <v>MILL FINISH</v>
      </c>
      <c r="K305" s="36">
        <f>IF($C305="","",_xlfn.XLOOKUP($C305,Order!$C:$C,Order!$P:$P,"",0,1))</f>
        <v>0</v>
      </c>
      <c r="L305" s="4">
        <f t="shared" si="4"/>
        <v>0</v>
      </c>
    </row>
    <row r="306" spans="2:12" ht="23.25" hidden="1" customHeight="1" x14ac:dyDescent="0.25">
      <c r="B306" s="4">
        <v>301</v>
      </c>
      <c r="C306" s="36" t="str">
        <f>IF(Order!$C$317="","",Order!$C$317)</f>
        <v>BX1096 (FC-261)</v>
      </c>
      <c r="D306" s="36" t="str">
        <f>IF($C306="","",_xlfn.XLOOKUP($C306,Order!$C:$C,Order!$D:$D,"",0,1))</f>
        <v>BX1096</v>
      </c>
      <c r="E306" s="4" t="e" vm="489">
        <f>IF($C306="","",_xlfn.XLOOKUP($C306,Order!$C:$C,Order!$E:$E,"",0,1))</f>
        <v>#VALUE!</v>
      </c>
      <c r="F306" s="4">
        <f>IF($C306="","",_xlfn.XLOOKUP($C306,Order!$C:$C,Order!$F:$F,"",0,1))</f>
        <v>6000</v>
      </c>
      <c r="G306" s="4" t="str">
        <f>IF($C306="","",_xlfn.XLOOKUP($C306,Order!$C:$C,Order!$G:$G,"",0,1))</f>
        <v>6063T5</v>
      </c>
      <c r="H306" s="4">
        <f>IF($C306="","",_xlfn.XLOOKUP($C306,Order!$C:$C,Order!$H:$H,"",0,1))</f>
        <v>0.46899999999999997</v>
      </c>
      <c r="I306" s="36">
        <f>IF($C306="","",_xlfn.XLOOKUP($C306,Order!$C:$C,Order!$I:$I,"",0,1))</f>
        <v>0</v>
      </c>
      <c r="J306" s="4" t="str">
        <f>IF(C306="","",Order!$I$16)</f>
        <v>MILL FINISH</v>
      </c>
      <c r="K306" s="36">
        <f>IF($C306="","",_xlfn.XLOOKUP($C306,Order!$C:$C,Order!$P:$P,"",0,1))</f>
        <v>0</v>
      </c>
      <c r="L306" s="4">
        <f t="shared" si="4"/>
        <v>0</v>
      </c>
    </row>
    <row r="307" spans="2:12" ht="23.25" hidden="1" customHeight="1" x14ac:dyDescent="0.25">
      <c r="B307" s="4">
        <v>302</v>
      </c>
      <c r="C307" s="36" t="str">
        <f>IF(Order!$C$318="","",Order!$C$318)</f>
        <v>BX1099 (FC-225)</v>
      </c>
      <c r="D307" s="36" t="str">
        <f>IF($C307="","",_xlfn.XLOOKUP($C307,Order!$C:$C,Order!$D:$D,"",0,1))</f>
        <v>BX1099</v>
      </c>
      <c r="E307" s="4" t="e" vm="490">
        <f>IF($C307="","",_xlfn.XLOOKUP($C307,Order!$C:$C,Order!$E:$E,"",0,1))</f>
        <v>#VALUE!</v>
      </c>
      <c r="F307" s="4">
        <f>IF($C307="","",_xlfn.XLOOKUP($C307,Order!$C:$C,Order!$F:$F,"",0,1))</f>
        <v>6000</v>
      </c>
      <c r="G307" s="4" t="str">
        <f>IF($C307="","",_xlfn.XLOOKUP($C307,Order!$C:$C,Order!$G:$G,"",0,1))</f>
        <v>6063T5</v>
      </c>
      <c r="H307" s="4">
        <f>IF($C307="","",_xlfn.XLOOKUP($C307,Order!$C:$C,Order!$H:$H,"",0,1))</f>
        <v>0.51600000000000001</v>
      </c>
      <c r="I307" s="36">
        <f>IF($C307="","",_xlfn.XLOOKUP($C307,Order!$C:$C,Order!$I:$I,"",0,1))</f>
        <v>0</v>
      </c>
      <c r="J307" s="4" t="str">
        <f>IF(C307="","",Order!$I$16)</f>
        <v>MILL FINISH</v>
      </c>
      <c r="K307" s="36">
        <f>IF($C307="","",_xlfn.XLOOKUP($C307,Order!$C:$C,Order!$P:$P,"",0,1))</f>
        <v>0</v>
      </c>
      <c r="L307" s="4">
        <f t="shared" si="4"/>
        <v>0</v>
      </c>
    </row>
    <row r="308" spans="2:12" ht="23.25" hidden="1" customHeight="1" x14ac:dyDescent="0.25">
      <c r="B308" s="4">
        <v>303</v>
      </c>
      <c r="C308" s="36" t="str">
        <f>IF(Order!$C$319="","",Order!$C$319)</f>
        <v/>
      </c>
      <c r="D308" s="36" t="str">
        <f>IF($C308="","",_xlfn.XLOOKUP($C308,Order!$C:$C,Order!$D:$D,"",0,1))</f>
        <v/>
      </c>
      <c r="E308" s="4" t="str">
        <f>IF($C308="","",_xlfn.XLOOKUP($C308,Order!$C:$C,Order!$E:$E,"",0,1))</f>
        <v/>
      </c>
      <c r="F308" s="4" t="str">
        <f>IF($C308="","",_xlfn.XLOOKUP($C308,Order!$C:$C,Order!$F:$F,"",0,1))</f>
        <v/>
      </c>
      <c r="G308" s="4" t="str">
        <f>IF($C308="","",_xlfn.XLOOKUP($C308,Order!$C:$C,Order!$G:$G,"",0,1))</f>
        <v/>
      </c>
      <c r="H308" s="4" t="str">
        <f>IF($C308="","",_xlfn.XLOOKUP($C308,Order!$C:$C,Order!$H:$H,"",0,1))</f>
        <v/>
      </c>
      <c r="I308" s="36" t="str">
        <f>IF($C308="","",_xlfn.XLOOKUP($C308,Order!$C:$C,Order!$I:$I,"",0,1))</f>
        <v/>
      </c>
      <c r="J308" s="4" t="str">
        <f>IF(C308="","",Order!$I$16)</f>
        <v/>
      </c>
      <c r="K308" s="36" t="str">
        <f>IF($C308="","",_xlfn.XLOOKUP($C308,Order!$C:$C,Order!$P:$P,"",0,1))</f>
        <v/>
      </c>
      <c r="L308" s="4" t="str">
        <f t="shared" si="4"/>
        <v/>
      </c>
    </row>
    <row r="309" spans="2:12" ht="23.25" hidden="1" customHeight="1" x14ac:dyDescent="0.25">
      <c r="B309" s="4">
        <v>304</v>
      </c>
      <c r="C309" s="36" t="str">
        <f>IF(Order!$C$320="","",Order!$C$320)</f>
        <v/>
      </c>
      <c r="D309" s="36" t="str">
        <f>IF($C309="","",_xlfn.XLOOKUP($C309,Order!$C:$C,Order!$D:$D,"",0,1))</f>
        <v/>
      </c>
      <c r="E309" s="4" t="str">
        <f>IF($C309="","",_xlfn.XLOOKUP($C309,Order!$C:$C,Order!$E:$E,"",0,1))</f>
        <v/>
      </c>
      <c r="F309" s="4" t="str">
        <f>IF($C309="","",_xlfn.XLOOKUP($C309,Order!$C:$C,Order!$F:$F,"",0,1))</f>
        <v/>
      </c>
      <c r="G309" s="4" t="str">
        <f>IF($C309="","",_xlfn.XLOOKUP($C309,Order!$C:$C,Order!$G:$G,"",0,1))</f>
        <v/>
      </c>
      <c r="H309" s="4" t="str">
        <f>IF($C309="","",_xlfn.XLOOKUP($C309,Order!$C:$C,Order!$H:$H,"",0,1))</f>
        <v/>
      </c>
      <c r="I309" s="36" t="str">
        <f>IF($C309="","",_xlfn.XLOOKUP($C309,Order!$C:$C,Order!$I:$I,"",0,1))</f>
        <v/>
      </c>
      <c r="J309" s="4" t="str">
        <f>IF(C309="","",Order!$I$16)</f>
        <v/>
      </c>
      <c r="K309" s="36" t="str">
        <f>IF($C309="","",_xlfn.XLOOKUP($C309,Order!$C:$C,Order!$P:$P,"",0,1))</f>
        <v/>
      </c>
      <c r="L309" s="4" t="str">
        <f t="shared" si="4"/>
        <v/>
      </c>
    </row>
    <row r="310" spans="2:12" ht="23.25" hidden="1" customHeight="1" x14ac:dyDescent="0.25">
      <c r="B310" s="4">
        <v>305</v>
      </c>
      <c r="C310" s="36" t="str">
        <f>IF(Order!$C$321="","",Order!$C$321)</f>
        <v/>
      </c>
      <c r="D310" s="36" t="str">
        <f>IF($C310="","",_xlfn.XLOOKUP($C310,Order!$C:$C,Order!$D:$D,"",0,1))</f>
        <v/>
      </c>
      <c r="E310" s="4" t="str">
        <f>IF($C310="","",_xlfn.XLOOKUP($C310,Order!$C:$C,Order!$E:$E,"",0,1))</f>
        <v/>
      </c>
      <c r="F310" s="4" t="str">
        <f>IF($C310="","",_xlfn.XLOOKUP($C310,Order!$C:$C,Order!$F:$F,"",0,1))</f>
        <v/>
      </c>
      <c r="G310" s="4" t="str">
        <f>IF($C310="","",_xlfn.XLOOKUP($C310,Order!$C:$C,Order!$G:$G,"",0,1))</f>
        <v/>
      </c>
      <c r="H310" s="4" t="str">
        <f>IF($C310="","",_xlfn.XLOOKUP($C310,Order!$C:$C,Order!$H:$H,"",0,1))</f>
        <v/>
      </c>
      <c r="I310" s="36" t="str">
        <f>IF($C310="","",_xlfn.XLOOKUP($C310,Order!$C:$C,Order!$I:$I,"",0,1))</f>
        <v/>
      </c>
      <c r="J310" s="4" t="str">
        <f>IF(C310="","",Order!$I$16)</f>
        <v/>
      </c>
      <c r="K310" s="36" t="str">
        <f>IF($C310="","",_xlfn.XLOOKUP($C310,Order!$C:$C,Order!$P:$P,"",0,1))</f>
        <v/>
      </c>
      <c r="L310" s="4" t="str">
        <f t="shared" si="4"/>
        <v/>
      </c>
    </row>
    <row r="311" spans="2:12" ht="23.25" hidden="1" customHeight="1" x14ac:dyDescent="0.25">
      <c r="B311" s="4">
        <v>306</v>
      </c>
      <c r="C311" s="36" t="str">
        <f>IF(Order!$C$322="","",Order!$C$322)</f>
        <v/>
      </c>
      <c r="D311" s="36" t="str">
        <f>IF($C311="","",_xlfn.XLOOKUP($C311,Order!$C:$C,Order!$D:$D,"",0,1))</f>
        <v/>
      </c>
      <c r="E311" s="4" t="str">
        <f>IF($C311="","",_xlfn.XLOOKUP($C311,Order!$C:$C,Order!$E:$E,"",0,1))</f>
        <v/>
      </c>
      <c r="F311" s="4" t="str">
        <f>IF($C311="","",_xlfn.XLOOKUP($C311,Order!$C:$C,Order!$F:$F,"",0,1))</f>
        <v/>
      </c>
      <c r="G311" s="4" t="str">
        <f>IF($C311="","",_xlfn.XLOOKUP($C311,Order!$C:$C,Order!$G:$G,"",0,1))</f>
        <v/>
      </c>
      <c r="H311" s="4" t="str">
        <f>IF($C311="","",_xlfn.XLOOKUP($C311,Order!$C:$C,Order!$H:$H,"",0,1))</f>
        <v/>
      </c>
      <c r="I311" s="36" t="str">
        <f>IF($C311="","",_xlfn.XLOOKUP($C311,Order!$C:$C,Order!$I:$I,"",0,1))</f>
        <v/>
      </c>
      <c r="J311" s="4" t="str">
        <f>IF(C311="","",Order!$I$16)</f>
        <v/>
      </c>
      <c r="K311" s="36" t="str">
        <f>IF($C311="","",_xlfn.XLOOKUP($C311,Order!$C:$C,Order!$P:$P,"",0,1))</f>
        <v/>
      </c>
      <c r="L311" s="4" t="str">
        <f t="shared" si="4"/>
        <v/>
      </c>
    </row>
    <row r="312" spans="2:12" ht="23.25" hidden="1" customHeight="1" x14ac:dyDescent="0.25">
      <c r="B312" s="4">
        <v>307</v>
      </c>
      <c r="C312" s="36" t="str">
        <f>IF(Order!$C$323="","",Order!$C$323)</f>
        <v/>
      </c>
      <c r="D312" s="36" t="str">
        <f>IF($C312="","",_xlfn.XLOOKUP($C312,Order!$C:$C,Order!$D:$D,"",0,1))</f>
        <v/>
      </c>
      <c r="E312" s="4" t="str">
        <f>IF($C312="","",_xlfn.XLOOKUP($C312,Order!$C:$C,Order!$E:$E,"",0,1))</f>
        <v/>
      </c>
      <c r="F312" s="4" t="str">
        <f>IF($C312="","",_xlfn.XLOOKUP($C312,Order!$C:$C,Order!$F:$F,"",0,1))</f>
        <v/>
      </c>
      <c r="G312" s="4" t="str">
        <f>IF($C312="","",_xlfn.XLOOKUP($C312,Order!$C:$C,Order!$G:$G,"",0,1))</f>
        <v/>
      </c>
      <c r="H312" s="4" t="str">
        <f>IF($C312="","",_xlfn.XLOOKUP($C312,Order!$C:$C,Order!$H:$H,"",0,1))</f>
        <v/>
      </c>
      <c r="I312" s="36" t="str">
        <f>IF($C312="","",_xlfn.XLOOKUP($C312,Order!$C:$C,Order!$I:$I,"",0,1))</f>
        <v/>
      </c>
      <c r="J312" s="4" t="str">
        <f>IF(C312="","",Order!$I$16)</f>
        <v/>
      </c>
      <c r="K312" s="36" t="str">
        <f>IF($C312="","",_xlfn.XLOOKUP($C312,Order!$C:$C,Order!$P:$P,"",0,1))</f>
        <v/>
      </c>
      <c r="L312" s="4" t="str">
        <f t="shared" si="4"/>
        <v/>
      </c>
    </row>
    <row r="313" spans="2:12" ht="23.25" hidden="1" customHeight="1" x14ac:dyDescent="0.25">
      <c r="B313" s="4">
        <v>308</v>
      </c>
      <c r="C313" s="36" t="str">
        <f>IF(Order!$C$324="","",Order!$C$324)</f>
        <v>BX1095</v>
      </c>
      <c r="D313" s="36" t="str">
        <f>IF($C313="","",_xlfn.XLOOKUP($C313,Order!$C:$C,Order!$D:$D,"",0,1))</f>
        <v>BX1095</v>
      </c>
      <c r="E313" s="4" t="e" vm="491">
        <f>IF($C313="","",_xlfn.XLOOKUP($C313,Order!$C:$C,Order!$E:$E,"",0,1))</f>
        <v>#VALUE!</v>
      </c>
      <c r="F313" s="4">
        <f>IF($C313="","",_xlfn.XLOOKUP($C313,Order!$C:$C,Order!$F:$F,"",0,1))</f>
        <v>6000</v>
      </c>
      <c r="G313" s="4" t="str">
        <f>IF($C313="","",_xlfn.XLOOKUP($C313,Order!$C:$C,Order!$G:$G,"",0,1))</f>
        <v>6063T5</v>
      </c>
      <c r="H313" s="4">
        <f>IF($C313="","",_xlfn.XLOOKUP($C313,Order!$C:$C,Order!$H:$H,"",0,1))</f>
        <v>0.64400000000000002</v>
      </c>
      <c r="I313" s="36">
        <f>IF($C313="","",_xlfn.XLOOKUP($C313,Order!$C:$C,Order!$I:$I,"",0,1))</f>
        <v>0</v>
      </c>
      <c r="J313" s="4" t="str">
        <f>IF(C313="","",Order!$I$16)</f>
        <v>MILL FINISH</v>
      </c>
      <c r="K313" s="36">
        <f>IF($C313="","",_xlfn.XLOOKUP($C313,Order!$C:$C,Order!$P:$P,"",0,1))</f>
        <v>0</v>
      </c>
      <c r="L313" s="4">
        <f t="shared" si="4"/>
        <v>0</v>
      </c>
    </row>
    <row r="314" spans="2:12" ht="23.25" hidden="1" customHeight="1" x14ac:dyDescent="0.25">
      <c r="B314" s="4">
        <v>309</v>
      </c>
      <c r="C314" s="36" t="str">
        <f>IF(Order!$C$325="","",Order!$C$325)</f>
        <v>BX1097</v>
      </c>
      <c r="D314" s="36" t="str">
        <f>IF($C314="","",_xlfn.XLOOKUP($C314,Order!$C:$C,Order!$D:$D,"",0,1))</f>
        <v>BX1097</v>
      </c>
      <c r="E314" s="4" t="e" vm="492">
        <f>IF($C314="","",_xlfn.XLOOKUP($C314,Order!$C:$C,Order!$E:$E,"",0,1))</f>
        <v>#VALUE!</v>
      </c>
      <c r="F314" s="4">
        <f>IF($C314="","",_xlfn.XLOOKUP($C314,Order!$C:$C,Order!$F:$F,"",0,1))</f>
        <v>6000</v>
      </c>
      <c r="G314" s="4" t="str">
        <f>IF($C314="","",_xlfn.XLOOKUP($C314,Order!$C:$C,Order!$G:$G,"",0,1))</f>
        <v>6063T5</v>
      </c>
      <c r="H314" s="4">
        <f>IF($C314="","",_xlfn.XLOOKUP($C314,Order!$C:$C,Order!$H:$H,"",0,1))</f>
        <v>0.57499999999999996</v>
      </c>
      <c r="I314" s="36">
        <f>IF($C314="","",_xlfn.XLOOKUP($C314,Order!$C:$C,Order!$I:$I,"",0,1))</f>
        <v>0</v>
      </c>
      <c r="J314" s="4" t="str">
        <f>IF(C314="","",Order!$I$16)</f>
        <v>MILL FINISH</v>
      </c>
      <c r="K314" s="36">
        <f>IF($C314="","",_xlfn.XLOOKUP($C314,Order!$C:$C,Order!$P:$P,"",0,1))</f>
        <v>0</v>
      </c>
      <c r="L314" s="4">
        <f t="shared" si="4"/>
        <v>0</v>
      </c>
    </row>
    <row r="315" spans="2:12" ht="23.25" hidden="1" customHeight="1" x14ac:dyDescent="0.25">
      <c r="B315" s="4">
        <v>310</v>
      </c>
      <c r="C315" s="36" t="str">
        <f>IF(Order!$C$326="","",Order!$C$326)</f>
        <v>BX1103</v>
      </c>
      <c r="D315" s="36" t="str">
        <f>IF($C315="","",_xlfn.XLOOKUP($C315,Order!$C:$C,Order!$D:$D,"",0,1))</f>
        <v>BX1103</v>
      </c>
      <c r="E315" s="4" t="e" vm="493">
        <f>IF($C315="","",_xlfn.XLOOKUP($C315,Order!$C:$C,Order!$E:$E,"",0,1))</f>
        <v>#VALUE!</v>
      </c>
      <c r="F315" s="4">
        <f>IF($C315="","",_xlfn.XLOOKUP($C315,Order!$C:$C,Order!$F:$F,"",0,1))</f>
        <v>6000</v>
      </c>
      <c r="G315" s="4" t="str">
        <f>IF($C315="","",_xlfn.XLOOKUP($C315,Order!$C:$C,Order!$G:$G,"",0,1))</f>
        <v>6063T5</v>
      </c>
      <c r="H315" s="4">
        <f>IF($C315="","",_xlfn.XLOOKUP($C315,Order!$C:$C,Order!$H:$H,"",0,1))</f>
        <v>0.6</v>
      </c>
      <c r="I315" s="36">
        <f>IF($C315="","",_xlfn.XLOOKUP($C315,Order!$C:$C,Order!$I:$I,"",0,1))</f>
        <v>0</v>
      </c>
      <c r="J315" s="4" t="str">
        <f>IF(C315="","",Order!$I$16)</f>
        <v>MILL FINISH</v>
      </c>
      <c r="K315" s="36">
        <f>IF($C315="","",_xlfn.XLOOKUP($C315,Order!$C:$C,Order!$P:$P,"",0,1))</f>
        <v>0</v>
      </c>
      <c r="L315" s="4">
        <f t="shared" si="4"/>
        <v>0</v>
      </c>
    </row>
    <row r="316" spans="2:12" ht="23.25" hidden="1" customHeight="1" x14ac:dyDescent="0.25">
      <c r="B316" s="4">
        <v>311</v>
      </c>
      <c r="C316" s="36" t="str">
        <f>IF(Order!$C$327="","",Order!$C$327)</f>
        <v/>
      </c>
      <c r="D316" s="36" t="str">
        <f>IF($C316="","",_xlfn.XLOOKUP($C316,Order!$C:$C,Order!$D:$D,"",0,1))</f>
        <v/>
      </c>
      <c r="E316" s="4" t="str">
        <f>IF($C316="","",_xlfn.XLOOKUP($C316,Order!$C:$C,Order!$E:$E,"",0,1))</f>
        <v/>
      </c>
      <c r="F316" s="4" t="str">
        <f>IF($C316="","",_xlfn.XLOOKUP($C316,Order!$C:$C,Order!$F:$F,"",0,1))</f>
        <v/>
      </c>
      <c r="G316" s="4" t="str">
        <f>IF($C316="","",_xlfn.XLOOKUP($C316,Order!$C:$C,Order!$G:$G,"",0,1))</f>
        <v/>
      </c>
      <c r="H316" s="4" t="str">
        <f>IF($C316="","",_xlfn.XLOOKUP($C316,Order!$C:$C,Order!$H:$H,"",0,1))</f>
        <v/>
      </c>
      <c r="I316" s="36" t="str">
        <f>IF($C316="","",_xlfn.XLOOKUP($C316,Order!$C:$C,Order!$I:$I,"",0,1))</f>
        <v/>
      </c>
      <c r="J316" s="4" t="str">
        <f>IF(C316="","",Order!$I$16)</f>
        <v/>
      </c>
      <c r="K316" s="36" t="str">
        <f>IF($C316="","",_xlfn.XLOOKUP($C316,Order!$C:$C,Order!$P:$P,"",0,1))</f>
        <v/>
      </c>
      <c r="L316" s="4" t="str">
        <f t="shared" si="4"/>
        <v/>
      </c>
    </row>
    <row r="317" spans="2:12" ht="23.25" hidden="1" customHeight="1" x14ac:dyDescent="0.25">
      <c r="B317" s="4">
        <v>312</v>
      </c>
      <c r="C317" s="36" t="str">
        <f>IF(Order!$C$328="","",Order!$C$328)</f>
        <v/>
      </c>
      <c r="D317" s="36" t="str">
        <f>IF($C317="","",_xlfn.XLOOKUP($C317,Order!$C:$C,Order!$D:$D,"",0,1))</f>
        <v/>
      </c>
      <c r="E317" s="4" t="str">
        <f>IF($C317="","",_xlfn.XLOOKUP($C317,Order!$C:$C,Order!$E:$E,"",0,1))</f>
        <v/>
      </c>
      <c r="F317" s="4" t="str">
        <f>IF($C317="","",_xlfn.XLOOKUP($C317,Order!$C:$C,Order!$F:$F,"",0,1))</f>
        <v/>
      </c>
      <c r="G317" s="4" t="str">
        <f>IF($C317="","",_xlfn.XLOOKUP($C317,Order!$C:$C,Order!$G:$G,"",0,1))</f>
        <v/>
      </c>
      <c r="H317" s="4" t="str">
        <f>IF($C317="","",_xlfn.XLOOKUP($C317,Order!$C:$C,Order!$H:$H,"",0,1))</f>
        <v/>
      </c>
      <c r="I317" s="36" t="str">
        <f>IF($C317="","",_xlfn.XLOOKUP($C317,Order!$C:$C,Order!$I:$I,"",0,1))</f>
        <v/>
      </c>
      <c r="J317" s="4" t="str">
        <f>IF(C317="","",Order!$I$16)</f>
        <v/>
      </c>
      <c r="K317" s="36" t="str">
        <f>IF($C317="","",_xlfn.XLOOKUP($C317,Order!$C:$C,Order!$P:$P,"",0,1))</f>
        <v/>
      </c>
      <c r="L317" s="4" t="str">
        <f t="shared" si="4"/>
        <v/>
      </c>
    </row>
    <row r="318" spans="2:12" ht="23.25" hidden="1" customHeight="1" x14ac:dyDescent="0.25">
      <c r="B318" s="4">
        <v>313</v>
      </c>
      <c r="C318" s="36" t="str">
        <f>IF(Order!$C$329="","",Order!$C$329)</f>
        <v/>
      </c>
      <c r="D318" s="36" t="str">
        <f>IF($C318="","",_xlfn.XLOOKUP($C318,Order!$C:$C,Order!$D:$D,"",0,1))</f>
        <v/>
      </c>
      <c r="E318" s="4" t="str">
        <f>IF($C318="","",_xlfn.XLOOKUP($C318,Order!$C:$C,Order!$E:$E,"",0,1))</f>
        <v/>
      </c>
      <c r="F318" s="4" t="str">
        <f>IF($C318="","",_xlfn.XLOOKUP($C318,Order!$C:$C,Order!$F:$F,"",0,1))</f>
        <v/>
      </c>
      <c r="G318" s="4" t="str">
        <f>IF($C318="","",_xlfn.XLOOKUP($C318,Order!$C:$C,Order!$G:$G,"",0,1))</f>
        <v/>
      </c>
      <c r="H318" s="4" t="str">
        <f>IF($C318="","",_xlfn.XLOOKUP($C318,Order!$C:$C,Order!$H:$H,"",0,1))</f>
        <v/>
      </c>
      <c r="I318" s="36" t="str">
        <f>IF($C318="","",_xlfn.XLOOKUP($C318,Order!$C:$C,Order!$I:$I,"",0,1))</f>
        <v/>
      </c>
      <c r="J318" s="4" t="str">
        <f>IF(C318="","",Order!$I$16)</f>
        <v/>
      </c>
      <c r="K318" s="36" t="str">
        <f>IF($C318="","",_xlfn.XLOOKUP($C318,Order!$C:$C,Order!$P:$P,"",0,1))</f>
        <v/>
      </c>
      <c r="L318" s="4" t="str">
        <f t="shared" si="4"/>
        <v/>
      </c>
    </row>
    <row r="319" spans="2:12" ht="23.25" hidden="1" customHeight="1" x14ac:dyDescent="0.25">
      <c r="B319" s="4">
        <v>314</v>
      </c>
      <c r="C319" s="36" t="str">
        <f>IF(Order!$C$330="","",Order!$C$330)</f>
        <v/>
      </c>
      <c r="D319" s="36" t="str">
        <f>IF($C319="","",_xlfn.XLOOKUP($C319,Order!$C:$C,Order!$D:$D,"",0,1))</f>
        <v/>
      </c>
      <c r="E319" s="4" t="str">
        <f>IF($C319="","",_xlfn.XLOOKUP($C319,Order!$C:$C,Order!$E:$E,"",0,1))</f>
        <v/>
      </c>
      <c r="F319" s="4" t="str">
        <f>IF($C319="","",_xlfn.XLOOKUP($C319,Order!$C:$C,Order!$F:$F,"",0,1))</f>
        <v/>
      </c>
      <c r="G319" s="4" t="str">
        <f>IF($C319="","",_xlfn.XLOOKUP($C319,Order!$C:$C,Order!$G:$G,"",0,1))</f>
        <v/>
      </c>
      <c r="H319" s="4" t="str">
        <f>IF($C319="","",_xlfn.XLOOKUP($C319,Order!$C:$C,Order!$H:$H,"",0,1))</f>
        <v/>
      </c>
      <c r="I319" s="36" t="str">
        <f>IF($C319="","",_xlfn.XLOOKUP($C319,Order!$C:$C,Order!$I:$I,"",0,1))</f>
        <v/>
      </c>
      <c r="J319" s="4" t="str">
        <f>IF(C319="","",Order!$I$16)</f>
        <v/>
      </c>
      <c r="K319" s="36" t="str">
        <f>IF($C319="","",_xlfn.XLOOKUP($C319,Order!$C:$C,Order!$P:$P,"",0,1))</f>
        <v/>
      </c>
      <c r="L319" s="4" t="str">
        <f t="shared" si="4"/>
        <v/>
      </c>
    </row>
    <row r="320" spans="2:12" ht="23.25" hidden="1" customHeight="1" x14ac:dyDescent="0.25">
      <c r="B320" s="4">
        <v>315</v>
      </c>
      <c r="C320" s="36" t="str">
        <f>IF(Order!$C$331="","",Order!$C$331)</f>
        <v/>
      </c>
      <c r="D320" s="36" t="str">
        <f>IF($C320="","",_xlfn.XLOOKUP($C320,Order!$C:$C,Order!$D:$D,"",0,1))</f>
        <v/>
      </c>
      <c r="E320" s="4" t="str">
        <f>IF($C320="","",_xlfn.XLOOKUP($C320,Order!$C:$C,Order!$E:$E,"",0,1))</f>
        <v/>
      </c>
      <c r="F320" s="4" t="str">
        <f>IF($C320="","",_xlfn.XLOOKUP($C320,Order!$C:$C,Order!$F:$F,"",0,1))</f>
        <v/>
      </c>
      <c r="G320" s="4" t="str">
        <f>IF($C320="","",_xlfn.XLOOKUP($C320,Order!$C:$C,Order!$G:$G,"",0,1))</f>
        <v/>
      </c>
      <c r="H320" s="4" t="str">
        <f>IF($C320="","",_xlfn.XLOOKUP($C320,Order!$C:$C,Order!$H:$H,"",0,1))</f>
        <v/>
      </c>
      <c r="I320" s="36" t="str">
        <f>IF($C320="","",_xlfn.XLOOKUP($C320,Order!$C:$C,Order!$I:$I,"",0,1))</f>
        <v/>
      </c>
      <c r="J320" s="4" t="str">
        <f>IF(C320="","",Order!$I$16)</f>
        <v/>
      </c>
      <c r="K320" s="36" t="str">
        <f>IF($C320="","",_xlfn.XLOOKUP($C320,Order!$C:$C,Order!$P:$P,"",0,1))</f>
        <v/>
      </c>
      <c r="L320" s="4" t="str">
        <f t="shared" si="4"/>
        <v/>
      </c>
    </row>
    <row r="321" spans="2:12" ht="23.25" hidden="1" customHeight="1" x14ac:dyDescent="0.25">
      <c r="B321" s="4">
        <v>316</v>
      </c>
      <c r="C321" s="36" t="str">
        <f>IF(Order!$C$332="","",Order!$C$332)</f>
        <v/>
      </c>
      <c r="D321" s="36" t="str">
        <f>IF($C321="","",_xlfn.XLOOKUP($C321,Order!$C:$C,Order!$D:$D,"",0,1))</f>
        <v/>
      </c>
      <c r="E321" s="4" t="str">
        <f>IF($C321="","",_xlfn.XLOOKUP($C321,Order!$C:$C,Order!$E:$E,"",0,1))</f>
        <v/>
      </c>
      <c r="F321" s="4" t="str">
        <f>IF($C321="","",_xlfn.XLOOKUP($C321,Order!$C:$C,Order!$F:$F,"",0,1))</f>
        <v/>
      </c>
      <c r="G321" s="4" t="str">
        <f>IF($C321="","",_xlfn.XLOOKUP($C321,Order!$C:$C,Order!$G:$G,"",0,1))</f>
        <v/>
      </c>
      <c r="H321" s="4" t="str">
        <f>IF($C321="","",_xlfn.XLOOKUP($C321,Order!$C:$C,Order!$H:$H,"",0,1))</f>
        <v/>
      </c>
      <c r="I321" s="36" t="str">
        <f>IF($C321="","",_xlfn.XLOOKUP($C321,Order!$C:$C,Order!$I:$I,"",0,1))</f>
        <v/>
      </c>
      <c r="J321" s="4" t="str">
        <f>IF(C321="","",Order!$I$16)</f>
        <v/>
      </c>
      <c r="K321" s="36" t="str">
        <f>IF($C321="","",_xlfn.XLOOKUP($C321,Order!$C:$C,Order!$P:$P,"",0,1))</f>
        <v/>
      </c>
      <c r="L321" s="4" t="str">
        <f t="shared" si="4"/>
        <v/>
      </c>
    </row>
    <row r="322" spans="2:12" ht="23.25" hidden="1" customHeight="1" x14ac:dyDescent="0.25">
      <c r="B322" s="4">
        <v>317</v>
      </c>
      <c r="C322" s="36" t="str">
        <f>IF(Order!$C$333="","",Order!$C$333)</f>
        <v/>
      </c>
      <c r="D322" s="36" t="str">
        <f>IF($C322="","",_xlfn.XLOOKUP($C322,Order!$C:$C,Order!$D:$D,"",0,1))</f>
        <v/>
      </c>
      <c r="E322" s="4" t="str">
        <f>IF($C322="","",_xlfn.XLOOKUP($C322,Order!$C:$C,Order!$E:$E,"",0,1))</f>
        <v/>
      </c>
      <c r="F322" s="4" t="str">
        <f>IF($C322="","",_xlfn.XLOOKUP($C322,Order!$C:$C,Order!$F:$F,"",0,1))</f>
        <v/>
      </c>
      <c r="G322" s="4" t="str">
        <f>IF($C322="","",_xlfn.XLOOKUP($C322,Order!$C:$C,Order!$G:$G,"",0,1))</f>
        <v/>
      </c>
      <c r="H322" s="4" t="str">
        <f>IF($C322="","",_xlfn.XLOOKUP($C322,Order!$C:$C,Order!$H:$H,"",0,1))</f>
        <v/>
      </c>
      <c r="I322" s="36" t="str">
        <f>IF($C322="","",_xlfn.XLOOKUP($C322,Order!$C:$C,Order!$I:$I,"",0,1))</f>
        <v/>
      </c>
      <c r="J322" s="4" t="str">
        <f>IF(C322="","",Order!$I$16)</f>
        <v/>
      </c>
      <c r="K322" s="36" t="str">
        <f>IF($C322="","",_xlfn.XLOOKUP($C322,Order!$C:$C,Order!$P:$P,"",0,1))</f>
        <v/>
      </c>
      <c r="L322" s="4" t="str">
        <f t="shared" si="4"/>
        <v/>
      </c>
    </row>
    <row r="323" spans="2:12" ht="23.25" hidden="1" customHeight="1" x14ac:dyDescent="0.25">
      <c r="B323" s="4">
        <v>318</v>
      </c>
      <c r="C323" s="36" t="str">
        <f>IF(Order!$C$334="","",Order!$C$334)</f>
        <v/>
      </c>
      <c r="D323" s="36" t="str">
        <f>IF($C323="","",_xlfn.XLOOKUP($C323,Order!$C:$C,Order!$D:$D,"",0,1))</f>
        <v/>
      </c>
      <c r="E323" s="4" t="str">
        <f>IF($C323="","",_xlfn.XLOOKUP($C323,Order!$C:$C,Order!$E:$E,"",0,1))</f>
        <v/>
      </c>
      <c r="F323" s="4" t="str">
        <f>IF($C323="","",_xlfn.XLOOKUP($C323,Order!$C:$C,Order!$F:$F,"",0,1))</f>
        <v/>
      </c>
      <c r="G323" s="4" t="str">
        <f>IF($C323="","",_xlfn.XLOOKUP($C323,Order!$C:$C,Order!$G:$G,"",0,1))</f>
        <v/>
      </c>
      <c r="H323" s="4" t="str">
        <f>IF($C323="","",_xlfn.XLOOKUP($C323,Order!$C:$C,Order!$H:$H,"",0,1))</f>
        <v/>
      </c>
      <c r="I323" s="36" t="str">
        <f>IF($C323="","",_xlfn.XLOOKUP($C323,Order!$C:$C,Order!$I:$I,"",0,1))</f>
        <v/>
      </c>
      <c r="J323" s="4" t="str">
        <f>IF(C323="","",Order!$I$16)</f>
        <v/>
      </c>
      <c r="K323" s="36" t="str">
        <f>IF($C323="","",_xlfn.XLOOKUP($C323,Order!$C:$C,Order!$P:$P,"",0,1))</f>
        <v/>
      </c>
      <c r="L323" s="4" t="str">
        <f t="shared" si="4"/>
        <v/>
      </c>
    </row>
    <row r="324" spans="2:12" ht="23.25" hidden="1" customHeight="1" x14ac:dyDescent="0.25">
      <c r="B324" s="4">
        <v>319</v>
      </c>
      <c r="C324" s="36" t="str">
        <f>IF(Order!$C$335="","",Order!$C$335)</f>
        <v/>
      </c>
      <c r="D324" s="36" t="str">
        <f>IF($C324="","",_xlfn.XLOOKUP($C324,Order!$C:$C,Order!$D:$D,"",0,1))</f>
        <v/>
      </c>
      <c r="E324" s="4" t="str">
        <f>IF($C324="","",_xlfn.XLOOKUP($C324,Order!$C:$C,Order!$E:$E,"",0,1))</f>
        <v/>
      </c>
      <c r="F324" s="4" t="str">
        <f>IF($C324="","",_xlfn.XLOOKUP($C324,Order!$C:$C,Order!$F:$F,"",0,1))</f>
        <v/>
      </c>
      <c r="G324" s="4" t="str">
        <f>IF($C324="","",_xlfn.XLOOKUP($C324,Order!$C:$C,Order!$G:$G,"",0,1))</f>
        <v/>
      </c>
      <c r="H324" s="4" t="str">
        <f>IF($C324="","",_xlfn.XLOOKUP($C324,Order!$C:$C,Order!$H:$H,"",0,1))</f>
        <v/>
      </c>
      <c r="I324" s="36" t="str">
        <f>IF($C324="","",_xlfn.XLOOKUP($C324,Order!$C:$C,Order!$I:$I,"",0,1))</f>
        <v/>
      </c>
      <c r="J324" s="4" t="str">
        <f>IF(C324="","",Order!$I$16)</f>
        <v/>
      </c>
      <c r="K324" s="36" t="str">
        <f>IF($C324="","",_xlfn.XLOOKUP($C324,Order!$C:$C,Order!$P:$P,"",0,1))</f>
        <v/>
      </c>
      <c r="L324" s="4" t="str">
        <f t="shared" si="4"/>
        <v/>
      </c>
    </row>
    <row r="325" spans="2:12" ht="23.25" hidden="1" customHeight="1" x14ac:dyDescent="0.25">
      <c r="B325" s="4">
        <v>320</v>
      </c>
      <c r="C325" s="36" t="str">
        <f>IF(Order!$C$336="","",Order!$C$336)</f>
        <v/>
      </c>
      <c r="D325" s="36" t="str">
        <f>IF($C325="","",_xlfn.XLOOKUP($C325,Order!$C:$C,Order!$D:$D,"",0,1))</f>
        <v/>
      </c>
      <c r="E325" s="4" t="str">
        <f>IF($C325="","",_xlfn.XLOOKUP($C325,Order!$C:$C,Order!$E:$E,"",0,1))</f>
        <v/>
      </c>
      <c r="F325" s="4" t="str">
        <f>IF($C325="","",_xlfn.XLOOKUP($C325,Order!$C:$C,Order!$F:$F,"",0,1))</f>
        <v/>
      </c>
      <c r="G325" s="4" t="str">
        <f>IF($C325="","",_xlfn.XLOOKUP($C325,Order!$C:$C,Order!$G:$G,"",0,1))</f>
        <v/>
      </c>
      <c r="H325" s="4" t="str">
        <f>IF($C325="","",_xlfn.XLOOKUP($C325,Order!$C:$C,Order!$H:$H,"",0,1))</f>
        <v/>
      </c>
      <c r="I325" s="36" t="str">
        <f>IF($C325="","",_xlfn.XLOOKUP($C325,Order!$C:$C,Order!$I:$I,"",0,1))</f>
        <v/>
      </c>
      <c r="J325" s="4" t="str">
        <f>IF(C325="","",Order!$I$16)</f>
        <v/>
      </c>
      <c r="K325" s="36" t="str">
        <f>IF($C325="","",_xlfn.XLOOKUP($C325,Order!$C:$C,Order!$P:$P,"",0,1))</f>
        <v/>
      </c>
      <c r="L325" s="4" t="str">
        <f t="shared" si="4"/>
        <v/>
      </c>
    </row>
    <row r="326" spans="2:12" ht="23.25" hidden="1" customHeight="1" x14ac:dyDescent="0.25">
      <c r="B326" s="4">
        <v>321</v>
      </c>
      <c r="C326" s="36" t="str">
        <f>IF(Order!$C$337="","",Order!$C$337)</f>
        <v xml:space="preserve"> BX352 (MT0077-Perfilpara tela de mosquito)</v>
      </c>
      <c r="D326" s="36" t="str">
        <f>IF($C326="","",_xlfn.XLOOKUP($C326,Order!$C:$C,Order!$D:$D,"",0,1))</f>
        <v>BX352</v>
      </c>
      <c r="E326" s="4" t="e" vm="494">
        <f>IF($C326="","",_xlfn.XLOOKUP($C326,Order!$C:$C,Order!$E:$E,"",0,1))</f>
        <v>#VALUE!</v>
      </c>
      <c r="F326" s="4">
        <f>IF($C326="","",_xlfn.XLOOKUP($C326,Order!$C:$C,Order!$F:$F,"",0,1))</f>
        <v>6000</v>
      </c>
      <c r="G326" s="4" t="str">
        <f>IF($C326="","",_xlfn.XLOOKUP($C326,Order!$C:$C,Order!$G:$G,"",0,1))</f>
        <v>6063T5</v>
      </c>
      <c r="H326" s="4">
        <f>IF($C326="","",_xlfn.XLOOKUP($C326,Order!$C:$C,Order!$H:$H,"",0,1))</f>
        <v>0.192</v>
      </c>
      <c r="I326" s="36">
        <f>IF($C326="","",_xlfn.XLOOKUP($C326,Order!$C:$C,Order!$I:$I,"",0,1))</f>
        <v>0</v>
      </c>
      <c r="J326" s="4" t="str">
        <f>IF(C326="","",Order!$I$16)</f>
        <v>MILL FINISH</v>
      </c>
      <c r="K326" s="36">
        <f>IF($C326="","",_xlfn.XLOOKUP($C326,Order!$C:$C,Order!$P:$P,"",0,1))</f>
        <v>0</v>
      </c>
      <c r="L326" s="4">
        <f t="shared" si="4"/>
        <v>0</v>
      </c>
    </row>
    <row r="327" spans="2:12" ht="23.25" hidden="1" customHeight="1" x14ac:dyDescent="0.25">
      <c r="B327" s="4">
        <v>322</v>
      </c>
      <c r="C327" s="36" t="str">
        <f>IF(Order!$C$338="","",Order!$C$338)</f>
        <v/>
      </c>
      <c r="D327" s="36" t="str">
        <f>IF($C327="","",_xlfn.XLOOKUP($C327,Order!$C:$C,Order!$D:$D,"",0,1))</f>
        <v/>
      </c>
      <c r="E327" s="4" t="str">
        <f>IF($C327="","",_xlfn.XLOOKUP($C327,Order!$C:$C,Order!$E:$E,"",0,1))</f>
        <v/>
      </c>
      <c r="F327" s="4" t="str">
        <f>IF($C327="","",_xlfn.XLOOKUP($C327,Order!$C:$C,Order!$F:$F,"",0,1))</f>
        <v/>
      </c>
      <c r="G327" s="4" t="str">
        <f>IF($C327="","",_xlfn.XLOOKUP($C327,Order!$C:$C,Order!$G:$G,"",0,1))</f>
        <v/>
      </c>
      <c r="H327" s="4" t="str">
        <f>IF($C327="","",_xlfn.XLOOKUP($C327,Order!$C:$C,Order!$H:$H,"",0,1))</f>
        <v/>
      </c>
      <c r="I327" s="36" t="str">
        <f>IF($C327="","",_xlfn.XLOOKUP($C327,Order!$C:$C,Order!$I:$I,"",0,1))</f>
        <v/>
      </c>
      <c r="J327" s="4" t="str">
        <f>IF(C327="","",Order!$I$16)</f>
        <v/>
      </c>
      <c r="K327" s="36" t="str">
        <f>IF($C327="","",_xlfn.XLOOKUP($C327,Order!$C:$C,Order!$P:$P,"",0,1))</f>
        <v/>
      </c>
      <c r="L327" s="4" t="str">
        <f t="shared" ref="L327:L390" si="5">IF(C327="","",F327/1000*H327*I327)</f>
        <v/>
      </c>
    </row>
    <row r="328" spans="2:12" ht="23.25" hidden="1" customHeight="1" x14ac:dyDescent="0.25">
      <c r="B328" s="4">
        <v>323</v>
      </c>
      <c r="C328" s="36" t="str">
        <f>IF(Order!$C$339="","",Order!$C$339)</f>
        <v/>
      </c>
      <c r="D328" s="36" t="str">
        <f>IF($C328="","",_xlfn.XLOOKUP($C328,Order!$C:$C,Order!$D:$D,"",0,1))</f>
        <v/>
      </c>
      <c r="E328" s="4" t="str">
        <f>IF($C328="","",_xlfn.XLOOKUP($C328,Order!$C:$C,Order!$E:$E,"",0,1))</f>
        <v/>
      </c>
      <c r="F328" s="4" t="str">
        <f>IF($C328="","",_xlfn.XLOOKUP($C328,Order!$C:$C,Order!$F:$F,"",0,1))</f>
        <v/>
      </c>
      <c r="G328" s="4" t="str">
        <f>IF($C328="","",_xlfn.XLOOKUP($C328,Order!$C:$C,Order!$G:$G,"",0,1))</f>
        <v/>
      </c>
      <c r="H328" s="4" t="str">
        <f>IF($C328="","",_xlfn.XLOOKUP($C328,Order!$C:$C,Order!$H:$H,"",0,1))</f>
        <v/>
      </c>
      <c r="I328" s="36" t="str">
        <f>IF($C328="","",_xlfn.XLOOKUP($C328,Order!$C:$C,Order!$I:$I,"",0,1))</f>
        <v/>
      </c>
      <c r="J328" s="4" t="str">
        <f>IF(C328="","",Order!$I$16)</f>
        <v/>
      </c>
      <c r="K328" s="36" t="str">
        <f>IF($C328="","",_xlfn.XLOOKUP($C328,Order!$C:$C,Order!$P:$P,"",0,1))</f>
        <v/>
      </c>
      <c r="L328" s="4" t="str">
        <f t="shared" si="5"/>
        <v/>
      </c>
    </row>
    <row r="329" spans="2:12" ht="23.25" hidden="1" customHeight="1" x14ac:dyDescent="0.25">
      <c r="B329" s="4">
        <v>324</v>
      </c>
      <c r="C329" s="36" t="str">
        <f>IF(Order!$C$340="","",Order!$C$340)</f>
        <v/>
      </c>
      <c r="D329" s="36" t="str">
        <f>IF($C329="","",_xlfn.XLOOKUP($C329,Order!$C:$C,Order!$D:$D,"",0,1))</f>
        <v/>
      </c>
      <c r="E329" s="4" t="str">
        <f>IF($C329="","",_xlfn.XLOOKUP($C329,Order!$C:$C,Order!$E:$E,"",0,1))</f>
        <v/>
      </c>
      <c r="F329" s="4" t="str">
        <f>IF($C329="","",_xlfn.XLOOKUP($C329,Order!$C:$C,Order!$F:$F,"",0,1))</f>
        <v/>
      </c>
      <c r="G329" s="4" t="str">
        <f>IF($C329="","",_xlfn.XLOOKUP($C329,Order!$C:$C,Order!$G:$G,"",0,1))</f>
        <v/>
      </c>
      <c r="H329" s="4" t="str">
        <f>IF($C329="","",_xlfn.XLOOKUP($C329,Order!$C:$C,Order!$H:$H,"",0,1))</f>
        <v/>
      </c>
      <c r="I329" s="36" t="str">
        <f>IF($C329="","",_xlfn.XLOOKUP($C329,Order!$C:$C,Order!$I:$I,"",0,1))</f>
        <v/>
      </c>
      <c r="J329" s="4" t="str">
        <f>IF(C329="","",Order!$I$16)</f>
        <v/>
      </c>
      <c r="K329" s="36" t="str">
        <f>IF($C329="","",_xlfn.XLOOKUP($C329,Order!$C:$C,Order!$P:$P,"",0,1))</f>
        <v/>
      </c>
      <c r="L329" s="4" t="str">
        <f t="shared" si="5"/>
        <v/>
      </c>
    </row>
    <row r="330" spans="2:12" ht="23.25" hidden="1" customHeight="1" x14ac:dyDescent="0.25">
      <c r="B330" s="4">
        <v>325</v>
      </c>
      <c r="C330" s="36" t="str">
        <f>IF(Order!$C$341="","",Order!$C$341)</f>
        <v xml:space="preserve"> U 15 (PU 004 5/8 x 1/16")  </v>
      </c>
      <c r="D330" s="36" t="str">
        <f>IF($C330="","",_xlfn.XLOOKUP($C330,Order!$C:$C,Order!$D:$D,"",0,1))</f>
        <v>BX567</v>
      </c>
      <c r="E330" s="4" t="e" vm="495">
        <f>IF($C330="","",_xlfn.XLOOKUP($C330,Order!$C:$C,Order!$E:$E,"",0,1))</f>
        <v>#VALUE!</v>
      </c>
      <c r="F330" s="4">
        <f>IF($C330="","",_xlfn.XLOOKUP($C330,Order!$C:$C,Order!$F:$F,"",0,1))</f>
        <v>6000</v>
      </c>
      <c r="G330" s="4" t="str">
        <f>IF($C330="","",_xlfn.XLOOKUP($C330,Order!$C:$C,Order!$G:$G,"",0,1))</f>
        <v>6063T5</v>
      </c>
      <c r="H330" s="4">
        <f>IF($C330="","",_xlfn.XLOOKUP($C330,Order!$C:$C,Order!$H:$H,"",0,1))</f>
        <v>0.17100000000000001</v>
      </c>
      <c r="I330" s="36">
        <f>IF($C330="","",_xlfn.XLOOKUP($C330,Order!$C:$C,Order!$I:$I,"",0,1))</f>
        <v>0</v>
      </c>
      <c r="J330" s="4" t="str">
        <f>IF(C330="","",Order!$I$16)</f>
        <v>MILL FINISH</v>
      </c>
      <c r="K330" s="36">
        <f>IF($C330="","",_xlfn.XLOOKUP($C330,Order!$C:$C,Order!$P:$P,"",0,1))</f>
        <v>0</v>
      </c>
      <c r="L330" s="4">
        <f t="shared" si="5"/>
        <v>0</v>
      </c>
    </row>
    <row r="331" spans="2:12" ht="23.25" hidden="1" customHeight="1" x14ac:dyDescent="0.25">
      <c r="B331" s="4">
        <v>326</v>
      </c>
      <c r="C331" s="36" t="str">
        <f>IF(Order!$C$342="","",Order!$C$342)</f>
        <v/>
      </c>
      <c r="D331" s="36" t="str">
        <f>IF($C331="","",_xlfn.XLOOKUP($C331,Order!$C:$C,Order!$D:$D,"",0,1))</f>
        <v/>
      </c>
      <c r="E331" s="4" t="str">
        <f>IF($C331="","",_xlfn.XLOOKUP($C331,Order!$C:$C,Order!$E:$E,"",0,1))</f>
        <v/>
      </c>
      <c r="F331" s="4" t="str">
        <f>IF($C331="","",_xlfn.XLOOKUP($C331,Order!$C:$C,Order!$F:$F,"",0,1))</f>
        <v/>
      </c>
      <c r="G331" s="4" t="str">
        <f>IF($C331="","",_xlfn.XLOOKUP($C331,Order!$C:$C,Order!$G:$G,"",0,1))</f>
        <v/>
      </c>
      <c r="H331" s="4" t="str">
        <f>IF($C331="","",_xlfn.XLOOKUP($C331,Order!$C:$C,Order!$H:$H,"",0,1))</f>
        <v/>
      </c>
      <c r="I331" s="36" t="str">
        <f>IF($C331="","",_xlfn.XLOOKUP($C331,Order!$C:$C,Order!$I:$I,"",0,1))</f>
        <v/>
      </c>
      <c r="J331" s="4" t="str">
        <f>IF(C331="","",Order!$I$16)</f>
        <v/>
      </c>
      <c r="K331" s="36" t="str">
        <f>IF($C331="","",_xlfn.XLOOKUP($C331,Order!$C:$C,Order!$P:$P,"",0,1))</f>
        <v/>
      </c>
      <c r="L331" s="4" t="str">
        <f t="shared" si="5"/>
        <v/>
      </c>
    </row>
    <row r="332" spans="2:12" ht="23.25" hidden="1" customHeight="1" x14ac:dyDescent="0.25">
      <c r="B332" s="4">
        <v>327</v>
      </c>
      <c r="C332" s="36" t="str">
        <f>IF(Order!$C$343="","",Order!$C$343)</f>
        <v/>
      </c>
      <c r="D332" s="36" t="str">
        <f>IF($C332="","",_xlfn.XLOOKUP($C332,Order!$C:$C,Order!$D:$D,"",0,1))</f>
        <v/>
      </c>
      <c r="E332" s="4" t="str">
        <f>IF($C332="","",_xlfn.XLOOKUP($C332,Order!$C:$C,Order!$E:$E,"",0,1))</f>
        <v/>
      </c>
      <c r="F332" s="4" t="str">
        <f>IF($C332="","",_xlfn.XLOOKUP($C332,Order!$C:$C,Order!$F:$F,"",0,1))</f>
        <v/>
      </c>
      <c r="G332" s="4" t="str">
        <f>IF($C332="","",_xlfn.XLOOKUP($C332,Order!$C:$C,Order!$G:$G,"",0,1))</f>
        <v/>
      </c>
      <c r="H332" s="4" t="str">
        <f>IF($C332="","",_xlfn.XLOOKUP($C332,Order!$C:$C,Order!$H:$H,"",0,1))</f>
        <v/>
      </c>
      <c r="I332" s="36" t="str">
        <f>IF($C332="","",_xlfn.XLOOKUP($C332,Order!$C:$C,Order!$I:$I,"",0,1))</f>
        <v/>
      </c>
      <c r="J332" s="4" t="str">
        <f>IF(C332="","",Order!$I$16)</f>
        <v/>
      </c>
      <c r="K332" s="36" t="str">
        <f>IF($C332="","",_xlfn.XLOOKUP($C332,Order!$C:$C,Order!$P:$P,"",0,1))</f>
        <v/>
      </c>
      <c r="L332" s="4" t="str">
        <f t="shared" si="5"/>
        <v/>
      </c>
    </row>
    <row r="333" spans="2:12" ht="23.25" hidden="1" customHeight="1" x14ac:dyDescent="0.25">
      <c r="B333" s="4">
        <v>328</v>
      </c>
      <c r="C333" s="36" t="str">
        <f>IF(Order!$C$344="","",Order!$C$344)</f>
        <v/>
      </c>
      <c r="D333" s="36" t="str">
        <f>IF($C333="","",_xlfn.XLOOKUP($C333,Order!$C:$C,Order!$D:$D,"",0,1))</f>
        <v/>
      </c>
      <c r="E333" s="4" t="str">
        <f>IF($C333="","",_xlfn.XLOOKUP($C333,Order!$C:$C,Order!$E:$E,"",0,1))</f>
        <v/>
      </c>
      <c r="F333" s="4" t="str">
        <f>IF($C333="","",_xlfn.XLOOKUP($C333,Order!$C:$C,Order!$F:$F,"",0,1))</f>
        <v/>
      </c>
      <c r="G333" s="4" t="str">
        <f>IF($C333="","",_xlfn.XLOOKUP($C333,Order!$C:$C,Order!$G:$G,"",0,1))</f>
        <v/>
      </c>
      <c r="H333" s="4" t="str">
        <f>IF($C333="","",_xlfn.XLOOKUP($C333,Order!$C:$C,Order!$H:$H,"",0,1))</f>
        <v/>
      </c>
      <c r="I333" s="36" t="str">
        <f>IF($C333="","",_xlfn.XLOOKUP($C333,Order!$C:$C,Order!$I:$I,"",0,1))</f>
        <v/>
      </c>
      <c r="J333" s="4" t="str">
        <f>IF(C333="","",Order!$I$16)</f>
        <v/>
      </c>
      <c r="K333" s="36" t="str">
        <f>IF($C333="","",_xlfn.XLOOKUP($C333,Order!$C:$C,Order!$P:$P,"",0,1))</f>
        <v/>
      </c>
      <c r="L333" s="4" t="str">
        <f t="shared" si="5"/>
        <v/>
      </c>
    </row>
    <row r="334" spans="2:12" ht="23.25" hidden="1" customHeight="1" x14ac:dyDescent="0.25">
      <c r="B334" s="4">
        <v>329</v>
      </c>
      <c r="C334" s="36" t="str">
        <f>IF(Order!$C$345="","",Order!$C$345)</f>
        <v/>
      </c>
      <c r="D334" s="36" t="str">
        <f>IF($C334="","",_xlfn.XLOOKUP($C334,Order!$C:$C,Order!$D:$D,"",0,1))</f>
        <v/>
      </c>
      <c r="E334" s="4" t="str">
        <f>IF($C334="","",_xlfn.XLOOKUP($C334,Order!$C:$C,Order!$E:$E,"",0,1))</f>
        <v/>
      </c>
      <c r="F334" s="4" t="str">
        <f>IF($C334="","",_xlfn.XLOOKUP($C334,Order!$C:$C,Order!$F:$F,"",0,1))</f>
        <v/>
      </c>
      <c r="G334" s="4" t="str">
        <f>IF($C334="","",_xlfn.XLOOKUP($C334,Order!$C:$C,Order!$G:$G,"",0,1))</f>
        <v/>
      </c>
      <c r="H334" s="4" t="str">
        <f>IF($C334="","",_xlfn.XLOOKUP($C334,Order!$C:$C,Order!$H:$H,"",0,1))</f>
        <v/>
      </c>
      <c r="I334" s="36" t="str">
        <f>IF($C334="","",_xlfn.XLOOKUP($C334,Order!$C:$C,Order!$I:$I,"",0,1))</f>
        <v/>
      </c>
      <c r="J334" s="4" t="str">
        <f>IF(C334="","",Order!$I$16)</f>
        <v/>
      </c>
      <c r="K334" s="36" t="str">
        <f>IF($C334="","",_xlfn.XLOOKUP($C334,Order!$C:$C,Order!$P:$P,"",0,1))</f>
        <v/>
      </c>
      <c r="L334" s="4" t="str">
        <f t="shared" si="5"/>
        <v/>
      </c>
    </row>
    <row r="335" spans="2:12" ht="23.25" hidden="1" customHeight="1" x14ac:dyDescent="0.25">
      <c r="B335" s="4">
        <v>330</v>
      </c>
      <c r="C335" s="36" t="str">
        <f>IF(Order!$C$346="","",Order!$C$346)</f>
        <v/>
      </c>
      <c r="D335" s="36" t="str">
        <f>IF($C335="","",_xlfn.XLOOKUP($C335,Order!$C:$C,Order!$D:$D,"",0,1))</f>
        <v/>
      </c>
      <c r="E335" s="4" t="str">
        <f>IF($C335="","",_xlfn.XLOOKUP($C335,Order!$C:$C,Order!$E:$E,"",0,1))</f>
        <v/>
      </c>
      <c r="F335" s="4" t="str">
        <f>IF($C335="","",_xlfn.XLOOKUP($C335,Order!$C:$C,Order!$F:$F,"",0,1))</f>
        <v/>
      </c>
      <c r="G335" s="4" t="str">
        <f>IF($C335="","",_xlfn.XLOOKUP($C335,Order!$C:$C,Order!$G:$G,"",0,1))</f>
        <v/>
      </c>
      <c r="H335" s="4" t="str">
        <f>IF($C335="","",_xlfn.XLOOKUP($C335,Order!$C:$C,Order!$H:$H,"",0,1))</f>
        <v/>
      </c>
      <c r="I335" s="36" t="str">
        <f>IF($C335="","",_xlfn.XLOOKUP($C335,Order!$C:$C,Order!$I:$I,"",0,1))</f>
        <v/>
      </c>
      <c r="J335" s="4" t="str">
        <f>IF(C335="","",Order!$I$16)</f>
        <v/>
      </c>
      <c r="K335" s="36" t="str">
        <f>IF($C335="","",_xlfn.XLOOKUP($C335,Order!$C:$C,Order!$P:$P,"",0,1))</f>
        <v/>
      </c>
      <c r="L335" s="4" t="str">
        <f t="shared" si="5"/>
        <v/>
      </c>
    </row>
    <row r="336" spans="2:12" ht="23.25" hidden="1" customHeight="1" x14ac:dyDescent="0.25">
      <c r="B336" s="4">
        <v>331</v>
      </c>
      <c r="C336" s="36" t="str">
        <f>IF(Order!$C$347="","",Order!$C$347)</f>
        <v/>
      </c>
      <c r="D336" s="36" t="str">
        <f>IF($C336="","",_xlfn.XLOOKUP($C336,Order!$C:$C,Order!$D:$D,"",0,1))</f>
        <v/>
      </c>
      <c r="E336" s="4" t="str">
        <f>IF($C336="","",_xlfn.XLOOKUP($C336,Order!$C:$C,Order!$E:$E,"",0,1))</f>
        <v/>
      </c>
      <c r="F336" s="4" t="str">
        <f>IF($C336="","",_xlfn.XLOOKUP($C336,Order!$C:$C,Order!$F:$F,"",0,1))</f>
        <v/>
      </c>
      <c r="G336" s="4" t="str">
        <f>IF($C336="","",_xlfn.XLOOKUP($C336,Order!$C:$C,Order!$G:$G,"",0,1))</f>
        <v/>
      </c>
      <c r="H336" s="4" t="str">
        <f>IF($C336="","",_xlfn.XLOOKUP($C336,Order!$C:$C,Order!$H:$H,"",0,1))</f>
        <v/>
      </c>
      <c r="I336" s="36" t="str">
        <f>IF($C336="","",_xlfn.XLOOKUP($C336,Order!$C:$C,Order!$I:$I,"",0,1))</f>
        <v/>
      </c>
      <c r="J336" s="4" t="str">
        <f>IF(C336="","",Order!$I$16)</f>
        <v/>
      </c>
      <c r="K336" s="36" t="str">
        <f>IF($C336="","",_xlfn.XLOOKUP($C336,Order!$C:$C,Order!$P:$P,"",0,1))</f>
        <v/>
      </c>
      <c r="L336" s="4" t="str">
        <f t="shared" si="5"/>
        <v/>
      </c>
    </row>
    <row r="337" spans="2:12" ht="23.25" hidden="1" customHeight="1" x14ac:dyDescent="0.25">
      <c r="B337" s="4">
        <v>332</v>
      </c>
      <c r="C337" s="36" t="str">
        <f>IF(Order!$C$348="","",Order!$C$348)</f>
        <v/>
      </c>
      <c r="D337" s="36" t="str">
        <f>IF($C337="","",_xlfn.XLOOKUP($C337,Order!$C:$C,Order!$D:$D,"",0,1))</f>
        <v/>
      </c>
      <c r="E337" s="4" t="str">
        <f>IF($C337="","",_xlfn.XLOOKUP($C337,Order!$C:$C,Order!$E:$E,"",0,1))</f>
        <v/>
      </c>
      <c r="F337" s="4" t="str">
        <f>IF($C337="","",_xlfn.XLOOKUP($C337,Order!$C:$C,Order!$F:$F,"",0,1))</f>
        <v/>
      </c>
      <c r="G337" s="4" t="str">
        <f>IF($C337="","",_xlfn.XLOOKUP($C337,Order!$C:$C,Order!$G:$G,"",0,1))</f>
        <v/>
      </c>
      <c r="H337" s="4" t="str">
        <f>IF($C337="","",_xlfn.XLOOKUP($C337,Order!$C:$C,Order!$H:$H,"",0,1))</f>
        <v/>
      </c>
      <c r="I337" s="36" t="str">
        <f>IF($C337="","",_xlfn.XLOOKUP($C337,Order!$C:$C,Order!$I:$I,"",0,1))</f>
        <v/>
      </c>
      <c r="J337" s="4" t="str">
        <f>IF(C337="","",Order!$I$16)</f>
        <v/>
      </c>
      <c r="K337" s="36" t="str">
        <f>IF($C337="","",_xlfn.XLOOKUP($C337,Order!$C:$C,Order!$P:$P,"",0,1))</f>
        <v/>
      </c>
      <c r="L337" s="4" t="str">
        <f t="shared" si="5"/>
        <v/>
      </c>
    </row>
    <row r="338" spans="2:12" ht="23.25" hidden="1" customHeight="1" x14ac:dyDescent="0.25">
      <c r="B338" s="4">
        <v>333</v>
      </c>
      <c r="C338" s="36" t="str">
        <f>IF(Order!$C$349="","",Order!$C$349)</f>
        <v/>
      </c>
      <c r="D338" s="36" t="str">
        <f>IF($C338="","",_xlfn.XLOOKUP($C338,Order!$C:$C,Order!$D:$D,"",0,1))</f>
        <v/>
      </c>
      <c r="E338" s="4" t="str">
        <f>IF($C338="","",_xlfn.XLOOKUP($C338,Order!$C:$C,Order!$E:$E,"",0,1))</f>
        <v/>
      </c>
      <c r="F338" s="4" t="str">
        <f>IF($C338="","",_xlfn.XLOOKUP($C338,Order!$C:$C,Order!$F:$F,"",0,1))</f>
        <v/>
      </c>
      <c r="G338" s="4" t="str">
        <f>IF($C338="","",_xlfn.XLOOKUP($C338,Order!$C:$C,Order!$G:$G,"",0,1))</f>
        <v/>
      </c>
      <c r="H338" s="4" t="str">
        <f>IF($C338="","",_xlfn.XLOOKUP($C338,Order!$C:$C,Order!$H:$H,"",0,1))</f>
        <v/>
      </c>
      <c r="I338" s="36" t="str">
        <f>IF($C338="","",_xlfn.XLOOKUP($C338,Order!$C:$C,Order!$I:$I,"",0,1))</f>
        <v/>
      </c>
      <c r="J338" s="4" t="str">
        <f>IF(C338="","",Order!$I$16)</f>
        <v/>
      </c>
      <c r="K338" s="36" t="str">
        <f>IF($C338="","",_xlfn.XLOOKUP($C338,Order!$C:$C,Order!$P:$P,"",0,1))</f>
        <v/>
      </c>
      <c r="L338" s="4" t="str">
        <f t="shared" si="5"/>
        <v/>
      </c>
    </row>
    <row r="339" spans="2:12" ht="23.25" hidden="1" customHeight="1" x14ac:dyDescent="0.25">
      <c r="B339" s="4">
        <v>334</v>
      </c>
      <c r="C339" s="36" t="str">
        <f>IF(Order!$C$350="","",Order!$C$350)</f>
        <v/>
      </c>
      <c r="D339" s="36" t="str">
        <f>IF($C339="","",_xlfn.XLOOKUP($C339,Order!$C:$C,Order!$D:$D,"",0,1))</f>
        <v/>
      </c>
      <c r="E339" s="4" t="str">
        <f>IF($C339="","",_xlfn.XLOOKUP($C339,Order!$C:$C,Order!$E:$E,"",0,1))</f>
        <v/>
      </c>
      <c r="F339" s="4" t="str">
        <f>IF($C339="","",_xlfn.XLOOKUP($C339,Order!$C:$C,Order!$F:$F,"",0,1))</f>
        <v/>
      </c>
      <c r="G339" s="4" t="str">
        <f>IF($C339="","",_xlfn.XLOOKUP($C339,Order!$C:$C,Order!$G:$G,"",0,1))</f>
        <v/>
      </c>
      <c r="H339" s="4" t="str">
        <f>IF($C339="","",_xlfn.XLOOKUP($C339,Order!$C:$C,Order!$H:$H,"",0,1))</f>
        <v/>
      </c>
      <c r="I339" s="36" t="str">
        <f>IF($C339="","",_xlfn.XLOOKUP($C339,Order!$C:$C,Order!$I:$I,"",0,1))</f>
        <v/>
      </c>
      <c r="J339" s="4" t="str">
        <f>IF(C339="","",Order!$I$16)</f>
        <v/>
      </c>
      <c r="K339" s="36" t="str">
        <f>IF($C339="","",_xlfn.XLOOKUP($C339,Order!$C:$C,Order!$P:$P,"",0,1))</f>
        <v/>
      </c>
      <c r="L339" s="4" t="str">
        <f t="shared" si="5"/>
        <v/>
      </c>
    </row>
    <row r="340" spans="2:12" ht="23.25" hidden="1" customHeight="1" x14ac:dyDescent="0.25">
      <c r="B340" s="4">
        <v>335</v>
      </c>
      <c r="C340" s="36" t="str">
        <f>IF(Order!$C$351="","",Order!$C$351)</f>
        <v/>
      </c>
      <c r="D340" s="36" t="str">
        <f>IF($C340="","",_xlfn.XLOOKUP($C340,Order!$C:$C,Order!$D:$D,"",0,1))</f>
        <v/>
      </c>
      <c r="E340" s="4" t="str">
        <f>IF($C340="","",_xlfn.XLOOKUP($C340,Order!$C:$C,Order!$E:$E,"",0,1))</f>
        <v/>
      </c>
      <c r="F340" s="4" t="str">
        <f>IF($C340="","",_xlfn.XLOOKUP($C340,Order!$C:$C,Order!$F:$F,"",0,1))</f>
        <v/>
      </c>
      <c r="G340" s="4" t="str">
        <f>IF($C340="","",_xlfn.XLOOKUP($C340,Order!$C:$C,Order!$G:$G,"",0,1))</f>
        <v/>
      </c>
      <c r="H340" s="4" t="str">
        <f>IF($C340="","",_xlfn.XLOOKUP($C340,Order!$C:$C,Order!$H:$H,"",0,1))</f>
        <v/>
      </c>
      <c r="I340" s="36" t="str">
        <f>IF($C340="","",_xlfn.XLOOKUP($C340,Order!$C:$C,Order!$I:$I,"",0,1))</f>
        <v/>
      </c>
      <c r="J340" s="4" t="str">
        <f>IF(C340="","",Order!$I$16)</f>
        <v/>
      </c>
      <c r="K340" s="36" t="str">
        <f>IF($C340="","",_xlfn.XLOOKUP($C340,Order!$C:$C,Order!$P:$P,"",0,1))</f>
        <v/>
      </c>
      <c r="L340" s="4" t="str">
        <f t="shared" si="5"/>
        <v/>
      </c>
    </row>
    <row r="341" spans="2:12" ht="23.25" hidden="1" customHeight="1" x14ac:dyDescent="0.25">
      <c r="B341" s="4">
        <v>336</v>
      </c>
      <c r="C341" s="36" t="str">
        <f>IF(Order!$C$352="","",Order!$C$352)</f>
        <v/>
      </c>
      <c r="D341" s="36" t="str">
        <f>IF($C341="","",_xlfn.XLOOKUP($C341,Order!$C:$C,Order!$D:$D,"",0,1))</f>
        <v/>
      </c>
      <c r="E341" s="4" t="str">
        <f>IF($C341="","",_xlfn.XLOOKUP($C341,Order!$C:$C,Order!$E:$E,"",0,1))</f>
        <v/>
      </c>
      <c r="F341" s="4" t="str">
        <f>IF($C341="","",_xlfn.XLOOKUP($C341,Order!$C:$C,Order!$F:$F,"",0,1))</f>
        <v/>
      </c>
      <c r="G341" s="4" t="str">
        <f>IF($C341="","",_xlfn.XLOOKUP($C341,Order!$C:$C,Order!$G:$G,"",0,1))</f>
        <v/>
      </c>
      <c r="H341" s="4" t="str">
        <f>IF($C341="","",_xlfn.XLOOKUP($C341,Order!$C:$C,Order!$H:$H,"",0,1))</f>
        <v/>
      </c>
      <c r="I341" s="36" t="str">
        <f>IF($C341="","",_xlfn.XLOOKUP($C341,Order!$C:$C,Order!$I:$I,"",0,1))</f>
        <v/>
      </c>
      <c r="J341" s="4" t="str">
        <f>IF(C341="","",Order!$I$16)</f>
        <v/>
      </c>
      <c r="K341" s="36" t="str">
        <f>IF($C341="","",_xlfn.XLOOKUP($C341,Order!$C:$C,Order!$P:$P,"",0,1))</f>
        <v/>
      </c>
      <c r="L341" s="4" t="str">
        <f t="shared" si="5"/>
        <v/>
      </c>
    </row>
    <row r="342" spans="2:12" ht="23.25" hidden="1" customHeight="1" x14ac:dyDescent="0.25">
      <c r="B342" s="4">
        <v>337</v>
      </c>
      <c r="C342" s="36" t="str">
        <f>IF(Order!$C$353="","",Order!$C$353)</f>
        <v/>
      </c>
      <c r="D342" s="36" t="str">
        <f>IF($C342="","",_xlfn.XLOOKUP($C342,Order!$C:$C,Order!$D:$D,"",0,1))</f>
        <v/>
      </c>
      <c r="E342" s="4" t="str">
        <f>IF($C342="","",_xlfn.XLOOKUP($C342,Order!$C:$C,Order!$E:$E,"",0,1))</f>
        <v/>
      </c>
      <c r="F342" s="4" t="str">
        <f>IF($C342="","",_xlfn.XLOOKUP($C342,Order!$C:$C,Order!$F:$F,"",0,1))</f>
        <v/>
      </c>
      <c r="G342" s="4" t="str">
        <f>IF($C342="","",_xlfn.XLOOKUP($C342,Order!$C:$C,Order!$G:$G,"",0,1))</f>
        <v/>
      </c>
      <c r="H342" s="4" t="str">
        <f>IF($C342="","",_xlfn.XLOOKUP($C342,Order!$C:$C,Order!$H:$H,"",0,1))</f>
        <v/>
      </c>
      <c r="I342" s="36" t="str">
        <f>IF($C342="","",_xlfn.XLOOKUP($C342,Order!$C:$C,Order!$I:$I,"",0,1))</f>
        <v/>
      </c>
      <c r="J342" s="4" t="str">
        <f>IF(C342="","",Order!$I$16)</f>
        <v/>
      </c>
      <c r="K342" s="36" t="str">
        <f>IF($C342="","",_xlfn.XLOOKUP($C342,Order!$C:$C,Order!$P:$P,"",0,1))</f>
        <v/>
      </c>
      <c r="L342" s="4" t="str">
        <f t="shared" si="5"/>
        <v/>
      </c>
    </row>
    <row r="343" spans="2:12" ht="23.25" hidden="1" customHeight="1" x14ac:dyDescent="0.25">
      <c r="B343" s="4">
        <v>338</v>
      </c>
      <c r="C343" s="36" t="str">
        <f>IF(Order!$C$354="","",Order!$C$354)</f>
        <v/>
      </c>
      <c r="D343" s="36" t="str">
        <f>IF($C343="","",_xlfn.XLOOKUP($C343,Order!$C:$C,Order!$D:$D,"",0,1))</f>
        <v/>
      </c>
      <c r="E343" s="4" t="str">
        <f>IF($C343="","",_xlfn.XLOOKUP($C343,Order!$C:$C,Order!$E:$E,"",0,1))</f>
        <v/>
      </c>
      <c r="F343" s="4" t="str">
        <f>IF($C343="","",_xlfn.XLOOKUP($C343,Order!$C:$C,Order!$F:$F,"",0,1))</f>
        <v/>
      </c>
      <c r="G343" s="4" t="str">
        <f>IF($C343="","",_xlfn.XLOOKUP($C343,Order!$C:$C,Order!$G:$G,"",0,1))</f>
        <v/>
      </c>
      <c r="H343" s="4" t="str">
        <f>IF($C343="","",_xlfn.XLOOKUP($C343,Order!$C:$C,Order!$H:$H,"",0,1))</f>
        <v/>
      </c>
      <c r="I343" s="36" t="str">
        <f>IF($C343="","",_xlfn.XLOOKUP($C343,Order!$C:$C,Order!$I:$I,"",0,1))</f>
        <v/>
      </c>
      <c r="J343" s="4" t="str">
        <f>IF(C343="","",Order!$I$16)</f>
        <v/>
      </c>
      <c r="K343" s="36" t="str">
        <f>IF($C343="","",_xlfn.XLOOKUP($C343,Order!$C:$C,Order!$P:$P,"",0,1))</f>
        <v/>
      </c>
      <c r="L343" s="4" t="str">
        <f t="shared" si="5"/>
        <v/>
      </c>
    </row>
    <row r="344" spans="2:12" ht="23.25" hidden="1" customHeight="1" x14ac:dyDescent="0.25">
      <c r="B344" s="4">
        <v>339</v>
      </c>
      <c r="C344" s="36" t="str">
        <f>IF(Order!$C$355="","",Order!$C$355)</f>
        <v/>
      </c>
      <c r="D344" s="36" t="str">
        <f>IF($C344="","",_xlfn.XLOOKUP($C344,Order!$C:$C,Order!$D:$D,"",0,1))</f>
        <v/>
      </c>
      <c r="E344" s="4" t="str">
        <f>IF($C344="","",_xlfn.XLOOKUP($C344,Order!$C:$C,Order!$E:$E,"",0,1))</f>
        <v/>
      </c>
      <c r="F344" s="4" t="str">
        <f>IF($C344="","",_xlfn.XLOOKUP($C344,Order!$C:$C,Order!$F:$F,"",0,1))</f>
        <v/>
      </c>
      <c r="G344" s="4" t="str">
        <f>IF($C344="","",_xlfn.XLOOKUP($C344,Order!$C:$C,Order!$G:$G,"",0,1))</f>
        <v/>
      </c>
      <c r="H344" s="4" t="str">
        <f>IF($C344="","",_xlfn.XLOOKUP($C344,Order!$C:$C,Order!$H:$H,"",0,1))</f>
        <v/>
      </c>
      <c r="I344" s="36" t="str">
        <f>IF($C344="","",_xlfn.XLOOKUP($C344,Order!$C:$C,Order!$I:$I,"",0,1))</f>
        <v/>
      </c>
      <c r="J344" s="4" t="str">
        <f>IF(C344="","",Order!$I$16)</f>
        <v/>
      </c>
      <c r="K344" s="36" t="str">
        <f>IF($C344="","",_xlfn.XLOOKUP($C344,Order!$C:$C,Order!$P:$P,"",0,1))</f>
        <v/>
      </c>
      <c r="L344" s="4" t="str">
        <f t="shared" si="5"/>
        <v/>
      </c>
    </row>
    <row r="345" spans="2:12" ht="23.25" hidden="1" customHeight="1" x14ac:dyDescent="0.25">
      <c r="B345" s="4">
        <v>340</v>
      </c>
      <c r="C345" s="36" t="str">
        <f>IF(Order!$C$356="","",Order!$C$356)</f>
        <v/>
      </c>
      <c r="D345" s="36" t="str">
        <f>IF($C345="","",_xlfn.XLOOKUP($C345,Order!$C:$C,Order!$D:$D,"",0,1))</f>
        <v/>
      </c>
      <c r="E345" s="4" t="str">
        <f>IF($C345="","",_xlfn.XLOOKUP($C345,Order!$C:$C,Order!$E:$E,"",0,1))</f>
        <v/>
      </c>
      <c r="F345" s="4" t="str">
        <f>IF($C345="","",_xlfn.XLOOKUP($C345,Order!$C:$C,Order!$F:$F,"",0,1))</f>
        <v/>
      </c>
      <c r="G345" s="4" t="str">
        <f>IF($C345="","",_xlfn.XLOOKUP($C345,Order!$C:$C,Order!$G:$G,"",0,1))</f>
        <v/>
      </c>
      <c r="H345" s="4" t="str">
        <f>IF($C345="","",_xlfn.XLOOKUP($C345,Order!$C:$C,Order!$H:$H,"",0,1))</f>
        <v/>
      </c>
      <c r="I345" s="36" t="str">
        <f>IF($C345="","",_xlfn.XLOOKUP($C345,Order!$C:$C,Order!$I:$I,"",0,1))</f>
        <v/>
      </c>
      <c r="J345" s="4" t="str">
        <f>IF(C345="","",Order!$I$16)</f>
        <v/>
      </c>
      <c r="K345" s="36" t="str">
        <f>IF($C345="","",_xlfn.XLOOKUP($C345,Order!$C:$C,Order!$P:$P,"",0,1))</f>
        <v/>
      </c>
      <c r="L345" s="4" t="str">
        <f t="shared" si="5"/>
        <v/>
      </c>
    </row>
    <row r="346" spans="2:12" ht="23.25" hidden="1" customHeight="1" x14ac:dyDescent="0.25">
      <c r="B346" s="4">
        <v>341</v>
      </c>
      <c r="C346" s="36" t="str">
        <f>IF(Order!$C$357="","",Order!$C$357)</f>
        <v/>
      </c>
      <c r="D346" s="36" t="str">
        <f>IF($C346="","",_xlfn.XLOOKUP($C346,Order!$C:$C,Order!$D:$D,"",0,1))</f>
        <v/>
      </c>
      <c r="E346" s="4" t="str">
        <f>IF($C346="","",_xlfn.XLOOKUP($C346,Order!$C:$C,Order!$E:$E,"",0,1))</f>
        <v/>
      </c>
      <c r="F346" s="4" t="str">
        <f>IF($C346="","",_xlfn.XLOOKUP($C346,Order!$C:$C,Order!$F:$F,"",0,1))</f>
        <v/>
      </c>
      <c r="G346" s="4" t="str">
        <f>IF($C346="","",_xlfn.XLOOKUP($C346,Order!$C:$C,Order!$G:$G,"",0,1))</f>
        <v/>
      </c>
      <c r="H346" s="4" t="str">
        <f>IF($C346="","",_xlfn.XLOOKUP($C346,Order!$C:$C,Order!$H:$H,"",0,1))</f>
        <v/>
      </c>
      <c r="I346" s="36" t="str">
        <f>IF($C346="","",_xlfn.XLOOKUP($C346,Order!$C:$C,Order!$I:$I,"",0,1))</f>
        <v/>
      </c>
      <c r="J346" s="4" t="str">
        <f>IF(C346="","",Order!$I$16)</f>
        <v/>
      </c>
      <c r="K346" s="36" t="str">
        <f>IF($C346="","",_xlfn.XLOOKUP($C346,Order!$C:$C,Order!$P:$P,"",0,1))</f>
        <v/>
      </c>
      <c r="L346" s="4" t="str">
        <f t="shared" si="5"/>
        <v/>
      </c>
    </row>
    <row r="347" spans="2:12" ht="23.25" hidden="1" customHeight="1" x14ac:dyDescent="0.25">
      <c r="B347" s="4">
        <v>342</v>
      </c>
      <c r="C347" s="36" t="str">
        <f>IF(Order!$C$358="","",Order!$C$358)</f>
        <v/>
      </c>
      <c r="D347" s="36" t="str">
        <f>IF($C347="","",_xlfn.XLOOKUP($C347,Order!$C:$C,Order!$D:$D,"",0,1))</f>
        <v/>
      </c>
      <c r="E347" s="4" t="str">
        <f>IF($C347="","",_xlfn.XLOOKUP($C347,Order!$C:$C,Order!$E:$E,"",0,1))</f>
        <v/>
      </c>
      <c r="F347" s="4" t="str">
        <f>IF($C347="","",_xlfn.XLOOKUP($C347,Order!$C:$C,Order!$F:$F,"",0,1))</f>
        <v/>
      </c>
      <c r="G347" s="4" t="str">
        <f>IF($C347="","",_xlfn.XLOOKUP($C347,Order!$C:$C,Order!$G:$G,"",0,1))</f>
        <v/>
      </c>
      <c r="H347" s="4" t="str">
        <f>IF($C347="","",_xlfn.XLOOKUP($C347,Order!$C:$C,Order!$H:$H,"",0,1))</f>
        <v/>
      </c>
      <c r="I347" s="36" t="str">
        <f>IF($C347="","",_xlfn.XLOOKUP($C347,Order!$C:$C,Order!$I:$I,"",0,1))</f>
        <v/>
      </c>
      <c r="J347" s="4" t="str">
        <f>IF(C347="","",Order!$I$16)</f>
        <v/>
      </c>
      <c r="K347" s="36" t="str">
        <f>IF($C347="","",_xlfn.XLOOKUP($C347,Order!$C:$C,Order!$P:$P,"",0,1))</f>
        <v/>
      </c>
      <c r="L347" s="4" t="str">
        <f t="shared" si="5"/>
        <v/>
      </c>
    </row>
    <row r="348" spans="2:12" ht="23.25" hidden="1" customHeight="1" x14ac:dyDescent="0.25">
      <c r="B348" s="4">
        <v>343</v>
      </c>
      <c r="C348" s="36" t="str">
        <f>IF(Order!$C$359="","",Order!$C$359)</f>
        <v/>
      </c>
      <c r="D348" s="36" t="str">
        <f>IF($C348="","",_xlfn.XLOOKUP($C348,Order!$C:$C,Order!$D:$D,"",0,1))</f>
        <v/>
      </c>
      <c r="E348" s="4" t="str">
        <f>IF($C348="","",_xlfn.XLOOKUP($C348,Order!$C:$C,Order!$E:$E,"",0,1))</f>
        <v/>
      </c>
      <c r="F348" s="4" t="str">
        <f>IF($C348="","",_xlfn.XLOOKUP($C348,Order!$C:$C,Order!$F:$F,"",0,1))</f>
        <v/>
      </c>
      <c r="G348" s="4" t="str">
        <f>IF($C348="","",_xlfn.XLOOKUP($C348,Order!$C:$C,Order!$G:$G,"",0,1))</f>
        <v/>
      </c>
      <c r="H348" s="4" t="str">
        <f>IF($C348="","",_xlfn.XLOOKUP($C348,Order!$C:$C,Order!$H:$H,"",0,1))</f>
        <v/>
      </c>
      <c r="I348" s="36" t="str">
        <f>IF($C348="","",_xlfn.XLOOKUP($C348,Order!$C:$C,Order!$I:$I,"",0,1))</f>
        <v/>
      </c>
      <c r="J348" s="4" t="str">
        <f>IF(C348="","",Order!$I$16)</f>
        <v/>
      </c>
      <c r="K348" s="36" t="str">
        <f>IF($C348="","",_xlfn.XLOOKUP($C348,Order!$C:$C,Order!$P:$P,"",0,1))</f>
        <v/>
      </c>
      <c r="L348" s="4" t="str">
        <f t="shared" si="5"/>
        <v/>
      </c>
    </row>
    <row r="349" spans="2:12" ht="23.25" hidden="1" customHeight="1" x14ac:dyDescent="0.25">
      <c r="B349" s="4">
        <v>344</v>
      </c>
      <c r="C349" s="36" t="str">
        <f>IF(Order!$C$360="","",Order!$C$360)</f>
        <v/>
      </c>
      <c r="D349" s="36" t="str">
        <f>IF($C349="","",_xlfn.XLOOKUP($C349,Order!$C:$C,Order!$D:$D,"",0,1))</f>
        <v/>
      </c>
      <c r="E349" s="4" t="str">
        <f>IF($C349="","",_xlfn.XLOOKUP($C349,Order!$C:$C,Order!$E:$E,"",0,1))</f>
        <v/>
      </c>
      <c r="F349" s="4" t="str">
        <f>IF($C349="","",_xlfn.XLOOKUP($C349,Order!$C:$C,Order!$F:$F,"",0,1))</f>
        <v/>
      </c>
      <c r="G349" s="4" t="str">
        <f>IF($C349="","",_xlfn.XLOOKUP($C349,Order!$C:$C,Order!$G:$G,"",0,1))</f>
        <v/>
      </c>
      <c r="H349" s="4" t="str">
        <f>IF($C349="","",_xlfn.XLOOKUP($C349,Order!$C:$C,Order!$H:$H,"",0,1))</f>
        <v/>
      </c>
      <c r="I349" s="36" t="str">
        <f>IF($C349="","",_xlfn.XLOOKUP($C349,Order!$C:$C,Order!$I:$I,"",0,1))</f>
        <v/>
      </c>
      <c r="J349" s="4" t="str">
        <f>IF(C349="","",Order!$I$16)</f>
        <v/>
      </c>
      <c r="K349" s="36" t="str">
        <f>IF($C349="","",_xlfn.XLOOKUP($C349,Order!$C:$C,Order!$P:$P,"",0,1))</f>
        <v/>
      </c>
      <c r="L349" s="4" t="str">
        <f t="shared" si="5"/>
        <v/>
      </c>
    </row>
    <row r="350" spans="2:12" ht="23.25" hidden="1" customHeight="1" x14ac:dyDescent="0.25">
      <c r="B350" s="4">
        <v>345</v>
      </c>
      <c r="C350" s="36" t="str">
        <f>IF(Order!$C$361="","",Order!$C$361)</f>
        <v/>
      </c>
      <c r="D350" s="36" t="str">
        <f>IF($C350="","",_xlfn.XLOOKUP($C350,Order!$C:$C,Order!$D:$D,"",0,1))</f>
        <v/>
      </c>
      <c r="E350" s="4" t="str">
        <f>IF($C350="","",_xlfn.XLOOKUP($C350,Order!$C:$C,Order!$E:$E,"",0,1))</f>
        <v/>
      </c>
      <c r="F350" s="4" t="str">
        <f>IF($C350="","",_xlfn.XLOOKUP($C350,Order!$C:$C,Order!$F:$F,"",0,1))</f>
        <v/>
      </c>
      <c r="G350" s="4" t="str">
        <f>IF($C350="","",_xlfn.XLOOKUP($C350,Order!$C:$C,Order!$G:$G,"",0,1))</f>
        <v/>
      </c>
      <c r="H350" s="4" t="str">
        <f>IF($C350="","",_xlfn.XLOOKUP($C350,Order!$C:$C,Order!$H:$H,"",0,1))</f>
        <v/>
      </c>
      <c r="I350" s="36" t="str">
        <f>IF($C350="","",_xlfn.XLOOKUP($C350,Order!$C:$C,Order!$I:$I,"",0,1))</f>
        <v/>
      </c>
      <c r="J350" s="4" t="str">
        <f>IF(C350="","",Order!$I$16)</f>
        <v/>
      </c>
      <c r="K350" s="36" t="str">
        <f>IF($C350="","",_xlfn.XLOOKUP($C350,Order!$C:$C,Order!$P:$P,"",0,1))</f>
        <v/>
      </c>
      <c r="L350" s="4" t="str">
        <f t="shared" si="5"/>
        <v/>
      </c>
    </row>
    <row r="351" spans="2:12" s="1" customFormat="1" ht="23.25" hidden="1" customHeight="1" x14ac:dyDescent="0.25">
      <c r="B351" s="4">
        <v>346</v>
      </c>
      <c r="C351" s="36" t="str">
        <f>IF(Order!$C$17="","",Order!$C$17)</f>
        <v>BC 1/2X1/8 (Flat bar 1/2 X 1/8" )</v>
      </c>
      <c r="D351" s="36" t="str">
        <f>IF($C351="","",_xlfn.XLOOKUP($C351,Order!$C:$C,Order!$D:$D,"",0,1))</f>
        <v>BC1/2X1/8</v>
      </c>
      <c r="E351" s="4" t="e" vm="249">
        <f>IF($C351="","",_xlfn.XLOOKUP($C351,Order!$C:$C,Order!$E:$E,"",0,1))</f>
        <v>#VALUE!</v>
      </c>
      <c r="F351" s="4">
        <f>IF($C351="","",_xlfn.XLOOKUP($C351,Order!$C:$C,Order!$F:$F,"",0,1))</f>
        <v>6000</v>
      </c>
      <c r="G351" s="4" t="str">
        <f>IF($C351="","",_xlfn.XLOOKUP($C351,Order!$C:$C,Order!$G:$G,"",0,1))</f>
        <v>6063T5</v>
      </c>
      <c r="H351" s="4">
        <f>IF($C351="","",_xlfn.XLOOKUP($C351,Order!$C:$C,Order!$H:$H,"",0,1))</f>
        <v>0.11</v>
      </c>
      <c r="I351" s="36">
        <f>IF($C351="","",_xlfn.XLOOKUP($C351,Order!$C:$C,Order!$J:$J,"",0,1))</f>
        <v>0</v>
      </c>
      <c r="J351" s="4" t="str">
        <f>IF(C351="","",Order!$J$16)</f>
        <v>SILVER ANODIZED (FAYP01)</v>
      </c>
      <c r="K351" s="36">
        <f>IF($C351="","",_xlfn.XLOOKUP($C351,Order!$C:$C,Order!$P:$P,"",0,1))</f>
        <v>0</v>
      </c>
      <c r="L351" s="4">
        <f t="shared" si="5"/>
        <v>0</v>
      </c>
    </row>
    <row r="352" spans="2:12" s="1" customFormat="1" ht="23.25" hidden="1" customHeight="1" x14ac:dyDescent="0.25">
      <c r="B352" s="4">
        <v>347</v>
      </c>
      <c r="C352" s="36" t="str">
        <f>IF(Order!$C$18="","",Order!$C$18)</f>
        <v>BC 1X1/8 (Flat bar 1 X 1/8")</v>
      </c>
      <c r="D352" s="36" t="str">
        <f>IF($C352="","",_xlfn.XLOOKUP($C352,Order!$C:$C,Order!$D:$D,"",0,1))</f>
        <v>BC1X1/8</v>
      </c>
      <c r="E352" s="4" t="e" vm="250">
        <f>IF($C352="","",_xlfn.XLOOKUP($C352,Order!$C:$C,Order!$E:$E,"",0,1))</f>
        <v>#VALUE!</v>
      </c>
      <c r="F352" s="4">
        <f>IF($C352="","",_xlfn.XLOOKUP($C352,Order!$C:$C,Order!$F:$F,"",0,1))</f>
        <v>6000</v>
      </c>
      <c r="G352" s="4" t="str">
        <f>IF($C352="","",_xlfn.XLOOKUP($C352,Order!$C:$C,Order!$G:$G,"",0,1))</f>
        <v>6063T5</v>
      </c>
      <c r="H352" s="4">
        <f>IF($C352="","",_xlfn.XLOOKUP($C352,Order!$C:$C,Order!$H:$H,"",0,1))</f>
        <v>0.221</v>
      </c>
      <c r="I352" s="36">
        <f>IF($C352="","",_xlfn.XLOOKUP($C352,Order!$C:$C,Order!$J:$J,"",0,1))</f>
        <v>0</v>
      </c>
      <c r="J352" s="4" t="str">
        <f>IF(C352="","",Order!$J$16)</f>
        <v>SILVER ANODIZED (FAYP01)</v>
      </c>
      <c r="K352" s="36">
        <f>IF($C352="","",_xlfn.XLOOKUP($C352,Order!$C:$C,Order!$P:$P,"",0,1))</f>
        <v>0</v>
      </c>
      <c r="L352" s="4">
        <f t="shared" si="5"/>
        <v>0</v>
      </c>
    </row>
    <row r="353" spans="2:12" ht="23.25" hidden="1" customHeight="1" x14ac:dyDescent="0.25">
      <c r="B353" s="4">
        <v>348</v>
      </c>
      <c r="C353" s="36" t="str">
        <f>IF(Order!$C$19="","",Order!$C$19)</f>
        <v>TR3/8 (Round tube 3/8" with 0.80 mm tickness)</v>
      </c>
      <c r="D353" s="36" t="str">
        <f>IF($C353="","",_xlfn.XLOOKUP($C353,Order!$C:$C,Order!$D:$D,"",0,1))</f>
        <v>TR3/8</v>
      </c>
      <c r="E353" s="4" t="e" vm="251">
        <f>IF($C353="","",_xlfn.XLOOKUP($C353,Order!$C:$C,Order!$E:$E,"",0,1))</f>
        <v>#VALUE!</v>
      </c>
      <c r="F353" s="4">
        <f>IF($C353="","",_xlfn.XLOOKUP($C353,Order!$C:$C,Order!$F:$F,"",0,1))</f>
        <v>6000</v>
      </c>
      <c r="G353" s="4" t="str">
        <f>IF($C353="","",_xlfn.XLOOKUP($C353,Order!$C:$C,Order!$G:$G,"",0,1))</f>
        <v>6063T5</v>
      </c>
      <c r="H353" s="4">
        <f>IF($C353="","",_xlfn.XLOOKUP($C353,Order!$C:$C,Order!$H:$H,"",0,1))</f>
        <v>0.06</v>
      </c>
      <c r="I353" s="36">
        <f>IF($C353="","",_xlfn.XLOOKUP($C353,Order!$C:$C,Order!$J:$J,"",0,1))</f>
        <v>0</v>
      </c>
      <c r="J353" s="4" t="str">
        <f>IF(C353="","",Order!$J$16)</f>
        <v>SILVER ANODIZED (FAYP01)</v>
      </c>
      <c r="K353" s="36">
        <f>IF($C353="","",_xlfn.XLOOKUP($C353,Order!$C:$C,Order!$P:$P,"",0,1))</f>
        <v>0</v>
      </c>
      <c r="L353" s="4">
        <f t="shared" si="5"/>
        <v>0</v>
      </c>
    </row>
    <row r="354" spans="2:12" ht="23.25" customHeight="1" x14ac:dyDescent="0.25">
      <c r="B354" s="4">
        <v>349</v>
      </c>
      <c r="C354" s="36" t="str">
        <f>IF(Order!$C$20="","",Order!$C$20)</f>
        <v>TR1/2 (Round tube 1/2 with 0.90 mm tickness)</v>
      </c>
      <c r="D354" s="36" t="str">
        <f>IF($C354="","",_xlfn.XLOOKUP($C354,Order!$C:$C,Order!$D:$D,"",0,1))</f>
        <v>TR12</v>
      </c>
      <c r="E354" s="4" t="e" vm="251">
        <f>IF($C354="","",_xlfn.XLOOKUP($C354,Order!$C:$C,Order!$E:$E,"",0,1))</f>
        <v>#VALUE!</v>
      </c>
      <c r="F354" s="4">
        <f>IF($C354="","",_xlfn.XLOOKUP($C354,Order!$C:$C,Order!$F:$F,"",0,1))</f>
        <v>6000</v>
      </c>
      <c r="G354" s="4" t="str">
        <f>IF($C354="","",_xlfn.XLOOKUP($C354,Order!$C:$C,Order!$G:$G,"",0,1))</f>
        <v>6063T5</v>
      </c>
      <c r="H354" s="4">
        <f>IF($C354="","",_xlfn.XLOOKUP($C354,Order!$C:$C,Order!$H:$H,"",0,1))</f>
        <v>9.0999999999999998E-2</v>
      </c>
      <c r="I354" s="36">
        <f>IF($C354="","",_xlfn.XLOOKUP($C354,Order!$C:$C,Order!$J:$J,"",0,1))</f>
        <v>50</v>
      </c>
      <c r="J354" s="4" t="str">
        <f>IF(C354="","",Order!$J$16)</f>
        <v>SILVER ANODIZED (FAYP01)</v>
      </c>
      <c r="K354" s="36">
        <f>IF($C354="","",_xlfn.XLOOKUP($C354,Order!$C:$C,Order!$P:$P,"",0,1))</f>
        <v>0</v>
      </c>
      <c r="L354" s="4">
        <f t="shared" si="5"/>
        <v>27.3</v>
      </c>
    </row>
    <row r="355" spans="2:12" ht="23.25" customHeight="1" x14ac:dyDescent="0.25">
      <c r="B355" s="4">
        <v>350</v>
      </c>
      <c r="C355" s="36" t="str">
        <f>IF(Order!$C$21="","",Order!$C$21)</f>
        <v>TR 5/8 (Round tube 5/8" with 0.80 mm thickness)</v>
      </c>
      <c r="D355" s="36" t="str">
        <f>IF($C355="","",_xlfn.XLOOKUP($C355,Order!$C:$C,Order!$D:$D,"",0,1))</f>
        <v>TR58</v>
      </c>
      <c r="E355" s="4" t="e" vm="251">
        <f>IF($C355="","",_xlfn.XLOOKUP($C355,Order!$C:$C,Order!$E:$E,"",0,1))</f>
        <v>#VALUE!</v>
      </c>
      <c r="F355" s="4">
        <f>IF($C355="","",_xlfn.XLOOKUP($C355,Order!$C:$C,Order!$F:$F,"",0,1))</f>
        <v>6000</v>
      </c>
      <c r="G355" s="4" t="str">
        <f>IF($C355="","",_xlfn.XLOOKUP($C355,Order!$C:$C,Order!$G:$G,"",0,1))</f>
        <v>6063T5</v>
      </c>
      <c r="H355" s="4">
        <f>IF($C355="","",_xlfn.XLOOKUP($C355,Order!$C:$C,Order!$H:$H,"",0,1))</f>
        <v>0.10299999999999999</v>
      </c>
      <c r="I355" s="36">
        <f>IF($C355="","",_xlfn.XLOOKUP($C355,Order!$C:$C,Order!$J:$J,"",0,1))</f>
        <v>80</v>
      </c>
      <c r="J355" s="4" t="str">
        <f>IF(C355="","",Order!$J$16)</f>
        <v>SILVER ANODIZED (FAYP01)</v>
      </c>
      <c r="K355" s="36">
        <f>IF($C355="","",_xlfn.XLOOKUP($C355,Order!$C:$C,Order!$P:$P,"",0,1))</f>
        <v>0</v>
      </c>
      <c r="L355" s="4">
        <f t="shared" si="5"/>
        <v>49.44</v>
      </c>
    </row>
    <row r="356" spans="2:12" ht="23.25" hidden="1" customHeight="1" x14ac:dyDescent="0.25">
      <c r="B356" s="4">
        <v>351</v>
      </c>
      <c r="C356" s="36" t="str">
        <f>IF(Order!$C$22="","",Order!$C$22)</f>
        <v>TR3/4A (Round tube 3/4" with 0.80 mm thickness)</v>
      </c>
      <c r="D356" s="36" t="str">
        <f>IF($C356="","",_xlfn.XLOOKUP($C356,Order!$C:$C,Order!$D:$D,"",0,1))</f>
        <v>TR34A</v>
      </c>
      <c r="E356" s="4" t="e" vm="251">
        <f>IF($C356="","",_xlfn.XLOOKUP($C356,Order!$C:$C,Order!$E:$E,"",0,1))</f>
        <v>#VALUE!</v>
      </c>
      <c r="F356" s="4">
        <f>IF($C356="","",_xlfn.XLOOKUP($C356,Order!$C:$C,Order!$F:$F,"",0,1))</f>
        <v>6000</v>
      </c>
      <c r="G356" s="4" t="str">
        <f>IF($C356="","",_xlfn.XLOOKUP($C356,Order!$C:$C,Order!$G:$G,"",0,1))</f>
        <v>6063T5</v>
      </c>
      <c r="H356" s="4">
        <f>IF($C356="","",_xlfn.XLOOKUP($C356,Order!$C:$C,Order!$H:$H,"",0,1))</f>
        <v>0.125</v>
      </c>
      <c r="I356" s="36">
        <f>IF($C356="","",_xlfn.XLOOKUP($C356,Order!$C:$C,Order!$J:$J,"",0,1))</f>
        <v>0</v>
      </c>
      <c r="J356" s="4" t="str">
        <f>IF(C356="","",Order!$J$16)</f>
        <v>SILVER ANODIZED (FAYP01)</v>
      </c>
      <c r="K356" s="36">
        <f>IF($C356="","",_xlfn.XLOOKUP($C356,Order!$C:$C,Order!$P:$P,"",0,1))</f>
        <v>0</v>
      </c>
      <c r="L356" s="4">
        <f t="shared" si="5"/>
        <v>0</v>
      </c>
    </row>
    <row r="357" spans="2:12" ht="23.25" hidden="1" customHeight="1" x14ac:dyDescent="0.25">
      <c r="B357" s="4">
        <v>352</v>
      </c>
      <c r="C357" s="36" t="str">
        <f>IF(Order!$C$23="","",Order!$C$23)</f>
        <v>TR7/8 (Round tube 7/8" with 0.90 mm thickness)</v>
      </c>
      <c r="D357" s="36" t="str">
        <f>IF($C357="","",_xlfn.XLOOKUP($C357,Order!$C:$C,Order!$D:$D,"",0,1))</f>
        <v>TR7/8</v>
      </c>
      <c r="E357" s="4" t="e" vm="251">
        <f>IF($C357="","",_xlfn.XLOOKUP($C357,Order!$C:$C,Order!$E:$E,"",0,1))</f>
        <v>#VALUE!</v>
      </c>
      <c r="F357" s="4">
        <f>IF($C357="","",_xlfn.XLOOKUP($C357,Order!$C:$C,Order!$F:$F,"",0,1))</f>
        <v>6000</v>
      </c>
      <c r="G357" s="4" t="str">
        <f>IF($C357="","",_xlfn.XLOOKUP($C357,Order!$C:$C,Order!$G:$G,"",0,1))</f>
        <v>6063T5</v>
      </c>
      <c r="H357" s="4">
        <f>IF($C357="","",_xlfn.XLOOKUP($C357,Order!$C:$C,Order!$H:$H,"",0,1))</f>
        <v>0.16400000000000001</v>
      </c>
      <c r="I357" s="36">
        <f>IF($C357="","",_xlfn.XLOOKUP($C357,Order!$C:$C,Order!$J:$J,"",0,1))</f>
        <v>0</v>
      </c>
      <c r="J357" s="4" t="str">
        <f>IF(C357="","",Order!$J$16)</f>
        <v>SILVER ANODIZED (FAYP01)</v>
      </c>
      <c r="K357" s="36">
        <f>IF($C357="","",_xlfn.XLOOKUP($C357,Order!$C:$C,Order!$P:$P,"",0,1))</f>
        <v>0</v>
      </c>
      <c r="L357" s="4">
        <f t="shared" si="5"/>
        <v>0</v>
      </c>
    </row>
    <row r="358" spans="2:12" ht="23.25" hidden="1" customHeight="1" x14ac:dyDescent="0.25">
      <c r="B358" s="4">
        <v>353</v>
      </c>
      <c r="C358" s="36" t="str">
        <f>IF(Order!$C$24="","",Order!$C$24)</f>
        <v>TR24.8 (Round tube 24.8 mm with 0.90 mm thickness)</v>
      </c>
      <c r="D358" s="36" t="str">
        <f>IF($C358="","",_xlfn.XLOOKUP($C358,Order!$C:$C,Order!$D:$D,"",0,1))</f>
        <v>TR24.8</v>
      </c>
      <c r="E358" s="4" t="e" vm="251">
        <f>IF($C358="","",_xlfn.XLOOKUP($C358,Order!$C:$C,Order!$E:$E,"",0,1))</f>
        <v>#VALUE!</v>
      </c>
      <c r="F358" s="4">
        <f>IF($C358="","",_xlfn.XLOOKUP($C358,Order!$C:$C,Order!$F:$F,"",0,1))</f>
        <v>6000</v>
      </c>
      <c r="G358" s="4" t="str">
        <f>IF($C358="","",_xlfn.XLOOKUP($C358,Order!$C:$C,Order!$G:$G,"",0,1))</f>
        <v>6063T5</v>
      </c>
      <c r="H358" s="4">
        <f>IF($C358="","",_xlfn.XLOOKUP($C358,Order!$C:$C,Order!$H:$H,"",0,1))</f>
        <v>0</v>
      </c>
      <c r="I358" s="36">
        <f>IF($C358="","",_xlfn.XLOOKUP($C358,Order!$C:$C,Order!$J:$J,"",0,1))</f>
        <v>0</v>
      </c>
      <c r="J358" s="4" t="str">
        <f>IF(C358="","",Order!$J$16)</f>
        <v>SILVER ANODIZED (FAYP01)</v>
      </c>
      <c r="K358" s="36">
        <f>IF($C358="","",_xlfn.XLOOKUP($C358,Order!$C:$C,Order!$P:$P,"",0,1))</f>
        <v>0</v>
      </c>
      <c r="L358" s="4">
        <f t="shared" si="5"/>
        <v>0</v>
      </c>
    </row>
    <row r="359" spans="2:12" ht="23.25" hidden="1" customHeight="1" x14ac:dyDescent="0.25">
      <c r="B359" s="4">
        <v>354</v>
      </c>
      <c r="C359" s="36" t="str">
        <f>IF(Order!$C$25="","",Order!$C$25)</f>
        <v>TR1 (Round tube 1" with 0.80 mm thickness)</v>
      </c>
      <c r="D359" s="36" t="str">
        <f>IF($C359="","",_xlfn.XLOOKUP($C359,Order!$C:$C,Order!$D:$D,"",0,1))</f>
        <v>TR1</v>
      </c>
      <c r="E359" s="4" t="e" vm="251">
        <f>IF($C359="","",_xlfn.XLOOKUP($C359,Order!$C:$C,Order!$E:$E,"",0,1))</f>
        <v>#VALUE!</v>
      </c>
      <c r="F359" s="4">
        <f>IF($C359="","",_xlfn.XLOOKUP($C359,Order!$C:$C,Order!$F:$F,"",0,1))</f>
        <v>6000</v>
      </c>
      <c r="G359" s="4" t="str">
        <f>IF($C359="","",_xlfn.XLOOKUP($C359,Order!$C:$C,Order!$G:$G,"",0,1))</f>
        <v>6063T5</v>
      </c>
      <c r="H359" s="4">
        <f>IF($C359="","",_xlfn.XLOOKUP($C359,Order!$C:$C,Order!$H:$H,"",0,1))</f>
        <v>0.16900000000000001</v>
      </c>
      <c r="I359" s="36">
        <f>IF($C359="","",_xlfn.XLOOKUP($C359,Order!$C:$C,Order!$J:$J,"",0,1))</f>
        <v>0</v>
      </c>
      <c r="J359" s="4" t="str">
        <f>IF(C359="","",Order!$J$16)</f>
        <v>SILVER ANODIZED (FAYP01)</v>
      </c>
      <c r="K359" s="36">
        <f>IF($C359="","",_xlfn.XLOOKUP($C359,Order!$C:$C,Order!$P:$P,"",0,1))</f>
        <v>0</v>
      </c>
      <c r="L359" s="4">
        <f t="shared" si="5"/>
        <v>0</v>
      </c>
    </row>
    <row r="360" spans="2:12" ht="23.25" hidden="1" customHeight="1" x14ac:dyDescent="0.25">
      <c r="B360" s="4">
        <v>355</v>
      </c>
      <c r="C360" s="36" t="str">
        <f>IF(Order!$C$26="","",Order!$C$26)</f>
        <v>TR1x1.0 (Round tube 1" with 1.00 mm thickness)</v>
      </c>
      <c r="D360" s="36" t="str">
        <f>IF($C360="","",_xlfn.XLOOKUP($C360,Order!$C:$C,Order!$D:$D,"",0,1))</f>
        <v>TR1X1.0</v>
      </c>
      <c r="E360" s="4" t="e" vm="251">
        <f>IF($C360="","",_xlfn.XLOOKUP($C360,Order!$C:$C,Order!$E:$E,"",0,1))</f>
        <v>#VALUE!</v>
      </c>
      <c r="F360" s="4">
        <f>IF($C360="","",_xlfn.XLOOKUP($C360,Order!$C:$C,Order!$F:$F,"",0,1))</f>
        <v>6000</v>
      </c>
      <c r="G360" s="4" t="str">
        <f>IF($C360="","",_xlfn.XLOOKUP($C360,Order!$C:$C,Order!$G:$G,"",0,1))</f>
        <v>6063T5</v>
      </c>
      <c r="H360" s="4">
        <f>IF($C360="","",_xlfn.XLOOKUP($C360,Order!$C:$C,Order!$H:$H,"",0,1))</f>
        <v>0</v>
      </c>
      <c r="I360" s="36">
        <f>IF($C360="","",_xlfn.XLOOKUP($C360,Order!$C:$C,Order!$J:$J,"",0,1))</f>
        <v>0</v>
      </c>
      <c r="J360" s="4" t="str">
        <f>IF(C360="","",Order!$J$16)</f>
        <v>SILVER ANODIZED (FAYP01)</v>
      </c>
      <c r="K360" s="36">
        <f>IF($C360="","",_xlfn.XLOOKUP($C360,Order!$C:$C,Order!$P:$P,"",0,1))</f>
        <v>0</v>
      </c>
      <c r="L360" s="4">
        <f t="shared" si="5"/>
        <v>0</v>
      </c>
    </row>
    <row r="361" spans="2:12" ht="23.25" hidden="1" customHeight="1" x14ac:dyDescent="0.25">
      <c r="B361" s="4">
        <v>356</v>
      </c>
      <c r="C361" s="36" t="str">
        <f>IF(Order!$C$27="","",Order!$C$27)</f>
        <v>TR1.1/4 (Round tube  1.1/4" with 1.00 mm thickness)</v>
      </c>
      <c r="D361" s="36" t="str">
        <f>IF($C361="","",_xlfn.XLOOKUP($C361,Order!$C:$C,Order!$D:$D,"",0,1))</f>
        <v>TR1.1-4</v>
      </c>
      <c r="E361" s="4" t="e" vm="251">
        <f>IF($C361="","",_xlfn.XLOOKUP($C361,Order!$C:$C,Order!$E:$E,"",0,1))</f>
        <v>#VALUE!</v>
      </c>
      <c r="F361" s="4">
        <f>IF($C361="","",_xlfn.XLOOKUP($C361,Order!$C:$C,Order!$F:$F,"",0,1))</f>
        <v>6000</v>
      </c>
      <c r="G361" s="4" t="str">
        <f>IF($C361="","",_xlfn.XLOOKUP($C361,Order!$C:$C,Order!$G:$G,"",0,1))</f>
        <v>6063T5</v>
      </c>
      <c r="H361" s="4">
        <f>IF($C361="","",_xlfn.XLOOKUP($C361,Order!$C:$C,Order!$H:$H,"",0,1))</f>
        <v>0.26400000000000001</v>
      </c>
      <c r="I361" s="36">
        <f>IF($C361="","",_xlfn.XLOOKUP($C361,Order!$C:$C,Order!$J:$J,"",0,1))</f>
        <v>0</v>
      </c>
      <c r="J361" s="4" t="str">
        <f>IF(C361="","",Order!$J$16)</f>
        <v>SILVER ANODIZED (FAYP01)</v>
      </c>
      <c r="K361" s="36">
        <f>IF($C361="","",_xlfn.XLOOKUP($C361,Order!$C:$C,Order!$P:$P,"",0,1))</f>
        <v>0</v>
      </c>
      <c r="L361" s="4">
        <f t="shared" si="5"/>
        <v>0</v>
      </c>
    </row>
    <row r="362" spans="2:12" ht="23.25" hidden="1" customHeight="1" x14ac:dyDescent="0.25">
      <c r="B362" s="4">
        <v>357</v>
      </c>
      <c r="C362" s="36" t="str">
        <f>IF(Order!$C$28="","",Order!$C$28)</f>
        <v>TR1.1/2 (Round tube  1.1/2" with 1.00 mmthickness)</v>
      </c>
      <c r="D362" s="36" t="str">
        <f>IF($C362="","",_xlfn.XLOOKUP($C362,Order!$C:$C,Order!$D:$D,"",0,1))</f>
        <v>TR1.1/2</v>
      </c>
      <c r="E362" s="4" t="e" vm="251">
        <f>IF($C362="","",_xlfn.XLOOKUP($C362,Order!$C:$C,Order!$E:$E,"",0,1))</f>
        <v>#VALUE!</v>
      </c>
      <c r="F362" s="4">
        <f>IF($C362="","",_xlfn.XLOOKUP($C362,Order!$C:$C,Order!$F:$F,"",0,1))</f>
        <v>6000</v>
      </c>
      <c r="G362" s="4" t="str">
        <f>IF($C362="","",_xlfn.XLOOKUP($C362,Order!$C:$C,Order!$G:$G,"",0,1))</f>
        <v>6063T5</v>
      </c>
      <c r="H362" s="4">
        <f>IF($C362="","",_xlfn.XLOOKUP($C362,Order!$C:$C,Order!$H:$H,"",0,1))</f>
        <v>0.318</v>
      </c>
      <c r="I362" s="36">
        <f>IF($C362="","",_xlfn.XLOOKUP($C362,Order!$C:$C,Order!$J:$J,"",0,1))</f>
        <v>0</v>
      </c>
      <c r="J362" s="4" t="str">
        <f>IF(C362="","",Order!$J$16)</f>
        <v>SILVER ANODIZED (FAYP01)</v>
      </c>
      <c r="K362" s="36">
        <f>IF($C362="","",_xlfn.XLOOKUP($C362,Order!$C:$C,Order!$P:$P,"",0,1))</f>
        <v>0</v>
      </c>
      <c r="L362" s="4">
        <f t="shared" si="5"/>
        <v>0</v>
      </c>
    </row>
    <row r="363" spans="2:12" ht="23.25" customHeight="1" x14ac:dyDescent="0.25">
      <c r="B363" s="4">
        <v>358</v>
      </c>
      <c r="C363" s="36" t="str">
        <f>IF(Order!$C$29="","",Order!$C$29)</f>
        <v>TR2A (Round tube 2" with 0.95 mm thickness)</v>
      </c>
      <c r="D363" s="36" t="str">
        <f>IF($C363="","",_xlfn.XLOOKUP($C363,Order!$C:$C,Order!$D:$D,"",0,1))</f>
        <v>TR2A</v>
      </c>
      <c r="E363" s="4" t="e" vm="251">
        <f>IF($C363="","",_xlfn.XLOOKUP($C363,Order!$C:$C,Order!$E:$E,"",0,1))</f>
        <v>#VALUE!</v>
      </c>
      <c r="F363" s="4">
        <f>IF($C363="","",_xlfn.XLOOKUP($C363,Order!$C:$C,Order!$F:$F,"",0,1))</f>
        <v>6000</v>
      </c>
      <c r="G363" s="4" t="str">
        <f>IF($C363="","",_xlfn.XLOOKUP($C363,Order!$C:$C,Order!$G:$G,"",0,1))</f>
        <v>6063T5</v>
      </c>
      <c r="H363" s="4">
        <f>IF($C363="","",_xlfn.XLOOKUP($C363,Order!$C:$C,Order!$H:$H,"",0,1))</f>
        <v>0.40600000000000003</v>
      </c>
      <c r="I363" s="36">
        <f>IF($C363="","",_xlfn.XLOOKUP($C363,Order!$C:$C,Order!$J:$J,"",0,1))</f>
        <v>50</v>
      </c>
      <c r="J363" s="4" t="str">
        <f>IF(C363="","",Order!$J$16)</f>
        <v>SILVER ANODIZED (FAYP01)</v>
      </c>
      <c r="K363" s="36">
        <f>IF($C363="","",_xlfn.XLOOKUP($C363,Order!$C:$C,Order!$P:$P,"",0,1))</f>
        <v>0</v>
      </c>
      <c r="L363" s="4">
        <f t="shared" si="5"/>
        <v>121.8</v>
      </c>
    </row>
    <row r="364" spans="2:12" ht="23.25" hidden="1" customHeight="1" x14ac:dyDescent="0.25">
      <c r="B364" s="4">
        <v>359</v>
      </c>
      <c r="C364" s="36" t="str">
        <f>IF(Order!$C$30="","",Order!$C$30)</f>
        <v>TR3 (Round tube 3" with 1.27 mm thickness)</v>
      </c>
      <c r="D364" s="36" t="str">
        <f>IF($C364="","",_xlfn.XLOOKUP($C364,Order!$C:$C,Order!$D:$D,"",0,1))</f>
        <v>TR3</v>
      </c>
      <c r="E364" s="4" t="e" vm="251">
        <f>IF($C364="","",_xlfn.XLOOKUP($C364,Order!$C:$C,Order!$E:$E,"",0,1))</f>
        <v>#VALUE!</v>
      </c>
      <c r="F364" s="4">
        <f>IF($C364="","",_xlfn.XLOOKUP($C364,Order!$C:$C,Order!$F:$F,"",0,1))</f>
        <v>6000</v>
      </c>
      <c r="G364" s="4" t="str">
        <f>IF($C364="","",_xlfn.XLOOKUP($C364,Order!$C:$C,Order!$G:$G,"",0,1))</f>
        <v>6063T5</v>
      </c>
      <c r="H364" s="4">
        <f>IF($C364="","",_xlfn.XLOOKUP($C364,Order!$C:$C,Order!$H:$H,"",0,1))</f>
        <v>0.81599999999999995</v>
      </c>
      <c r="I364" s="36">
        <f>IF($C364="","",_xlfn.XLOOKUP($C364,Order!$C:$C,Order!$J:$J,"",0,1))</f>
        <v>0</v>
      </c>
      <c r="J364" s="4" t="str">
        <f>IF(C364="","",Order!$J$16)</f>
        <v>SILVER ANODIZED (FAYP01)</v>
      </c>
      <c r="K364" s="36">
        <f>IF($C364="","",_xlfn.XLOOKUP($C364,Order!$C:$C,Order!$P:$P,"",0,1))</f>
        <v>0</v>
      </c>
      <c r="L364" s="4">
        <f t="shared" si="5"/>
        <v>0</v>
      </c>
    </row>
    <row r="365" spans="2:12" ht="23.25" hidden="1" customHeight="1" x14ac:dyDescent="0.25">
      <c r="B365" s="4">
        <v>360</v>
      </c>
      <c r="C365" s="36" t="str">
        <f>IF(Order!$C$31="","",Order!$C$31)</f>
        <v/>
      </c>
      <c r="D365" s="36" t="str">
        <f>IF($C365="","",_xlfn.XLOOKUP($C365,Order!$C:$C,Order!$D:$D,"",0,1))</f>
        <v/>
      </c>
      <c r="E365" s="4" t="str">
        <f>IF($C365="","",_xlfn.XLOOKUP($C365,Order!$C:$C,Order!$E:$E,"",0,1))</f>
        <v/>
      </c>
      <c r="F365" s="4" t="str">
        <f>IF($C365="","",_xlfn.XLOOKUP($C365,Order!$C:$C,Order!$F:$F,"",0,1))</f>
        <v/>
      </c>
      <c r="G365" s="4" t="str">
        <f>IF($C365="","",_xlfn.XLOOKUP($C365,Order!$C:$C,Order!$G:$G,"",0,1))</f>
        <v/>
      </c>
      <c r="H365" s="4" t="str">
        <f>IF($C365="","",_xlfn.XLOOKUP($C365,Order!$C:$C,Order!$H:$H,"",0,1))</f>
        <v/>
      </c>
      <c r="I365" s="36" t="str">
        <f>IF($C365="","",_xlfn.XLOOKUP($C365,Order!$C:$C,Order!$J:$J,"",0,1))</f>
        <v/>
      </c>
      <c r="J365" s="4" t="str">
        <f>IF(C365="","",Order!$J$16)</f>
        <v/>
      </c>
      <c r="K365" s="36" t="str">
        <f>IF($C365="","",_xlfn.XLOOKUP($C365,Order!$C:$C,Order!$P:$P,"",0,1))</f>
        <v/>
      </c>
      <c r="L365" s="4" t="str">
        <f t="shared" si="5"/>
        <v/>
      </c>
    </row>
    <row r="366" spans="2:12" ht="23.25" hidden="1" customHeight="1" x14ac:dyDescent="0.25">
      <c r="B366" s="4">
        <v>361</v>
      </c>
      <c r="C366" s="36" t="str">
        <f>IF(Order!$C$32="","",Order!$C$32)</f>
        <v>TQ3/4 (Square tube 3/4 with 0.90 mm thickness)</v>
      </c>
      <c r="D366" s="36" t="str">
        <f>IF($C366="","",_xlfn.XLOOKUP($C366,Order!$C:$C,Order!$D:$D,"",0,1))</f>
        <v>TQ34</v>
      </c>
      <c r="E366" s="4" t="e" vm="252">
        <f>IF($C366="","",_xlfn.XLOOKUP($C366,Order!$C:$C,Order!$E:$E,"",0,1))</f>
        <v>#VALUE!</v>
      </c>
      <c r="F366" s="4">
        <f>IF($C366="","",_xlfn.XLOOKUP($C366,Order!$C:$C,Order!$F:$F,"",0,1))</f>
        <v>6000</v>
      </c>
      <c r="G366" s="4" t="str">
        <f>IF($C366="","",_xlfn.XLOOKUP($C366,Order!$C:$C,Order!$G:$G,"",0,1))</f>
        <v>6063T5</v>
      </c>
      <c r="H366" s="4">
        <f>IF($C366="","",_xlfn.XLOOKUP($C366,Order!$C:$C,Order!$H:$H,"",0,1))</f>
        <v>0.17799999999999999</v>
      </c>
      <c r="I366" s="36">
        <f>IF($C366="","",_xlfn.XLOOKUP($C366,Order!$C:$C,Order!$J:$J,"",0,1))</f>
        <v>0</v>
      </c>
      <c r="J366" s="4" t="str">
        <f>IF(C366="","",Order!$J$16)</f>
        <v>SILVER ANODIZED (FAYP01)</v>
      </c>
      <c r="K366" s="36">
        <f>IF($C366="","",_xlfn.XLOOKUP($C366,Order!$C:$C,Order!$P:$P,"",0,1))</f>
        <v>0</v>
      </c>
      <c r="L366" s="4">
        <f t="shared" si="5"/>
        <v>0</v>
      </c>
    </row>
    <row r="367" spans="2:12" ht="23.25" customHeight="1" x14ac:dyDescent="0.25">
      <c r="B367" s="4">
        <v>362</v>
      </c>
      <c r="C367" s="36" t="str">
        <f>IF(Order!$C$33="","",Order!$C$33)</f>
        <v>TQ1 (Squar tube 1" with 0.80 mm thickness)</v>
      </c>
      <c r="D367" s="36" t="str">
        <f>IF($C367="","",_xlfn.XLOOKUP($C367,Order!$C:$C,Order!$D:$D,"",0,1))</f>
        <v>TQ1</v>
      </c>
      <c r="E367" s="4" t="e" vm="252">
        <f>IF($C367="","",_xlfn.XLOOKUP($C367,Order!$C:$C,Order!$E:$E,"",0,1))</f>
        <v>#VALUE!</v>
      </c>
      <c r="F367" s="4">
        <f>IF($C367="","",_xlfn.XLOOKUP($C367,Order!$C:$C,Order!$F:$F,"",0,1))</f>
        <v>6000</v>
      </c>
      <c r="G367" s="4" t="str">
        <f>IF($C367="","",_xlfn.XLOOKUP($C367,Order!$C:$C,Order!$G:$G,"",0,1))</f>
        <v>6063T5</v>
      </c>
      <c r="H367" s="4">
        <f>IF($C367="","",_xlfn.XLOOKUP($C367,Order!$C:$C,Order!$H:$H,"",0,1))</f>
        <v>0.215</v>
      </c>
      <c r="I367" s="36">
        <f>IF($C367="","",_xlfn.XLOOKUP($C367,Order!$C:$C,Order!$J:$J,"",0,1))</f>
        <v>100</v>
      </c>
      <c r="J367" s="4" t="str">
        <f>IF(C367="","",Order!$J$16)</f>
        <v>SILVER ANODIZED (FAYP01)</v>
      </c>
      <c r="K367" s="36">
        <f>IF($C367="","",_xlfn.XLOOKUP($C367,Order!$C:$C,Order!$P:$P,"",0,1))</f>
        <v>0</v>
      </c>
      <c r="L367" s="4">
        <f t="shared" si="5"/>
        <v>129</v>
      </c>
    </row>
    <row r="368" spans="2:12" ht="23.25" customHeight="1" x14ac:dyDescent="0.25">
      <c r="B368" s="4">
        <v>363</v>
      </c>
      <c r="C368" s="36" t="str">
        <f>IF(Order!$C$34="","",Order!$C$34)</f>
        <v>TQ1.1/2A (Square tube 1.1/2" with 0.80 mm thickness)</v>
      </c>
      <c r="D368" s="36" t="str">
        <f>IF($C368="","",_xlfn.XLOOKUP($C368,Order!$C:$C,Order!$D:$D,"",0,1))</f>
        <v>TQ1.12A</v>
      </c>
      <c r="E368" s="4" t="e" vm="252">
        <f>IF($C368="","",_xlfn.XLOOKUP($C368,Order!$C:$C,Order!$E:$E,"",0,1))</f>
        <v>#VALUE!</v>
      </c>
      <c r="F368" s="4">
        <f>IF($C368="","",_xlfn.XLOOKUP($C368,Order!$C:$C,Order!$F:$F,"",0,1))</f>
        <v>6000</v>
      </c>
      <c r="G368" s="4" t="str">
        <f>IF($C368="","",_xlfn.XLOOKUP($C368,Order!$C:$C,Order!$G:$G,"",0,1))</f>
        <v>6063T5</v>
      </c>
      <c r="H368" s="4">
        <f>IF($C368="","",_xlfn.XLOOKUP($C368,Order!$C:$C,Order!$H:$H,"",0,1))</f>
        <v>0.32600000000000001</v>
      </c>
      <c r="I368" s="36">
        <f>IF($C368="","",_xlfn.XLOOKUP($C368,Order!$C:$C,Order!$J:$J,"",0,1))</f>
        <v>100</v>
      </c>
      <c r="J368" s="4" t="str">
        <f>IF(C368="","",Order!$J$16)</f>
        <v>SILVER ANODIZED (FAYP01)</v>
      </c>
      <c r="K368" s="36">
        <f>IF($C368="","",_xlfn.XLOOKUP($C368,Order!$C:$C,Order!$P:$P,"",0,1))</f>
        <v>0</v>
      </c>
      <c r="L368" s="4">
        <f t="shared" si="5"/>
        <v>195.6</v>
      </c>
    </row>
    <row r="369" spans="2:12" ht="23.25" hidden="1" customHeight="1" x14ac:dyDescent="0.25">
      <c r="B369" s="4">
        <v>364</v>
      </c>
      <c r="C369" s="36" t="str">
        <f>IF(Order!$C$35="","",Order!$C$35)</f>
        <v>TQ2L (Square tube 2" with 0.90 mm thickness)</v>
      </c>
      <c r="D369" s="36" t="str">
        <f>IF($C369="","",_xlfn.XLOOKUP($C369,Order!$C:$C,Order!$D:$D,"",0,1))</f>
        <v>TQ2L</v>
      </c>
      <c r="E369" s="4" t="e" vm="252">
        <f>IF($C369="","",_xlfn.XLOOKUP($C369,Order!$C:$C,Order!$E:$E,"",0,1))</f>
        <v>#VALUE!</v>
      </c>
      <c r="F369" s="4">
        <f>IF($C369="","",_xlfn.XLOOKUP($C369,Order!$C:$C,Order!$F:$F,"",0,1))</f>
        <v>6000</v>
      </c>
      <c r="G369" s="4" t="str">
        <f>IF($C369="","",_xlfn.XLOOKUP($C369,Order!$C:$C,Order!$G:$G,"",0,1))</f>
        <v>6063T5</v>
      </c>
      <c r="H369" s="4">
        <f>IF($C369="","",_xlfn.XLOOKUP($C369,Order!$C:$C,Order!$H:$H,"",0,1))</f>
        <v>0.49</v>
      </c>
      <c r="I369" s="36">
        <f>IF($C369="","",_xlfn.XLOOKUP($C369,Order!$C:$C,Order!$J:$J,"",0,1))</f>
        <v>0</v>
      </c>
      <c r="J369" s="4" t="str">
        <f>IF(C369="","",Order!$J$16)</f>
        <v>SILVER ANODIZED (FAYP01)</v>
      </c>
      <c r="K369" s="36">
        <f>IF($C369="","",_xlfn.XLOOKUP($C369,Order!$C:$C,Order!$P:$P,"",0,1))</f>
        <v>0</v>
      </c>
      <c r="L369" s="4">
        <f t="shared" si="5"/>
        <v>0</v>
      </c>
    </row>
    <row r="370" spans="2:12" ht="23.25" hidden="1" customHeight="1" x14ac:dyDescent="0.25">
      <c r="B370" s="4">
        <v>365</v>
      </c>
      <c r="C370" s="36" t="str">
        <f>IF(Order!$C$36="","",Order!$C$36)</f>
        <v>TQ2A (Square tube 2" with 0.95 mm thickness)</v>
      </c>
      <c r="D370" s="36" t="str">
        <f>IF($C370="","",_xlfn.XLOOKUP($C370,Order!$C:$C,Order!$D:$D,"",0,1))</f>
        <v>TQ2A</v>
      </c>
      <c r="E370" s="4" t="e" vm="252">
        <f>IF($C370="","",_xlfn.XLOOKUP($C370,Order!$C:$C,Order!$E:$E,"",0,1))</f>
        <v>#VALUE!</v>
      </c>
      <c r="F370" s="4">
        <f>IF($C370="","",_xlfn.XLOOKUP($C370,Order!$C:$C,Order!$F:$F,"",0,1))</f>
        <v>6000</v>
      </c>
      <c r="G370" s="4" t="str">
        <f>IF($C370="","",_xlfn.XLOOKUP($C370,Order!$C:$C,Order!$G:$G,"",0,1))</f>
        <v>6063T5</v>
      </c>
      <c r="H370" s="4">
        <f>IF($C370="","",_xlfn.XLOOKUP($C370,Order!$C:$C,Order!$H:$H,"",0,1))</f>
        <v>0.51700000000000002</v>
      </c>
      <c r="I370" s="36">
        <f>IF($C370="","",_xlfn.XLOOKUP($C370,Order!$C:$C,Order!$J:$J,"",0,1))</f>
        <v>0</v>
      </c>
      <c r="J370" s="4" t="str">
        <f>IF(C370="","",Order!$J$16)</f>
        <v>SILVER ANODIZED (FAYP01)</v>
      </c>
      <c r="K370" s="36">
        <f>IF($C370="","",_xlfn.XLOOKUP($C370,Order!$C:$C,Order!$P:$P,"",0,1))</f>
        <v>0</v>
      </c>
      <c r="L370" s="4">
        <f t="shared" si="5"/>
        <v>0</v>
      </c>
    </row>
    <row r="371" spans="2:12" ht="23.25" hidden="1" customHeight="1" x14ac:dyDescent="0.25">
      <c r="B371" s="4">
        <v>366</v>
      </c>
      <c r="C371" s="36" t="str">
        <f>IF(Order!$C$37="","",Order!$C$37)</f>
        <v>TQ2 (Square tube 2" with 1.10 mm thickness)</v>
      </c>
      <c r="D371" s="36" t="str">
        <f>IF($C371="","",_xlfn.XLOOKUP($C371,Order!$C:$C,Order!$D:$D,"",0,1))</f>
        <v>TQ2</v>
      </c>
      <c r="E371" s="4" t="e" vm="252">
        <f>IF($C371="","",_xlfn.XLOOKUP($C371,Order!$C:$C,Order!$E:$E,"",0,1))</f>
        <v>#VALUE!</v>
      </c>
      <c r="F371" s="4">
        <f>IF($C371="","",_xlfn.XLOOKUP($C371,Order!$C:$C,Order!$F:$F,"",0,1))</f>
        <v>6000</v>
      </c>
      <c r="G371" s="4" t="str">
        <f>IF($C371="","",_xlfn.XLOOKUP($C371,Order!$C:$C,Order!$G:$G,"",0,1))</f>
        <v>6063T5</v>
      </c>
      <c r="H371" s="4">
        <f>IF($C371="","",_xlfn.XLOOKUP($C371,Order!$C:$C,Order!$H:$H,"",0,1))</f>
        <v>0.59699999999999998</v>
      </c>
      <c r="I371" s="36">
        <f>IF($C371="","",_xlfn.XLOOKUP($C371,Order!$C:$C,Order!$J:$J,"",0,1))</f>
        <v>0</v>
      </c>
      <c r="J371" s="4" t="str">
        <f>IF(C371="","",Order!$J$16)</f>
        <v>SILVER ANODIZED (FAYP01)</v>
      </c>
      <c r="K371" s="36">
        <f>IF($C371="","",_xlfn.XLOOKUP($C371,Order!$C:$C,Order!$P:$P,"",0,1))</f>
        <v>0</v>
      </c>
      <c r="L371" s="4">
        <f t="shared" si="5"/>
        <v>0</v>
      </c>
    </row>
    <row r="372" spans="2:12" ht="23.25" hidden="1" customHeight="1" x14ac:dyDescent="0.25">
      <c r="B372" s="4">
        <v>367</v>
      </c>
      <c r="C372" s="36" t="str">
        <f>IF(Order!$C$38="","",Order!$C$38)</f>
        <v>TQ3 (Square tube 3" with 1.10 mm thickness)</v>
      </c>
      <c r="D372" s="36" t="str">
        <f>IF($C372="","",_xlfn.XLOOKUP($C372,Order!$C:$C,Order!$D:$D,"",0,1))</f>
        <v>TQ3</v>
      </c>
      <c r="E372" s="4" t="e" vm="252">
        <f>IF($C372="","",_xlfn.XLOOKUP($C372,Order!$C:$C,Order!$E:$E,"",0,1))</f>
        <v>#VALUE!</v>
      </c>
      <c r="F372" s="4">
        <f>IF($C372="","",_xlfn.XLOOKUP($C372,Order!$C:$C,Order!$F:$F,"",0,1))</f>
        <v>6000</v>
      </c>
      <c r="G372" s="4" t="str">
        <f>IF($C372="","",_xlfn.XLOOKUP($C372,Order!$C:$C,Order!$G:$G,"",0,1))</f>
        <v>6063T5</v>
      </c>
      <c r="H372" s="4">
        <f>IF($C372="","",_xlfn.XLOOKUP($C372,Order!$C:$C,Order!$H:$H,"",0,1))</f>
        <v>0.90200000000000002</v>
      </c>
      <c r="I372" s="36">
        <f>IF($C372="","",_xlfn.XLOOKUP($C372,Order!$C:$C,Order!$J:$J,"",0,1))</f>
        <v>0</v>
      </c>
      <c r="J372" s="4" t="str">
        <f>IF(C372="","",Order!$J$16)</f>
        <v>SILVER ANODIZED (FAYP01)</v>
      </c>
      <c r="K372" s="36">
        <f>IF($C372="","",_xlfn.XLOOKUP($C372,Order!$C:$C,Order!$P:$P,"",0,1))</f>
        <v>0</v>
      </c>
      <c r="L372" s="4">
        <f t="shared" si="5"/>
        <v>0</v>
      </c>
    </row>
    <row r="373" spans="2:12" ht="23.25" hidden="1" customHeight="1" x14ac:dyDescent="0.25">
      <c r="B373" s="4">
        <v>368</v>
      </c>
      <c r="C373" s="36" t="str">
        <f>IF(Order!$C$39="","",Order!$C$39)</f>
        <v>TQ4 (Square tube 4" with 1.30 mm thickness)</v>
      </c>
      <c r="D373" s="36" t="str">
        <f>IF($C373="","",_xlfn.XLOOKUP($C373,Order!$C:$C,Order!$D:$D,"",0,1))</f>
        <v>TQ4</v>
      </c>
      <c r="E373" s="4" t="e" vm="252">
        <f>IF($C373="","",_xlfn.XLOOKUP($C373,Order!$C:$C,Order!$E:$E,"",0,1))</f>
        <v>#VALUE!</v>
      </c>
      <c r="F373" s="4">
        <f>IF($C373="","",_xlfn.XLOOKUP($C373,Order!$C:$C,Order!$F:$F,"",0,1))</f>
        <v>6000</v>
      </c>
      <c r="G373" s="4" t="str">
        <f>IF($C373="","",_xlfn.XLOOKUP($C373,Order!$C:$C,Order!$G:$G,"",0,1))</f>
        <v>6063T5</v>
      </c>
      <c r="H373" s="4">
        <f>IF($C373="","",_xlfn.XLOOKUP($C373,Order!$C:$C,Order!$H:$H,"",0,1))</f>
        <v>1.4239999999999999</v>
      </c>
      <c r="I373" s="36">
        <f>IF($C373="","",_xlfn.XLOOKUP($C373,Order!$C:$C,Order!$J:$J,"",0,1))</f>
        <v>0</v>
      </c>
      <c r="J373" s="4" t="str">
        <f>IF(C373="","",Order!$J$16)</f>
        <v>SILVER ANODIZED (FAYP01)</v>
      </c>
      <c r="K373" s="36">
        <f>IF($C373="","",_xlfn.XLOOKUP($C373,Order!$C:$C,Order!$P:$P,"",0,1))</f>
        <v>0</v>
      </c>
      <c r="L373" s="4">
        <f t="shared" si="5"/>
        <v>0</v>
      </c>
    </row>
    <row r="374" spans="2:12" ht="23.25" hidden="1" customHeight="1" x14ac:dyDescent="0.25">
      <c r="B374" s="4">
        <v>369</v>
      </c>
      <c r="C374" s="36" t="str">
        <f>IF(Order!$C$40="","",Order!$C$40)</f>
        <v>TG1X1/2 (Rectangular tube 1" x 1/2  with 0.80 mm thickness)</v>
      </c>
      <c r="D374" s="36" t="str">
        <f>IF($C374="","",_xlfn.XLOOKUP($C374,Order!$C:$C,Order!$D:$D,"",0,1))</f>
        <v>TG1X12</v>
      </c>
      <c r="E374" s="4" t="e" vm="253">
        <f>IF($C374="","",_xlfn.XLOOKUP($C374,Order!$C:$C,Order!$E:$E,"",0,1))</f>
        <v>#VALUE!</v>
      </c>
      <c r="F374" s="4">
        <f>IF($C374="","",_xlfn.XLOOKUP($C374,Order!$C:$C,Order!$F:$F,"",0,1))</f>
        <v>6000</v>
      </c>
      <c r="G374" s="4" t="str">
        <f>IF($C374="","",_xlfn.XLOOKUP($C374,Order!$C:$C,Order!$G:$G,"",0,1))</f>
        <v>6063T5</v>
      </c>
      <c r="H374" s="4">
        <f>IF($C374="","",_xlfn.XLOOKUP($C374,Order!$C:$C,Order!$H:$H,"",0,1))</f>
        <v>0.159</v>
      </c>
      <c r="I374" s="36">
        <f>IF($C374="","",_xlfn.XLOOKUP($C374,Order!$C:$C,Order!$J:$J,"",0,1))</f>
        <v>0</v>
      </c>
      <c r="J374" s="4" t="str">
        <f>IF(C374="","",Order!$J$16)</f>
        <v>SILVER ANODIZED (FAYP01)</v>
      </c>
      <c r="K374" s="36">
        <f>IF($C374="","",_xlfn.XLOOKUP($C374,Order!$C:$C,Order!$P:$P,"",0,1))</f>
        <v>0</v>
      </c>
      <c r="L374" s="4">
        <f t="shared" si="5"/>
        <v>0</v>
      </c>
    </row>
    <row r="375" spans="2:12" ht="23.25" customHeight="1" x14ac:dyDescent="0.25">
      <c r="B375" s="4">
        <v>370</v>
      </c>
      <c r="C375" s="36" t="str">
        <f>IF(Order!$C$41="","",Order!$C$41)</f>
        <v>TG2X1/2A (Retangular tube 2 X 1/2 with 0.80 mm tickness)</v>
      </c>
      <c r="D375" s="36" t="str">
        <f>IF($C375="","",_xlfn.XLOOKUP($C375,Order!$C:$C,Order!$D:$D,"",0,1))</f>
        <v>TG2X12A</v>
      </c>
      <c r="E375" s="4" t="e" vm="254">
        <f>IF($C375="","",_xlfn.XLOOKUP($C375,Order!$C:$C,Order!$E:$E,"",0,1))</f>
        <v>#VALUE!</v>
      </c>
      <c r="F375" s="4">
        <f>IF($C375="","",_xlfn.XLOOKUP($C375,Order!$C:$C,Order!$F:$F,"",0,1))</f>
        <v>6000</v>
      </c>
      <c r="G375" s="4" t="str">
        <f>IF($C375="","",_xlfn.XLOOKUP($C375,Order!$C:$C,Order!$G:$G,"",0,1))</f>
        <v>6063T5</v>
      </c>
      <c r="H375" s="4">
        <f>IF($C375="","",_xlfn.XLOOKUP($C375,Order!$C:$C,Order!$H:$H,"",0,1))</f>
        <v>0.27</v>
      </c>
      <c r="I375" s="36">
        <f>IF($C375="","",_xlfn.XLOOKUP($C375,Order!$C:$C,Order!$J:$J,"",0,1))</f>
        <v>100</v>
      </c>
      <c r="J375" s="4" t="str">
        <f>IF(C375="","",Order!$J$16)</f>
        <v>SILVER ANODIZED (FAYP01)</v>
      </c>
      <c r="K375" s="36">
        <f>IF($C375="","",_xlfn.XLOOKUP($C375,Order!$C:$C,Order!$P:$P,"",0,1))</f>
        <v>0</v>
      </c>
      <c r="L375" s="4">
        <f t="shared" si="5"/>
        <v>162</v>
      </c>
    </row>
    <row r="376" spans="2:12" ht="23.25" hidden="1" customHeight="1" x14ac:dyDescent="0.25">
      <c r="B376" s="4">
        <v>371</v>
      </c>
      <c r="C376" s="36" t="str">
        <f>IF(Order!$C$42="","",Order!$C$42)</f>
        <v>TG2X1/2 (Retangular tube 2 X 1/2 with 0.90 mm tickness)</v>
      </c>
      <c r="D376" s="36" t="str">
        <f>IF($C376="","",_xlfn.XLOOKUP($C376,Order!$C:$C,Order!$D:$D,"",0,1))</f>
        <v>TG2X12</v>
      </c>
      <c r="E376" s="4" t="e" vm="254">
        <f>IF($C376="","",_xlfn.XLOOKUP($C376,Order!$C:$C,Order!$E:$E,"",0,1))</f>
        <v>#VALUE!</v>
      </c>
      <c r="F376" s="4">
        <f>IF($C376="","",_xlfn.XLOOKUP($C376,Order!$C:$C,Order!$F:$F,"",0,1))</f>
        <v>6000</v>
      </c>
      <c r="G376" s="4" t="str">
        <f>IF($C376="","",_xlfn.XLOOKUP($C376,Order!$C:$C,Order!$G:$G,"",0,1))</f>
        <v>6063T5</v>
      </c>
      <c r="H376" s="4">
        <f>IF($C376="","",_xlfn.XLOOKUP($C376,Order!$C:$C,Order!$H:$H,"",0,1))</f>
        <v>0.30299999999999999</v>
      </c>
      <c r="I376" s="36">
        <f>IF($C376="","",_xlfn.XLOOKUP($C376,Order!$C:$C,Order!$J:$J,"",0,1))</f>
        <v>0</v>
      </c>
      <c r="J376" s="4" t="str">
        <f>IF(C376="","",Order!$J$16)</f>
        <v>SILVER ANODIZED (FAYP01)</v>
      </c>
      <c r="K376" s="36">
        <f>IF($C376="","",_xlfn.XLOOKUP($C376,Order!$C:$C,Order!$P:$P,"",0,1))</f>
        <v>0</v>
      </c>
      <c r="L376" s="4">
        <f t="shared" si="5"/>
        <v>0</v>
      </c>
    </row>
    <row r="377" spans="2:12" ht="23.25" customHeight="1" x14ac:dyDescent="0.25">
      <c r="B377" s="4">
        <v>372</v>
      </c>
      <c r="C377" s="36" t="str">
        <f>IF(Order!$C$43="","",Order!$C$43)</f>
        <v>TG2X1 0.7 ( Retangular tube 2"X1" with 0.70 mm tickness)</v>
      </c>
      <c r="D377" s="36" t="str">
        <f>IF($C377="","",_xlfn.XLOOKUP($C377,Order!$C:$C,Order!$D:$D,"",0,1))</f>
        <v>TG2X1 0.7</v>
      </c>
      <c r="E377" s="4" t="e" vm="253">
        <f>IF($C377="","",_xlfn.XLOOKUP($C377,Order!$C:$C,Order!$E:$E,"",0,1))</f>
        <v>#VALUE!</v>
      </c>
      <c r="F377" s="4">
        <f>IF($C377="","",_xlfn.XLOOKUP($C377,Order!$C:$C,Order!$F:$F,"",0,1))</f>
        <v>6000</v>
      </c>
      <c r="G377" s="4" t="str">
        <f>IF($C377="","",_xlfn.XLOOKUP($C377,Order!$C:$C,Order!$G:$G,"",0,1))</f>
        <v>6063T5</v>
      </c>
      <c r="H377" s="4">
        <f>IF($C377="","",_xlfn.XLOOKUP($C377,Order!$C:$C,Order!$H:$H,"",0,1))</f>
        <v>0.28599999999999998</v>
      </c>
      <c r="I377" s="36">
        <f>IF($C377="","",_xlfn.XLOOKUP($C377,Order!$C:$C,Order!$J:$J,"",0,1))</f>
        <v>300</v>
      </c>
      <c r="J377" s="4" t="str">
        <f>IF(C377="","",Order!$J$16)</f>
        <v>SILVER ANODIZED (FAYP01)</v>
      </c>
      <c r="K377" s="36">
        <f>IF($C377="","",_xlfn.XLOOKUP($C377,Order!$C:$C,Order!$P:$P,"",0,1))</f>
        <v>0</v>
      </c>
      <c r="L377" s="4">
        <f t="shared" si="5"/>
        <v>514.79999999999995</v>
      </c>
    </row>
    <row r="378" spans="2:12" ht="23.25" hidden="1" customHeight="1" x14ac:dyDescent="0.25">
      <c r="B378" s="4">
        <v>373</v>
      </c>
      <c r="C378" s="36" t="str">
        <f>IF(Order!$C$44="","",Order!$C$44)</f>
        <v>TG2X1 ( Retangular tube 2"X1" with 0.80 mm tickness)</v>
      </c>
      <c r="D378" s="36" t="str">
        <f>IF($C378="","",_xlfn.XLOOKUP($C378,Order!$C:$C,Order!$D:$D,"",0,1))</f>
        <v>TG2X1</v>
      </c>
      <c r="E378" s="4" t="e" vm="253">
        <f>IF($C378="","",_xlfn.XLOOKUP($C378,Order!$C:$C,Order!$E:$E,"",0,1))</f>
        <v>#VALUE!</v>
      </c>
      <c r="F378" s="4">
        <f>IF($C378="","",_xlfn.XLOOKUP($C378,Order!$C:$C,Order!$F:$F,"",0,1))</f>
        <v>6000</v>
      </c>
      <c r="G378" s="4" t="str">
        <f>IF($C378="","",_xlfn.XLOOKUP($C378,Order!$C:$C,Order!$G:$G,"",0,1))</f>
        <v>6063T5</v>
      </c>
      <c r="H378" s="4">
        <f>IF($C378="","",_xlfn.XLOOKUP($C378,Order!$C:$C,Order!$H:$H,"",0,1))</f>
        <v>0.32600000000000001</v>
      </c>
      <c r="I378" s="36">
        <f>IF($C378="","",_xlfn.XLOOKUP($C378,Order!$C:$C,Order!$J:$J,"",0,1))</f>
        <v>0</v>
      </c>
      <c r="J378" s="4" t="str">
        <f>IF(C378="","",Order!$J$16)</f>
        <v>SILVER ANODIZED (FAYP01)</v>
      </c>
      <c r="K378" s="36">
        <f>IF($C378="","",_xlfn.XLOOKUP($C378,Order!$C:$C,Order!$P:$P,"",0,1))</f>
        <v>0</v>
      </c>
      <c r="L378" s="4">
        <f t="shared" si="5"/>
        <v>0</v>
      </c>
    </row>
    <row r="379" spans="2:12" ht="23.25" customHeight="1" x14ac:dyDescent="0.25">
      <c r="B379" s="4">
        <v>374</v>
      </c>
      <c r="C379" s="36" t="str">
        <f>IF(Order!$C$45="","",Order!$C$45)</f>
        <v>TG2X1.1/2 ( Retangular tube 2"x1.1 /2" with 0.90 mm tickness)</v>
      </c>
      <c r="D379" s="36" t="str">
        <f>IF($C379="","",_xlfn.XLOOKUP($C379,Order!$C:$C,Order!$D:$D,"",0,1))</f>
        <v>TG2X1.12</v>
      </c>
      <c r="E379" s="4" t="e" vm="255">
        <f>IF($C379="","",_xlfn.XLOOKUP($C379,Order!$C:$C,Order!$E:$E,"",0,1))</f>
        <v>#VALUE!</v>
      </c>
      <c r="F379" s="4">
        <f>IF($C379="","",_xlfn.XLOOKUP($C379,Order!$C:$C,Order!$F:$F,"",0,1))</f>
        <v>6000</v>
      </c>
      <c r="G379" s="4" t="str">
        <f>IF($C379="","",_xlfn.XLOOKUP($C379,Order!$C:$C,Order!$G:$G,"",0,1))</f>
        <v>6063T5</v>
      </c>
      <c r="H379" s="4">
        <f>IF($C379="","",_xlfn.XLOOKUP($C379,Order!$C:$C,Order!$H:$H,"",0,1))</f>
        <v>0.42799999999999999</v>
      </c>
      <c r="I379" s="36">
        <f>IF($C379="","",_xlfn.XLOOKUP($C379,Order!$C:$C,Order!$J:$J,"",0,1))</f>
        <v>80</v>
      </c>
      <c r="J379" s="4" t="str">
        <f>IF(C379="","",Order!$J$16)</f>
        <v>SILVER ANODIZED (FAYP01)</v>
      </c>
      <c r="K379" s="36">
        <f>IF($C379="","",_xlfn.XLOOKUP($C379,Order!$C:$C,Order!$P:$P,"",0,1))</f>
        <v>0</v>
      </c>
      <c r="L379" s="4">
        <f t="shared" si="5"/>
        <v>205.44</v>
      </c>
    </row>
    <row r="380" spans="2:12" ht="23.25" hidden="1" customHeight="1" x14ac:dyDescent="0.25">
      <c r="B380" s="4">
        <v>375</v>
      </c>
      <c r="C380" s="36" t="str">
        <f>IF(Order!$C$46="","",Order!$C$46)</f>
        <v>TG3X1.1/2 ( Retangular tube 3"x1.1 /2" with 1.00 mm tickness)</v>
      </c>
      <c r="D380" s="36" t="str">
        <f>IF($C380="","",_xlfn.XLOOKUP($C380,Order!$C:$C,Order!$D:$D,"",0,1))</f>
        <v>TG3X1.12</v>
      </c>
      <c r="E380" s="4" t="e" vm="253">
        <f>IF($C380="","",_xlfn.XLOOKUP($C380,Order!$C:$C,Order!$E:$E,"",0,1))</f>
        <v>#VALUE!</v>
      </c>
      <c r="F380" s="4">
        <f>IF($C380="","",_xlfn.XLOOKUP($C380,Order!$C:$C,Order!$F:$F,"",0,1))</f>
        <v>6000</v>
      </c>
      <c r="G380" s="4" t="str">
        <f>IF($C380="","",_xlfn.XLOOKUP($C380,Order!$C:$C,Order!$G:$G,"",0,1))</f>
        <v>6063T5</v>
      </c>
      <c r="H380" s="4">
        <f>IF($C380="","",_xlfn.XLOOKUP($C380,Order!$C:$C,Order!$H:$H,"",0,1))</f>
        <v>0.61299999999999999</v>
      </c>
      <c r="I380" s="36">
        <f>IF($C380="","",_xlfn.XLOOKUP($C380,Order!$C:$C,Order!$J:$J,"",0,1))</f>
        <v>0</v>
      </c>
      <c r="J380" s="4" t="str">
        <f>IF(C380="","",Order!$J$16)</f>
        <v>SILVER ANODIZED (FAYP01)</v>
      </c>
      <c r="K380" s="36">
        <f>IF($C380="","",_xlfn.XLOOKUP($C380,Order!$C:$C,Order!$P:$P,"",0,1))</f>
        <v>0</v>
      </c>
      <c r="L380" s="4">
        <f t="shared" si="5"/>
        <v>0</v>
      </c>
    </row>
    <row r="381" spans="2:12" ht="23.25" customHeight="1" x14ac:dyDescent="0.25">
      <c r="B381" s="4">
        <v>376</v>
      </c>
      <c r="C381" s="36" t="str">
        <f>IF(Order!$C$47="","",Order!$C$47)</f>
        <v>TG4X2 (Rectangular Tube 4" X 2" with 1.00 mm tickness)</v>
      </c>
      <c r="D381" s="36" t="str">
        <f>IF($C381="","",_xlfn.XLOOKUP($C381,Order!$C:$C,Order!$D:$D,"",0,1))</f>
        <v>TG4X2</v>
      </c>
      <c r="E381" s="4" t="e" vm="253">
        <f>IF($C381="","",_xlfn.XLOOKUP($C381,Order!$C:$C,Order!$E:$E,"",0,1))</f>
        <v>#VALUE!</v>
      </c>
      <c r="F381" s="4">
        <f>IF($C381="","",_xlfn.XLOOKUP($C381,Order!$C:$C,Order!$F:$F,"",0,1))</f>
        <v>6000</v>
      </c>
      <c r="G381" s="4" t="str">
        <f>IF($C381="","",_xlfn.XLOOKUP($C381,Order!$C:$C,Order!$G:$G,"",0,1))</f>
        <v>6063T5</v>
      </c>
      <c r="H381" s="4">
        <f>IF($C381="","",_xlfn.XLOOKUP($C381,Order!$C:$C,Order!$H:$H,"",0,1))</f>
        <v>0.82099999999999995</v>
      </c>
      <c r="I381" s="36">
        <f>IF($C381="","",_xlfn.XLOOKUP($C381,Order!$C:$C,Order!$J:$J,"",0,1))</f>
        <v>80</v>
      </c>
      <c r="J381" s="4" t="str">
        <f>IF(C381="","",Order!$J$16)</f>
        <v>SILVER ANODIZED (FAYP01)</v>
      </c>
      <c r="K381" s="36">
        <f>IF($C381="","",_xlfn.XLOOKUP($C381,Order!$C:$C,Order!$P:$P,"",0,1))</f>
        <v>0</v>
      </c>
      <c r="L381" s="4">
        <f t="shared" si="5"/>
        <v>394.08000000000004</v>
      </c>
    </row>
    <row r="382" spans="2:12" ht="23.25" hidden="1" customHeight="1" x14ac:dyDescent="0.25">
      <c r="B382" s="4">
        <v>377</v>
      </c>
      <c r="C382" s="36" t="str">
        <f>IF(Order!$C$48="","",Order!$C$48)</f>
        <v>PT008A (Perfil T de 1" com 0.80 mm tickness)</v>
      </c>
      <c r="D382" s="36" t="str">
        <f>IF($C382="","",_xlfn.XLOOKUP($C382,Order!$C:$C,Order!$D:$D,"",0,1))</f>
        <v>PT008A</v>
      </c>
      <c r="E382" s="4" t="e" vm="256">
        <f>IF($C382="","",_xlfn.XLOOKUP($C382,Order!$C:$C,Order!$E:$E,"",0,1))</f>
        <v>#VALUE!</v>
      </c>
      <c r="F382" s="4">
        <f>IF($C382="","",_xlfn.XLOOKUP($C382,Order!$C:$C,Order!$F:$F,"",0,1))</f>
        <v>6000</v>
      </c>
      <c r="G382" s="4" t="str">
        <f>IF($C382="","",_xlfn.XLOOKUP($C382,Order!$C:$C,Order!$G:$G,"",0,1))</f>
        <v>6063T5</v>
      </c>
      <c r="H382" s="4">
        <f>IF($C382="","",_xlfn.XLOOKUP($C382,Order!$C:$C,Order!$H:$H,"",0,1))</f>
        <v>0.109</v>
      </c>
      <c r="I382" s="36">
        <f>IF($C382="","",_xlfn.XLOOKUP($C382,Order!$C:$C,Order!$J:$J,"",0,1))</f>
        <v>0</v>
      </c>
      <c r="J382" s="4" t="str">
        <f>IF(C382="","",Order!$J$16)</f>
        <v>SILVER ANODIZED (FAYP01)</v>
      </c>
      <c r="K382" s="36">
        <f>IF($C382="","",_xlfn.XLOOKUP($C382,Order!$C:$C,Order!$P:$P,"",0,1))</f>
        <v>0</v>
      </c>
      <c r="L382" s="4">
        <f t="shared" si="5"/>
        <v>0</v>
      </c>
    </row>
    <row r="383" spans="2:12" ht="23.25" hidden="1" customHeight="1" x14ac:dyDescent="0.25">
      <c r="B383" s="4">
        <v>378</v>
      </c>
      <c r="C383" s="36" t="str">
        <f>IF(Order!$C$49="","",Order!$C$49)</f>
        <v>PT008 (Perfil T de 1" com 0.90 mm tickness)</v>
      </c>
      <c r="D383" s="36" t="str">
        <f>IF($C383="","",_xlfn.XLOOKUP($C383,Order!$C:$C,Order!$D:$D,"",0,1))</f>
        <v>PT008</v>
      </c>
      <c r="E383" s="4" t="e" vm="256">
        <f>IF($C383="","",_xlfn.XLOOKUP($C383,Order!$C:$C,Order!$E:$E,"",0,1))</f>
        <v>#VALUE!</v>
      </c>
      <c r="F383" s="4">
        <f>IF($C383="","",_xlfn.XLOOKUP($C383,Order!$C:$C,Order!$F:$F,"",0,1))</f>
        <v>6000</v>
      </c>
      <c r="G383" s="4" t="str">
        <f>IF($C383="","",_xlfn.XLOOKUP($C383,Order!$C:$C,Order!$G:$G,"",0,1))</f>
        <v>6063T5</v>
      </c>
      <c r="H383" s="4">
        <f>IF($C383="","",_xlfn.XLOOKUP($C383,Order!$C:$C,Order!$H:$H,"",0,1))</f>
        <v>0.123</v>
      </c>
      <c r="I383" s="36">
        <f>IF($C383="","",_xlfn.XLOOKUP($C383,Order!$C:$C,Order!$J:$J,"",0,1))</f>
        <v>0</v>
      </c>
      <c r="J383" s="4" t="str">
        <f>IF(C383="","",Order!$J$16)</f>
        <v>SILVER ANODIZED (FAYP01)</v>
      </c>
      <c r="K383" s="36">
        <f>IF($C383="","",_xlfn.XLOOKUP($C383,Order!$C:$C,Order!$P:$P,"",0,1))</f>
        <v>0</v>
      </c>
      <c r="L383" s="4">
        <f t="shared" si="5"/>
        <v>0</v>
      </c>
    </row>
    <row r="384" spans="2:12" ht="23.25" hidden="1" customHeight="1" x14ac:dyDescent="0.25">
      <c r="B384" s="4">
        <v>379</v>
      </c>
      <c r="C384" s="36" t="str">
        <f>IF(Order!$C$50="","",Order!$C$50)</f>
        <v>AF052U (U13MM)</v>
      </c>
      <c r="D384" s="36" t="str">
        <f>IF($C384="","",_xlfn.XLOOKUP($C384,Order!$C:$C,Order!$D:$D,"",0,1))</f>
        <v>AF052U</v>
      </c>
      <c r="E384" s="4" t="e" vm="257">
        <f>IF($C384="","",_xlfn.XLOOKUP($C384,Order!$C:$C,Order!$E:$E,"",0,1))</f>
        <v>#VALUE!</v>
      </c>
      <c r="F384" s="4">
        <f>IF($C384="","",_xlfn.XLOOKUP($C384,Order!$C:$C,Order!$F:$F,"",0,1))</f>
        <v>6000</v>
      </c>
      <c r="G384" s="4" t="str">
        <f>IF($C384="","",_xlfn.XLOOKUP($C384,Order!$C:$C,Order!$G:$G,"",0,1))</f>
        <v>6063T5</v>
      </c>
      <c r="H384" s="4">
        <f>IF($C384="","",_xlfn.XLOOKUP($C384,Order!$C:$C,Order!$H:$H,"",0,1))</f>
        <v>0.129</v>
      </c>
      <c r="I384" s="36">
        <f>IF($C384="","",_xlfn.XLOOKUP($C384,Order!$C:$C,Order!$J:$J,"",0,1))</f>
        <v>0</v>
      </c>
      <c r="J384" s="4" t="str">
        <f>IF(C384="","",Order!$J$16)</f>
        <v>SILVER ANODIZED (FAYP01)</v>
      </c>
      <c r="K384" s="36">
        <f>IF($C384="","",_xlfn.XLOOKUP($C384,Order!$C:$C,Order!$P:$P,"",0,1))</f>
        <v>0</v>
      </c>
      <c r="L384" s="4">
        <f t="shared" si="5"/>
        <v>0</v>
      </c>
    </row>
    <row r="385" spans="2:12" ht="23.25" hidden="1" customHeight="1" x14ac:dyDescent="0.25">
      <c r="B385" s="4">
        <v>380</v>
      </c>
      <c r="C385" s="36" t="str">
        <f>IF(Order!$C$51="","",Order!$C$51)</f>
        <v>PU639A</v>
      </c>
      <c r="D385" s="36" t="str">
        <f>IF($C385="","",_xlfn.XLOOKUP($C385,Order!$C:$C,Order!$D:$D,"",0,1))</f>
        <v>PU639A</v>
      </c>
      <c r="E385" s="4" t="e" vm="258">
        <f>IF($C385="","",_xlfn.XLOOKUP($C385,Order!$C:$C,Order!$E:$E,"",0,1))</f>
        <v>#VALUE!</v>
      </c>
      <c r="F385" s="4">
        <f>IF($C385="","",_xlfn.XLOOKUP($C385,Order!$C:$C,Order!$F:$F,"",0,1))</f>
        <v>6000</v>
      </c>
      <c r="G385" s="4" t="str">
        <f>IF($C385="","",_xlfn.XLOOKUP($C385,Order!$C:$C,Order!$G:$G,"",0,1))</f>
        <v>6063T5</v>
      </c>
      <c r="H385" s="4">
        <f>IF($C385="","",_xlfn.XLOOKUP($C385,Order!$C:$C,Order!$H:$H,"",0,1))</f>
        <v>0.254</v>
      </c>
      <c r="I385" s="36">
        <f>IF($C385="","",_xlfn.XLOOKUP($C385,Order!$C:$C,Order!$J:$J,"",0,1))</f>
        <v>0</v>
      </c>
      <c r="J385" s="4" t="str">
        <f>IF(C385="","",Order!$J$16)</f>
        <v>SILVER ANODIZED (FAYP01)</v>
      </c>
      <c r="K385" s="36">
        <f>IF($C385="","",_xlfn.XLOOKUP($C385,Order!$C:$C,Order!$P:$P,"",0,1))</f>
        <v>0</v>
      </c>
      <c r="L385" s="4">
        <f t="shared" si="5"/>
        <v>0</v>
      </c>
    </row>
    <row r="386" spans="2:12" ht="23.25" hidden="1" customHeight="1" x14ac:dyDescent="0.25">
      <c r="B386" s="4">
        <v>381</v>
      </c>
      <c r="C386" s="36" t="str">
        <f>IF(Order!$C$52="","",Order!$C$52)</f>
        <v>PU639</v>
      </c>
      <c r="D386" s="36" t="str">
        <f>IF($C386="","",_xlfn.XLOOKUP($C386,Order!$C:$C,Order!$D:$D,"",0,1))</f>
        <v>PU639</v>
      </c>
      <c r="E386" s="4" t="e" vm="258">
        <f>IF($C386="","",_xlfn.XLOOKUP($C386,Order!$C:$C,Order!$E:$E,"",0,1))</f>
        <v>#VALUE!</v>
      </c>
      <c r="F386" s="4">
        <f>IF($C386="","",_xlfn.XLOOKUP($C386,Order!$C:$C,Order!$F:$F,"",0,1))</f>
        <v>6000</v>
      </c>
      <c r="G386" s="4" t="str">
        <f>IF($C386="","",_xlfn.XLOOKUP($C386,Order!$C:$C,Order!$G:$G,"",0,1))</f>
        <v>6063T5</v>
      </c>
      <c r="H386" s="4">
        <f>IF($C386="","",_xlfn.XLOOKUP($C386,Order!$C:$C,Order!$H:$H,"",0,1))</f>
        <v>0.34499999999999997</v>
      </c>
      <c r="I386" s="36">
        <f>IF($C386="","",_xlfn.XLOOKUP($C386,Order!$C:$C,Order!$J:$J,"",0,1))</f>
        <v>0</v>
      </c>
      <c r="J386" s="4" t="str">
        <f>IF(C386="","",Order!$J$16)</f>
        <v>SILVER ANODIZED (FAYP01)</v>
      </c>
      <c r="K386" s="36">
        <f>IF($C386="","",_xlfn.XLOOKUP($C386,Order!$C:$C,Order!$P:$P,"",0,1))</f>
        <v>0</v>
      </c>
      <c r="L386" s="4">
        <f t="shared" si="5"/>
        <v>0</v>
      </c>
    </row>
    <row r="387" spans="2:12" ht="23.25" hidden="1" customHeight="1" x14ac:dyDescent="0.25">
      <c r="B387" s="4">
        <v>382</v>
      </c>
      <c r="C387" s="36" t="str">
        <f>IF(Order!$C$53="","",Order!$C$53)</f>
        <v>L1/2 (Angle L 1/2" with 0.90 mm tickness)</v>
      </c>
      <c r="D387" s="36" t="str">
        <f>IF($C387="","",_xlfn.XLOOKUP($C387,Order!$C:$C,Order!$D:$D,"",0,1))</f>
        <v>L12</v>
      </c>
      <c r="E387" s="4" t="e" vm="259">
        <f>IF($C387="","",_xlfn.XLOOKUP($C387,Order!$C:$C,Order!$E:$E,"",0,1))</f>
        <v>#VALUE!</v>
      </c>
      <c r="F387" s="4">
        <f>IF($C387="","",_xlfn.XLOOKUP($C387,Order!$C:$C,Order!$F:$F,"",0,1))</f>
        <v>6000</v>
      </c>
      <c r="G387" s="4" t="str">
        <f>IF($C387="","",_xlfn.XLOOKUP($C387,Order!$C:$C,Order!$G:$G,"",0,1))</f>
        <v>6063T5</v>
      </c>
      <c r="H387" s="4">
        <f>IF($C387="","",_xlfn.XLOOKUP($C387,Order!$C:$C,Order!$H:$H,"",0,1))</f>
        <v>0.06</v>
      </c>
      <c r="I387" s="36">
        <f>IF($C387="","",_xlfn.XLOOKUP($C387,Order!$C:$C,Order!$J:$J,"",0,1))</f>
        <v>0</v>
      </c>
      <c r="J387" s="4" t="str">
        <f>IF(C387="","",Order!$J$16)</f>
        <v>SILVER ANODIZED (FAYP01)</v>
      </c>
      <c r="K387" s="36">
        <f>IF($C387="","",_xlfn.XLOOKUP($C387,Order!$C:$C,Order!$P:$P,"",0,1))</f>
        <v>0</v>
      </c>
      <c r="L387" s="4">
        <f t="shared" si="5"/>
        <v>0</v>
      </c>
    </row>
    <row r="388" spans="2:12" ht="23.25" hidden="1" customHeight="1" x14ac:dyDescent="0.25">
      <c r="B388" s="4">
        <v>383</v>
      </c>
      <c r="C388" s="36" t="str">
        <f>IF(Order!$C$54="","",Order!$C$54)</f>
        <v>L5/8 (Angle L 5/8" with 0.90 mm tickness)</v>
      </c>
      <c r="D388" s="36" t="str">
        <f>IF($C388="","",_xlfn.XLOOKUP($C388,Order!$C:$C,Order!$D:$D,"",0,1))</f>
        <v>L5-8</v>
      </c>
      <c r="E388" s="4" t="e" vm="259">
        <f>IF($C388="","",_xlfn.XLOOKUP($C388,Order!$C:$C,Order!$E:$E,"",0,1))</f>
        <v>#VALUE!</v>
      </c>
      <c r="F388" s="4">
        <f>IF($C388="","",_xlfn.XLOOKUP($C388,Order!$C:$C,Order!$F:$F,"",0,1))</f>
        <v>6000</v>
      </c>
      <c r="G388" s="4" t="str">
        <f>IF($C388="","",_xlfn.XLOOKUP($C388,Order!$C:$C,Order!$G:$G,"",0,1))</f>
        <v>6063T5</v>
      </c>
      <c r="H388" s="4">
        <f>IF($C388="","",_xlfn.XLOOKUP($C388,Order!$C:$C,Order!$H:$H,"",0,1))</f>
        <v>7.5999999999999998E-2</v>
      </c>
      <c r="I388" s="36">
        <f>IF($C388="","",_xlfn.XLOOKUP($C388,Order!$C:$C,Order!$J:$J,"",0,1))</f>
        <v>0</v>
      </c>
      <c r="J388" s="4" t="str">
        <f>IF(C388="","",Order!$J$16)</f>
        <v>SILVER ANODIZED (FAYP01)</v>
      </c>
      <c r="K388" s="36">
        <f>IF($C388="","",_xlfn.XLOOKUP($C388,Order!$C:$C,Order!$P:$P,"",0,1))</f>
        <v>0</v>
      </c>
      <c r="L388" s="4">
        <f t="shared" si="5"/>
        <v>0</v>
      </c>
    </row>
    <row r="389" spans="2:12" ht="23.25" customHeight="1" x14ac:dyDescent="0.25">
      <c r="B389" s="4">
        <v>384</v>
      </c>
      <c r="C389" s="36" t="str">
        <f>IF(Order!$C$55="","",Order!$C$55)</f>
        <v>L3/4 (Angle L 3/4" with 0.80 mm tickness)</v>
      </c>
      <c r="D389" s="36" t="str">
        <f>IF($C389="","",_xlfn.XLOOKUP($C389,Order!$C:$C,Order!$D:$D,"",0,1))</f>
        <v>L34</v>
      </c>
      <c r="E389" s="4" t="e" vm="259">
        <f>IF($C389="","",_xlfn.XLOOKUP($C389,Order!$C:$C,Order!$E:$E,"",0,1))</f>
        <v>#VALUE!</v>
      </c>
      <c r="F389" s="4">
        <f>IF($C389="","",_xlfn.XLOOKUP($C389,Order!$C:$C,Order!$F:$F,"",0,1))</f>
        <v>6000</v>
      </c>
      <c r="G389" s="4" t="str">
        <f>IF($C389="","",_xlfn.XLOOKUP($C389,Order!$C:$C,Order!$G:$G,"",0,1))</f>
        <v>6063T5</v>
      </c>
      <c r="H389" s="4">
        <f>IF($C389="","",_xlfn.XLOOKUP($C389,Order!$C:$C,Order!$H:$H,"",0,1))</f>
        <v>8.1000000000000003E-2</v>
      </c>
      <c r="I389" s="36">
        <f>IF($C389="","",_xlfn.XLOOKUP($C389,Order!$C:$C,Order!$J:$J,"",0,1))</f>
        <v>500</v>
      </c>
      <c r="J389" s="4" t="str">
        <f>IF(C389="","",Order!$J$16)</f>
        <v>SILVER ANODIZED (FAYP01)</v>
      </c>
      <c r="K389" s="36">
        <f>IF($C389="","",_xlfn.XLOOKUP($C389,Order!$C:$C,Order!$P:$P,"",0,1))</f>
        <v>0</v>
      </c>
      <c r="L389" s="4">
        <f t="shared" si="5"/>
        <v>243</v>
      </c>
    </row>
    <row r="390" spans="2:12" ht="23.25" hidden="1" customHeight="1" x14ac:dyDescent="0.25">
      <c r="B390" s="4">
        <v>385</v>
      </c>
      <c r="C390" s="36" t="str">
        <f>IF(Order!$C$56="","",Order!$C$56)</f>
        <v>L1 (Angle L 1" with 0.90 mm thickness)</v>
      </c>
      <c r="D390" s="36" t="str">
        <f>IF($C390="","",_xlfn.XLOOKUP($C390,Order!$C:$C,Order!$D:$D,"",0,1))</f>
        <v>L1</v>
      </c>
      <c r="E390" s="4" t="e" vm="259">
        <f>IF($C390="","",_xlfn.XLOOKUP($C390,Order!$C:$C,Order!$E:$E,"",0,1))</f>
        <v>#VALUE!</v>
      </c>
      <c r="F390" s="4">
        <f>IF($C390="","",_xlfn.XLOOKUP($C390,Order!$C:$C,Order!$F:$F,"",0,1))</f>
        <v>6000</v>
      </c>
      <c r="G390" s="4" t="str">
        <f>IF($C390="","",_xlfn.XLOOKUP($C390,Order!$C:$C,Order!$G:$G,"",0,1))</f>
        <v>6063T5</v>
      </c>
      <c r="H390" s="4">
        <f>IF($C390="","",_xlfn.XLOOKUP($C390,Order!$C:$C,Order!$H:$H,"",0,1))</f>
        <v>0.122</v>
      </c>
      <c r="I390" s="36">
        <f>IF($C390="","",_xlfn.XLOOKUP($C390,Order!$C:$C,Order!$J:$J,"",0,1))</f>
        <v>0</v>
      </c>
      <c r="J390" s="4" t="str">
        <f>IF(C390="","",Order!$J$16)</f>
        <v>SILVER ANODIZED (FAYP01)</v>
      </c>
      <c r="K390" s="36">
        <f>IF($C390="","",_xlfn.XLOOKUP($C390,Order!$C:$C,Order!$P:$P,"",0,1))</f>
        <v>0</v>
      </c>
      <c r="L390" s="4">
        <f t="shared" si="5"/>
        <v>0</v>
      </c>
    </row>
    <row r="391" spans="2:12" ht="23.25" hidden="1" customHeight="1" x14ac:dyDescent="0.25">
      <c r="B391" s="4">
        <v>386</v>
      </c>
      <c r="C391" s="36" t="str">
        <f>IF(Order!$C$57="","",Order!$C$57)</f>
        <v>L1X1/16 (Angle L1 x 1/16")</v>
      </c>
      <c r="D391" s="36" t="str">
        <f>IF($C391="","",_xlfn.XLOOKUP($C391,Order!$C:$C,Order!$D:$D,"",0,1))</f>
        <v>L1X1/16</v>
      </c>
      <c r="E391" s="4" t="e" vm="259">
        <f>IF($C391="","",_xlfn.XLOOKUP($C391,Order!$C:$C,Order!$E:$E,"",0,1))</f>
        <v>#VALUE!</v>
      </c>
      <c r="F391" s="4">
        <f>IF($C391="","",_xlfn.XLOOKUP($C391,Order!$C:$C,Order!$F:$F,"",0,1))</f>
        <v>6000</v>
      </c>
      <c r="G391" s="4" t="str">
        <f>IF($C391="","",_xlfn.XLOOKUP($C391,Order!$C:$C,Order!$G:$G,"",0,1))</f>
        <v>6063T5</v>
      </c>
      <c r="H391" s="4">
        <f>IF($C391="","",_xlfn.XLOOKUP($C391,Order!$C:$C,Order!$H:$H,"",0,1))</f>
        <v>0.21299999999999999</v>
      </c>
      <c r="I391" s="36">
        <f>IF($C391="","",_xlfn.XLOOKUP($C391,Order!$C:$C,Order!$J:$J,"",0,1))</f>
        <v>0</v>
      </c>
      <c r="J391" s="4" t="str">
        <f>IF(C391="","",Order!$J$16)</f>
        <v>SILVER ANODIZED (FAYP01)</v>
      </c>
      <c r="K391" s="36">
        <f>IF($C391="","",_xlfn.XLOOKUP($C391,Order!$C:$C,Order!$P:$P,"",0,1))</f>
        <v>0</v>
      </c>
      <c r="L391" s="4">
        <f t="shared" ref="L391:L454" si="6">IF(C391="","",F391/1000*H391*I391)</f>
        <v>0</v>
      </c>
    </row>
    <row r="392" spans="2:12" ht="23.25" hidden="1" customHeight="1" x14ac:dyDescent="0.25">
      <c r="B392" s="4">
        <v>387</v>
      </c>
      <c r="C392" s="36" t="str">
        <f>IF(Order!$C$58="","",Order!$C$58)</f>
        <v>L1X1/8 (Angle L1 x 1/8" )</v>
      </c>
      <c r="D392" s="36" t="str">
        <f>IF($C392="","",_xlfn.XLOOKUP($C392,Order!$C:$C,Order!$D:$D,"",0,1))</f>
        <v>L1X1/8</v>
      </c>
      <c r="E392" s="4" t="e" vm="259">
        <f>IF($C392="","",_xlfn.XLOOKUP($C392,Order!$C:$C,Order!$E:$E,"",0,1))</f>
        <v>#VALUE!</v>
      </c>
      <c r="F392" s="4">
        <f>IF($C392="","",_xlfn.XLOOKUP($C392,Order!$C:$C,Order!$F:$F,"",0,1))</f>
        <v>6000</v>
      </c>
      <c r="G392" s="4" t="str">
        <f>IF($C392="","",_xlfn.XLOOKUP($C392,Order!$C:$C,Order!$G:$G,"",0,1))</f>
        <v>6063T5</v>
      </c>
      <c r="H392" s="4">
        <f>IF($C392="","",_xlfn.XLOOKUP($C392,Order!$C:$C,Order!$H:$H,"",0,1))</f>
        <v>0.41299999999999998</v>
      </c>
      <c r="I392" s="36">
        <f>IF($C392="","",_xlfn.XLOOKUP($C392,Order!$C:$C,Order!$J:$J,"",0,1))</f>
        <v>0</v>
      </c>
      <c r="J392" s="4" t="str">
        <f>IF(C392="","",Order!$J$16)</f>
        <v>SILVER ANODIZED (FAYP01)</v>
      </c>
      <c r="K392" s="36">
        <f>IF($C392="","",_xlfn.XLOOKUP($C392,Order!$C:$C,Order!$P:$P,"",0,1))</f>
        <v>0</v>
      </c>
      <c r="L392" s="4">
        <f t="shared" si="6"/>
        <v>0</v>
      </c>
    </row>
    <row r="393" spans="2:12" ht="23.25" hidden="1" customHeight="1" x14ac:dyDescent="0.25">
      <c r="B393" s="4">
        <v>388</v>
      </c>
      <c r="C393" s="36" t="str">
        <f>IF(Order!$C$59="","",Order!$C$59)</f>
        <v xml:space="preserve">L1.1/2X1/16 (Angle L 1.1/2x1/16" )　 </v>
      </c>
      <c r="D393" s="36" t="str">
        <f>IF($C393="","",_xlfn.XLOOKUP($C393,Order!$C:$C,Order!$D:$D,"",0,1))</f>
        <v>L1.1/2X1/16</v>
      </c>
      <c r="E393" s="4" t="e" vm="259">
        <f>IF($C393="","",_xlfn.XLOOKUP($C393,Order!$C:$C,Order!$E:$E,"",0,1))</f>
        <v>#VALUE!</v>
      </c>
      <c r="F393" s="4">
        <f>IF($C393="","",_xlfn.XLOOKUP($C393,Order!$C:$C,Order!$F:$F,"",0,1))</f>
        <v>6000</v>
      </c>
      <c r="G393" s="4" t="str">
        <f>IF($C393="","",_xlfn.XLOOKUP($C393,Order!$C:$C,Order!$G:$G,"",0,1))</f>
        <v>6063T5</v>
      </c>
      <c r="H393" s="4">
        <f>IF($C393="","",_xlfn.XLOOKUP($C393,Order!$C:$C,Order!$H:$H,"",0,1))</f>
        <v>0.32400000000000001</v>
      </c>
      <c r="I393" s="36">
        <f>IF($C393="","",_xlfn.XLOOKUP($C393,Order!$C:$C,Order!$J:$J,"",0,1))</f>
        <v>0</v>
      </c>
      <c r="J393" s="4" t="str">
        <f>IF(C393="","",Order!$J$16)</f>
        <v>SILVER ANODIZED (FAYP01)</v>
      </c>
      <c r="K393" s="36">
        <f>IF($C393="","",_xlfn.XLOOKUP($C393,Order!$C:$C,Order!$P:$P,"",0,1))</f>
        <v>0</v>
      </c>
      <c r="L393" s="4">
        <f t="shared" si="6"/>
        <v>0</v>
      </c>
    </row>
    <row r="394" spans="2:12" ht="23.25" hidden="1" customHeight="1" x14ac:dyDescent="0.25">
      <c r="B394" s="4">
        <v>389</v>
      </c>
      <c r="C394" s="36" t="str">
        <f>IF(Order!$C$60="","",Order!$C$60)</f>
        <v xml:space="preserve">L1.1/2X1/8 (Angle L 1.1/2x1/8") 　 </v>
      </c>
      <c r="D394" s="36" t="str">
        <f>IF($C394="","",_xlfn.XLOOKUP($C394,Order!$C:$C,Order!$D:$D,"",0,1))</f>
        <v>L1.1/2X1/8</v>
      </c>
      <c r="E394" s="4" t="e" vm="259">
        <f>IF($C394="","",_xlfn.XLOOKUP($C394,Order!$C:$C,Order!$E:$E,"",0,1))</f>
        <v>#VALUE!</v>
      </c>
      <c r="F394" s="4">
        <f>IF($C394="","",_xlfn.XLOOKUP($C394,Order!$C:$C,Order!$F:$F,"",0,1))</f>
        <v>6000</v>
      </c>
      <c r="G394" s="4" t="str">
        <f>IF($C394="","",_xlfn.XLOOKUP($C394,Order!$C:$C,Order!$G:$G,"",0,1))</f>
        <v>6063T5</v>
      </c>
      <c r="H394" s="4">
        <f>IF($C394="","",_xlfn.XLOOKUP($C394,Order!$C:$C,Order!$H:$H,"",0,1))</f>
        <v>0.63400000000000001</v>
      </c>
      <c r="I394" s="36">
        <f>IF($C394="","",_xlfn.XLOOKUP($C394,Order!$C:$C,Order!$J:$J,"",0,1))</f>
        <v>0</v>
      </c>
      <c r="J394" s="4" t="str">
        <f>IF(C394="","",Order!$J$16)</f>
        <v>SILVER ANODIZED (FAYP01)</v>
      </c>
      <c r="K394" s="36">
        <f>IF($C394="","",_xlfn.XLOOKUP($C394,Order!$C:$C,Order!$P:$P,"",0,1))</f>
        <v>0</v>
      </c>
      <c r="L394" s="4">
        <f t="shared" si="6"/>
        <v>0</v>
      </c>
    </row>
    <row r="395" spans="2:12" ht="23.25" hidden="1" customHeight="1" x14ac:dyDescent="0.25">
      <c r="B395" s="4">
        <v>390</v>
      </c>
      <c r="C395" s="36" t="str">
        <f>IF(Order!$C$61="","",Order!$C$61)</f>
        <v>L2X1/16 (Angle L 2 x 1/16")</v>
      </c>
      <c r="D395" s="36" t="str">
        <f>IF($C395="","",_xlfn.XLOOKUP($C395,Order!$C:$C,Order!$D:$D,"",0,1))</f>
        <v>L2X1/16</v>
      </c>
      <c r="E395" s="4" t="e" vm="259">
        <f>IF($C395="","",_xlfn.XLOOKUP($C395,Order!$C:$C,Order!$E:$E,"",0,1))</f>
        <v>#VALUE!</v>
      </c>
      <c r="F395" s="4">
        <f>IF($C395="","",_xlfn.XLOOKUP($C395,Order!$C:$C,Order!$F:$F,"",0,1))</f>
        <v>6000</v>
      </c>
      <c r="G395" s="4" t="str">
        <f>IF($C395="","",_xlfn.XLOOKUP($C395,Order!$C:$C,Order!$G:$G,"",0,1))</f>
        <v>6063T5</v>
      </c>
      <c r="H395" s="4">
        <f>IF($C395="","",_xlfn.XLOOKUP($C395,Order!$C:$C,Order!$H:$H,"",0,1))</f>
        <v>0.434</v>
      </c>
      <c r="I395" s="36">
        <f>IF($C395="","",_xlfn.XLOOKUP($C395,Order!$C:$C,Order!$J:$J,"",0,1))</f>
        <v>0</v>
      </c>
      <c r="J395" s="4" t="str">
        <f>IF(C395="","",Order!$J$16)</f>
        <v>SILVER ANODIZED (FAYP01)</v>
      </c>
      <c r="K395" s="36">
        <f>IF($C395="","",_xlfn.XLOOKUP($C395,Order!$C:$C,Order!$P:$P,"",0,1))</f>
        <v>0</v>
      </c>
      <c r="L395" s="4">
        <f t="shared" si="6"/>
        <v>0</v>
      </c>
    </row>
    <row r="396" spans="2:12" ht="23.25" hidden="1" customHeight="1" x14ac:dyDescent="0.25">
      <c r="B396" s="4">
        <v>391</v>
      </c>
      <c r="C396" s="36" t="str">
        <f>IF(Order!$C$62="","",Order!$C$62)</f>
        <v>L2 x 1/8  (Angle L 2 x 1/8")</v>
      </c>
      <c r="D396" s="36" t="str">
        <f>IF($C396="","",_xlfn.XLOOKUP($C396,Order!$C:$C,Order!$D:$D,"",0,1))</f>
        <v>L2x1/8</v>
      </c>
      <c r="E396" s="4" t="e" vm="259">
        <f>IF($C396="","",_xlfn.XLOOKUP($C396,Order!$C:$C,Order!$E:$E,"",0,1))</f>
        <v>#VALUE!</v>
      </c>
      <c r="F396" s="4">
        <f>IF($C396="","",_xlfn.XLOOKUP($C396,Order!$C:$C,Order!$F:$F,"",0,1))</f>
        <v>6000</v>
      </c>
      <c r="G396" s="4" t="str">
        <f>IF($C396="","",_xlfn.XLOOKUP($C396,Order!$C:$C,Order!$G:$G,"",0,1))</f>
        <v>6063T5</v>
      </c>
      <c r="H396" s="4">
        <f>IF($C396="","",_xlfn.XLOOKUP($C396,Order!$C:$C,Order!$H:$H,"",0,1))</f>
        <v>0.85399999999999998</v>
      </c>
      <c r="I396" s="36">
        <f>IF($C396="","",_xlfn.XLOOKUP($C396,Order!$C:$C,Order!$J:$J,"",0,1))</f>
        <v>0</v>
      </c>
      <c r="J396" s="4" t="str">
        <f>IF(C396="","",Order!$J$16)</f>
        <v>SILVER ANODIZED (FAYP01)</v>
      </c>
      <c r="K396" s="36">
        <f>IF($C396="","",_xlfn.XLOOKUP($C396,Order!$C:$C,Order!$P:$P,"",0,1))</f>
        <v>0</v>
      </c>
      <c r="L396" s="4">
        <f t="shared" si="6"/>
        <v>0</v>
      </c>
    </row>
    <row r="397" spans="2:12" ht="23.25" hidden="1" customHeight="1" x14ac:dyDescent="0.25">
      <c r="B397" s="4">
        <v>392</v>
      </c>
      <c r="C397" s="36" t="str">
        <f>IF(Order!$C$63="","",Order!$C$63)</f>
        <v>TRS3/16 (Round  solid 3/16")</v>
      </c>
      <c r="D397" s="36" t="str">
        <f>IF($C397="","",_xlfn.XLOOKUP($C397,Order!$C:$C,Order!$D:$D,"",0,1))</f>
        <v>TRS3/16</v>
      </c>
      <c r="E397" s="4" t="e" vm="260">
        <f>IF($C397="","",_xlfn.XLOOKUP($C397,Order!$C:$C,Order!$E:$E,"",0,1))</f>
        <v>#VALUE!</v>
      </c>
      <c r="F397" s="4">
        <f>IF($C397="","",_xlfn.XLOOKUP($C397,Order!$C:$C,Order!$F:$F,"",0,1))</f>
        <v>6000</v>
      </c>
      <c r="G397" s="4" t="str">
        <f>IF($C397="","",_xlfn.XLOOKUP($C397,Order!$C:$C,Order!$G:$G,"",0,1))</f>
        <v>6063T5</v>
      </c>
      <c r="H397" s="4">
        <f>IF($C397="","",_xlfn.XLOOKUP($C397,Order!$C:$C,Order!$H:$H,"",0,1))</f>
        <v>4.7E-2</v>
      </c>
      <c r="I397" s="36">
        <f>IF($C397="","",_xlfn.XLOOKUP($C397,Order!$C:$C,Order!$J:$J,"",0,1))</f>
        <v>0</v>
      </c>
      <c r="J397" s="4" t="str">
        <f>IF(C397="","",Order!$J$16)</f>
        <v>SILVER ANODIZED (FAYP01)</v>
      </c>
      <c r="K397" s="36">
        <f>IF($C397="","",_xlfn.XLOOKUP($C397,Order!$C:$C,Order!$P:$P,"",0,1))</f>
        <v>0</v>
      </c>
      <c r="L397" s="4">
        <f t="shared" si="6"/>
        <v>0</v>
      </c>
    </row>
    <row r="398" spans="2:12" ht="23.25" hidden="1" customHeight="1" x14ac:dyDescent="0.25">
      <c r="B398" s="4">
        <v>393</v>
      </c>
      <c r="C398" s="36" t="str">
        <f>IF(Order!$C$64="","",Order!$C$64)</f>
        <v>TRS1/4 (Round  solid 1/4")</v>
      </c>
      <c r="D398" s="36" t="str">
        <f>IF($C398="","",_xlfn.XLOOKUP($C398,Order!$C:$C,Order!$D:$D,"",0,1))</f>
        <v>TRS1/4</v>
      </c>
      <c r="E398" s="4" t="e" vm="260">
        <f>IF($C398="","",_xlfn.XLOOKUP($C398,Order!$C:$C,Order!$E:$E,"",0,1))</f>
        <v>#VALUE!</v>
      </c>
      <c r="F398" s="4">
        <f>IF($C398="","",_xlfn.XLOOKUP($C398,Order!$C:$C,Order!$F:$F,"",0,1))</f>
        <v>6000</v>
      </c>
      <c r="G398" s="4" t="str">
        <f>IF($C398="","",_xlfn.XLOOKUP($C398,Order!$C:$C,Order!$G:$G,"",0,1))</f>
        <v>6063T5</v>
      </c>
      <c r="H398" s="4">
        <f>IF($C398="","",_xlfn.XLOOKUP($C398,Order!$C:$C,Order!$H:$H,"",0,1))</f>
        <v>8.5999999999999993E-2</v>
      </c>
      <c r="I398" s="36">
        <f>IF($C398="","",_xlfn.XLOOKUP($C398,Order!$C:$C,Order!$J:$J,"",0,1))</f>
        <v>0</v>
      </c>
      <c r="J398" s="4" t="str">
        <f>IF(C398="","",Order!$J$16)</f>
        <v>SILVER ANODIZED (FAYP01)</v>
      </c>
      <c r="K398" s="36">
        <f>IF($C398="","",_xlfn.XLOOKUP($C398,Order!$C:$C,Order!$P:$P,"",0,1))</f>
        <v>0</v>
      </c>
      <c r="L398" s="4">
        <f t="shared" si="6"/>
        <v>0</v>
      </c>
    </row>
    <row r="399" spans="2:12" ht="23.25" hidden="1" customHeight="1" x14ac:dyDescent="0.25">
      <c r="B399" s="4">
        <v>394</v>
      </c>
      <c r="C399" s="36" t="str">
        <f>IF(Order!$C$65="","",Order!$C$65)</f>
        <v>TQS1/4 (Square solid 1/4")</v>
      </c>
      <c r="D399" s="36" t="str">
        <f>IF($C399="","",_xlfn.XLOOKUP($C399,Order!$C:$C,Order!$D:$D,"",0,1))</f>
        <v>TQS1/4</v>
      </c>
      <c r="E399" s="4" t="e" vm="261">
        <f>IF($C399="","",_xlfn.XLOOKUP($C399,Order!$C:$C,Order!$E:$E,"",0,1))</f>
        <v>#VALUE!</v>
      </c>
      <c r="F399" s="4">
        <f>IF($C399="","",_xlfn.XLOOKUP($C399,Order!$C:$C,Order!$F:$F,"",0,1))</f>
        <v>6000</v>
      </c>
      <c r="G399" s="4" t="str">
        <f>IF($C399="","",_xlfn.XLOOKUP($C399,Order!$C:$C,Order!$G:$G,"",0,1))</f>
        <v>6063T5</v>
      </c>
      <c r="H399" s="4">
        <f>IF($C399="","",_xlfn.XLOOKUP($C399,Order!$C:$C,Order!$H:$H,"",0,1))</f>
        <v>0.11</v>
      </c>
      <c r="I399" s="36">
        <f>IF($C399="","",_xlfn.XLOOKUP($C399,Order!$C:$C,Order!$J:$J,"",0,1))</f>
        <v>0</v>
      </c>
      <c r="J399" s="4" t="str">
        <f>IF(C399="","",Order!$J$16)</f>
        <v>SILVER ANODIZED (FAYP01)</v>
      </c>
      <c r="K399" s="36">
        <f>IF($C399="","",_xlfn.XLOOKUP($C399,Order!$C:$C,Order!$P:$P,"",0,1))</f>
        <v>0</v>
      </c>
      <c r="L399" s="4">
        <f t="shared" si="6"/>
        <v>0</v>
      </c>
    </row>
    <row r="400" spans="2:12" ht="23.25" hidden="1" customHeight="1" x14ac:dyDescent="0.25">
      <c r="B400" s="4">
        <v>395</v>
      </c>
      <c r="C400" s="36" t="str">
        <f>IF(Order!$C$66="","",Order!$C$66)</f>
        <v/>
      </c>
      <c r="D400" s="36" t="str">
        <f>IF($C400="","",_xlfn.XLOOKUP($C400,Order!$C:$C,Order!$D:$D,"",0,1))</f>
        <v/>
      </c>
      <c r="E400" s="4" t="str">
        <f>IF($C400="","",_xlfn.XLOOKUP($C400,Order!$C:$C,Order!$E:$E,"",0,1))</f>
        <v/>
      </c>
      <c r="F400" s="4" t="str">
        <f>IF($C400="","",_xlfn.XLOOKUP($C400,Order!$C:$C,Order!$F:$F,"",0,1))</f>
        <v/>
      </c>
      <c r="G400" s="4" t="str">
        <f>IF($C400="","",_xlfn.XLOOKUP($C400,Order!$C:$C,Order!$G:$G,"",0,1))</f>
        <v/>
      </c>
      <c r="H400" s="4" t="str">
        <f>IF($C400="","",_xlfn.XLOOKUP($C400,Order!$C:$C,Order!$H:$H,"",0,1))</f>
        <v/>
      </c>
      <c r="I400" s="36" t="str">
        <f>IF($C400="","",_xlfn.XLOOKUP($C400,Order!$C:$C,Order!$J:$J,"",0,1))</f>
        <v/>
      </c>
      <c r="J400" s="4" t="str">
        <f>IF(C400="","",Order!$J$16)</f>
        <v/>
      </c>
      <c r="K400" s="36" t="str">
        <f>IF($C400="","",_xlfn.XLOOKUP($C400,Order!$C:$C,Order!$P:$P,"",0,1))</f>
        <v/>
      </c>
      <c r="L400" s="4" t="str">
        <f t="shared" si="6"/>
        <v/>
      </c>
    </row>
    <row r="401" spans="2:12" ht="23.25" hidden="1" customHeight="1" x14ac:dyDescent="0.25">
      <c r="B401" s="4">
        <v>396</v>
      </c>
      <c r="C401" s="36" t="str">
        <f>IF(Order!$C$67="","",Order!$C$67)</f>
        <v/>
      </c>
      <c r="D401" s="36" t="str">
        <f>IF($C401="","",_xlfn.XLOOKUP($C401,Order!$C:$C,Order!$D:$D,"",0,1))</f>
        <v/>
      </c>
      <c r="E401" s="4" t="str">
        <f>IF($C401="","",_xlfn.XLOOKUP($C401,Order!$C:$C,Order!$E:$E,"",0,1))</f>
        <v/>
      </c>
      <c r="F401" s="4" t="str">
        <f>IF($C401="","",_xlfn.XLOOKUP($C401,Order!$C:$C,Order!$F:$F,"",0,1))</f>
        <v/>
      </c>
      <c r="G401" s="4" t="str">
        <f>IF($C401="","",_xlfn.XLOOKUP($C401,Order!$C:$C,Order!$G:$G,"",0,1))</f>
        <v/>
      </c>
      <c r="H401" s="4" t="str">
        <f>IF($C401="","",_xlfn.XLOOKUP($C401,Order!$C:$C,Order!$H:$H,"",0,1))</f>
        <v/>
      </c>
      <c r="I401" s="36" t="str">
        <f>IF($C401="","",_xlfn.XLOOKUP($C401,Order!$C:$C,Order!$J:$J,"",0,1))</f>
        <v/>
      </c>
      <c r="J401" s="4" t="str">
        <f>IF(C401="","",Order!$J$16)</f>
        <v/>
      </c>
      <c r="K401" s="36" t="str">
        <f>IF($C401="","",_xlfn.XLOOKUP($C401,Order!$C:$C,Order!$P:$P,"",0,1))</f>
        <v/>
      </c>
      <c r="L401" s="4" t="str">
        <f t="shared" si="6"/>
        <v/>
      </c>
    </row>
    <row r="402" spans="2:12" ht="23.25" hidden="1" customHeight="1" x14ac:dyDescent="0.25">
      <c r="B402" s="4">
        <v>397</v>
      </c>
      <c r="C402" s="36" t="str">
        <f>IF(Order!$C$68="","",Order!$C$68)</f>
        <v/>
      </c>
      <c r="D402" s="36" t="str">
        <f>IF($C402="","",_xlfn.XLOOKUP($C402,Order!$C:$C,Order!$D:$D,"",0,1))</f>
        <v/>
      </c>
      <c r="E402" s="4" t="str">
        <f>IF($C402="","",_xlfn.XLOOKUP($C402,Order!$C:$C,Order!$E:$E,"",0,1))</f>
        <v/>
      </c>
      <c r="F402" s="4" t="str">
        <f>IF($C402="","",_xlfn.XLOOKUP($C402,Order!$C:$C,Order!$F:$F,"",0,1))</f>
        <v/>
      </c>
      <c r="G402" s="4" t="str">
        <f>IF($C402="","",_xlfn.XLOOKUP($C402,Order!$C:$C,Order!$G:$G,"",0,1))</f>
        <v/>
      </c>
      <c r="H402" s="4" t="str">
        <f>IF($C402="","",_xlfn.XLOOKUP($C402,Order!$C:$C,Order!$H:$H,"",0,1))</f>
        <v/>
      </c>
      <c r="I402" s="36" t="str">
        <f>IF($C402="","",_xlfn.XLOOKUP($C402,Order!$C:$C,Order!$J:$J,"",0,1))</f>
        <v/>
      </c>
      <c r="J402" s="4" t="str">
        <f>IF(C402="","",Order!$J$16)</f>
        <v/>
      </c>
      <c r="K402" s="36" t="str">
        <f>IF($C402="","",_xlfn.XLOOKUP($C402,Order!$C:$C,Order!$P:$P,"",0,1))</f>
        <v/>
      </c>
      <c r="L402" s="4" t="str">
        <f t="shared" si="6"/>
        <v/>
      </c>
    </row>
    <row r="403" spans="2:12" ht="23.25" hidden="1" customHeight="1" x14ac:dyDescent="0.25">
      <c r="B403" s="4">
        <v>398</v>
      </c>
      <c r="C403" s="36" t="str">
        <f>IF(Order!$C$69="","",Order!$C$69)</f>
        <v/>
      </c>
      <c r="D403" s="36" t="str">
        <f>IF($C403="","",_xlfn.XLOOKUP($C403,Order!$C:$C,Order!$D:$D,"",0,1))</f>
        <v/>
      </c>
      <c r="E403" s="4" t="str">
        <f>IF($C403="","",_xlfn.XLOOKUP($C403,Order!$C:$C,Order!$E:$E,"",0,1))</f>
        <v/>
      </c>
      <c r="F403" s="4" t="str">
        <f>IF($C403="","",_xlfn.XLOOKUP($C403,Order!$C:$C,Order!$F:$F,"",0,1))</f>
        <v/>
      </c>
      <c r="G403" s="4" t="str">
        <f>IF($C403="","",_xlfn.XLOOKUP($C403,Order!$C:$C,Order!$G:$G,"",0,1))</f>
        <v/>
      </c>
      <c r="H403" s="4" t="str">
        <f>IF($C403="","",_xlfn.XLOOKUP($C403,Order!$C:$C,Order!$H:$H,"",0,1))</f>
        <v/>
      </c>
      <c r="I403" s="36" t="str">
        <f>IF($C403="","",_xlfn.XLOOKUP($C403,Order!$C:$C,Order!$J:$J,"",0,1))</f>
        <v/>
      </c>
      <c r="J403" s="4" t="str">
        <f>IF(C403="","",Order!$J$16)</f>
        <v/>
      </c>
      <c r="K403" s="36" t="str">
        <f>IF($C403="","",_xlfn.XLOOKUP($C403,Order!$C:$C,Order!$P:$P,"",0,1))</f>
        <v/>
      </c>
      <c r="L403" s="4" t="str">
        <f t="shared" si="6"/>
        <v/>
      </c>
    </row>
    <row r="404" spans="2:12" ht="23.25" hidden="1" customHeight="1" x14ac:dyDescent="0.25">
      <c r="B404" s="4">
        <v>399</v>
      </c>
      <c r="C404" s="36" t="str">
        <f>IF(Order!$C$70="","",Order!$C$70)</f>
        <v/>
      </c>
      <c r="D404" s="36" t="str">
        <f>IF($C404="","",_xlfn.XLOOKUP($C404,Order!$C:$C,Order!$D:$D,"",0,1))</f>
        <v/>
      </c>
      <c r="E404" s="4" t="str">
        <f>IF($C404="","",_xlfn.XLOOKUP($C404,Order!$C:$C,Order!$E:$E,"",0,1))</f>
        <v/>
      </c>
      <c r="F404" s="4" t="str">
        <f>IF($C404="","",_xlfn.XLOOKUP($C404,Order!$C:$C,Order!$F:$F,"",0,1))</f>
        <v/>
      </c>
      <c r="G404" s="4" t="str">
        <f>IF($C404="","",_xlfn.XLOOKUP($C404,Order!$C:$C,Order!$G:$G,"",0,1))</f>
        <v/>
      </c>
      <c r="H404" s="4" t="str">
        <f>IF($C404="","",_xlfn.XLOOKUP($C404,Order!$C:$C,Order!$H:$H,"",0,1))</f>
        <v/>
      </c>
      <c r="I404" s="36" t="str">
        <f>IF($C404="","",_xlfn.XLOOKUP($C404,Order!$C:$C,Order!$J:$J,"",0,1))</f>
        <v/>
      </c>
      <c r="J404" s="4" t="str">
        <f>IF(C404="","",Order!$J$16)</f>
        <v/>
      </c>
      <c r="K404" s="36" t="str">
        <f>IF($C404="","",_xlfn.XLOOKUP($C404,Order!$C:$C,Order!$P:$P,"",0,1))</f>
        <v/>
      </c>
      <c r="L404" s="4" t="str">
        <f t="shared" si="6"/>
        <v/>
      </c>
    </row>
    <row r="405" spans="2:12" ht="23.25" hidden="1" customHeight="1" x14ac:dyDescent="0.25">
      <c r="B405" s="4">
        <v>400</v>
      </c>
      <c r="C405" s="36" t="str">
        <f>IF(Order!$C$71="","",Order!$C$71)</f>
        <v/>
      </c>
      <c r="D405" s="36" t="str">
        <f>IF($C405="","",_xlfn.XLOOKUP($C405,Order!$C:$C,Order!$D:$D,"",0,1))</f>
        <v/>
      </c>
      <c r="E405" s="4" t="str">
        <f>IF($C405="","",_xlfn.XLOOKUP($C405,Order!$C:$C,Order!$E:$E,"",0,1))</f>
        <v/>
      </c>
      <c r="F405" s="4" t="str">
        <f>IF($C405="","",_xlfn.XLOOKUP($C405,Order!$C:$C,Order!$F:$F,"",0,1))</f>
        <v/>
      </c>
      <c r="G405" s="4" t="str">
        <f>IF($C405="","",_xlfn.XLOOKUP($C405,Order!$C:$C,Order!$G:$G,"",0,1))</f>
        <v/>
      </c>
      <c r="H405" s="4" t="str">
        <f>IF($C405="","",_xlfn.XLOOKUP($C405,Order!$C:$C,Order!$H:$H,"",0,1))</f>
        <v/>
      </c>
      <c r="I405" s="36" t="str">
        <f>IF($C405="","",_xlfn.XLOOKUP($C405,Order!$C:$C,Order!$J:$J,"",0,1))</f>
        <v/>
      </c>
      <c r="J405" s="4" t="str">
        <f>IF(C405="","",Order!$J$16)</f>
        <v/>
      </c>
      <c r="K405" s="36" t="str">
        <f>IF($C405="","",_xlfn.XLOOKUP($C405,Order!$C:$C,Order!$P:$P,"",0,1))</f>
        <v/>
      </c>
      <c r="L405" s="4" t="str">
        <f t="shared" si="6"/>
        <v/>
      </c>
    </row>
    <row r="406" spans="2:12" ht="23.25" hidden="1" customHeight="1" x14ac:dyDescent="0.25">
      <c r="B406" s="4">
        <v>401</v>
      </c>
      <c r="C406" s="36" t="str">
        <f>IF(Order!$C$72="","",Order!$C$72)</f>
        <v/>
      </c>
      <c r="D406" s="36" t="str">
        <f>IF($C406="","",_xlfn.XLOOKUP($C406,Order!$C:$C,Order!$D:$D,"",0,1))</f>
        <v/>
      </c>
      <c r="E406" s="4" t="str">
        <f>IF($C406="","",_xlfn.XLOOKUP($C406,Order!$C:$C,Order!$E:$E,"",0,1))</f>
        <v/>
      </c>
      <c r="F406" s="4" t="str">
        <f>IF($C406="","",_xlfn.XLOOKUP($C406,Order!$C:$C,Order!$F:$F,"",0,1))</f>
        <v/>
      </c>
      <c r="G406" s="4" t="str">
        <f>IF($C406="","",_xlfn.XLOOKUP($C406,Order!$C:$C,Order!$G:$G,"",0,1))</f>
        <v/>
      </c>
      <c r="H406" s="4" t="str">
        <f>IF($C406="","",_xlfn.XLOOKUP($C406,Order!$C:$C,Order!$H:$H,"",0,1))</f>
        <v/>
      </c>
      <c r="I406" s="36" t="str">
        <f>IF($C406="","",_xlfn.XLOOKUP($C406,Order!$C:$C,Order!$J:$J,"",0,1))</f>
        <v/>
      </c>
      <c r="J406" s="4" t="str">
        <f>IF(C406="","",Order!$J$16)</f>
        <v/>
      </c>
      <c r="K406" s="36" t="str">
        <f>IF($C406="","",_xlfn.XLOOKUP($C406,Order!$C:$C,Order!$P:$P,"",0,1))</f>
        <v/>
      </c>
      <c r="L406" s="4" t="str">
        <f t="shared" si="6"/>
        <v/>
      </c>
    </row>
    <row r="407" spans="2:12" ht="23.25" hidden="1" customHeight="1" x14ac:dyDescent="0.25">
      <c r="B407" s="4">
        <v>402</v>
      </c>
      <c r="C407" s="36" t="str">
        <f>IF(Order!$C$73="","",Order!$C$73)</f>
        <v/>
      </c>
      <c r="D407" s="36" t="str">
        <f>IF($C407="","",_xlfn.XLOOKUP($C407,Order!$C:$C,Order!$D:$D,"",0,1))</f>
        <v/>
      </c>
      <c r="E407" s="4" t="str">
        <f>IF($C407="","",_xlfn.XLOOKUP($C407,Order!$C:$C,Order!$E:$E,"",0,1))</f>
        <v/>
      </c>
      <c r="F407" s="4" t="str">
        <f>IF($C407="","",_xlfn.XLOOKUP($C407,Order!$C:$C,Order!$F:$F,"",0,1))</f>
        <v/>
      </c>
      <c r="G407" s="4" t="str">
        <f>IF($C407="","",_xlfn.XLOOKUP($C407,Order!$C:$C,Order!$G:$G,"",0,1))</f>
        <v/>
      </c>
      <c r="H407" s="4" t="str">
        <f>IF($C407="","",_xlfn.XLOOKUP($C407,Order!$C:$C,Order!$H:$H,"",0,1))</f>
        <v/>
      </c>
      <c r="I407" s="36" t="str">
        <f>IF($C407="","",_xlfn.XLOOKUP($C407,Order!$C:$C,Order!$J:$J,"",0,1))</f>
        <v/>
      </c>
      <c r="J407" s="4" t="str">
        <f>IF(C407="","",Order!$J$16)</f>
        <v/>
      </c>
      <c r="K407" s="36" t="str">
        <f>IF($C407="","",_xlfn.XLOOKUP($C407,Order!$C:$C,Order!$P:$P,"",0,1))</f>
        <v/>
      </c>
      <c r="L407" s="4" t="str">
        <f t="shared" si="6"/>
        <v/>
      </c>
    </row>
    <row r="408" spans="2:12" ht="23.25" hidden="1" customHeight="1" x14ac:dyDescent="0.25">
      <c r="B408" s="4">
        <v>403</v>
      </c>
      <c r="C408" s="36" t="str">
        <f>IF(Order!$C$74="","",Order!$C$74)</f>
        <v>CM200</v>
      </c>
      <c r="D408" s="36" t="str">
        <f>IF($C408="","",_xlfn.XLOOKUP($C408,Order!$C:$C,Order!$D:$D,"",0,1))</f>
        <v>CM200</v>
      </c>
      <c r="E408" s="4" t="e" vm="262">
        <f>IF($C408="","",_xlfn.XLOOKUP($C408,Order!$C:$C,Order!$E:$E,"",0,1))</f>
        <v>#VALUE!</v>
      </c>
      <c r="F408" s="4">
        <f>IF($C408="","",_xlfn.XLOOKUP($C408,Order!$C:$C,Order!$F:$F,"",0,1))</f>
        <v>6000</v>
      </c>
      <c r="G408" s="4" t="str">
        <f>IF($C408="","",_xlfn.XLOOKUP($C408,Order!$C:$C,Order!$G:$G,"",0,1))</f>
        <v>6063T5</v>
      </c>
      <c r="H408" s="4">
        <f>IF($C408="","",_xlfn.XLOOKUP($C408,Order!$C:$C,Order!$H:$H,"",0,1))</f>
        <v>0.128</v>
      </c>
      <c r="I408" s="36">
        <f>IF($C408="","",_xlfn.XLOOKUP($C408,Order!$C:$C,Order!$J:$J,"",0,1))</f>
        <v>0</v>
      </c>
      <c r="J408" s="4" t="str">
        <f>IF(C408="","",Order!$J$16)</f>
        <v>SILVER ANODIZED (FAYP01)</v>
      </c>
      <c r="K408" s="36">
        <f>IF($C408="","",_xlfn.XLOOKUP($C408,Order!$C:$C,Order!$P:$P,"",0,1))</f>
        <v>0</v>
      </c>
      <c r="L408" s="4">
        <f t="shared" si="6"/>
        <v>0</v>
      </c>
    </row>
    <row r="409" spans="2:12" ht="23.25" hidden="1" customHeight="1" x14ac:dyDescent="0.25">
      <c r="B409" s="4">
        <v>404</v>
      </c>
      <c r="C409" s="36" t="str">
        <f>IF(Order!$C$75="","",Order!$C$75)</f>
        <v>CL006</v>
      </c>
      <c r="D409" s="36" t="str">
        <f>IF($C409="","",_xlfn.XLOOKUP($C409,Order!$C:$C,Order!$D:$D,"",0,1))</f>
        <v>CL006</v>
      </c>
      <c r="E409" s="4" t="e" vm="263">
        <f>IF($C409="","",_xlfn.XLOOKUP($C409,Order!$C:$C,Order!$E:$E,"",0,1))</f>
        <v>#VALUE!</v>
      </c>
      <c r="F409" s="4">
        <f>IF($C409="","",_xlfn.XLOOKUP($C409,Order!$C:$C,Order!$F:$F,"",0,1))</f>
        <v>6000</v>
      </c>
      <c r="G409" s="4" t="str">
        <f>IF($C409="","",_xlfn.XLOOKUP($C409,Order!$C:$C,Order!$G:$G,"",0,1))</f>
        <v>6063T5</v>
      </c>
      <c r="H409" s="4">
        <f>IF($C409="","",_xlfn.XLOOKUP($C409,Order!$C:$C,Order!$H:$H,"",0,1))</f>
        <v>1.115</v>
      </c>
      <c r="I409" s="36">
        <f>IF($C409="","",_xlfn.XLOOKUP($C409,Order!$C:$C,Order!$J:$J,"",0,1))</f>
        <v>0</v>
      </c>
      <c r="J409" s="4" t="str">
        <f>IF(C409="","",Order!$J$16)</f>
        <v>SILVER ANODIZED (FAYP01)</v>
      </c>
      <c r="K409" s="36">
        <f>IF($C409="","",_xlfn.XLOOKUP($C409,Order!$C:$C,Order!$P:$P,"",0,1))</f>
        <v>0</v>
      </c>
      <c r="L409" s="4">
        <f t="shared" si="6"/>
        <v>0</v>
      </c>
    </row>
    <row r="410" spans="2:12" ht="23.25" hidden="1" customHeight="1" x14ac:dyDescent="0.25">
      <c r="B410" s="4">
        <v>405</v>
      </c>
      <c r="C410" s="36" t="str">
        <f>IF(Order!$C$76="","",Order!$C$76)</f>
        <v>CL011</v>
      </c>
      <c r="D410" s="36" t="str">
        <f>IF($C410="","",_xlfn.XLOOKUP($C410,Order!$C:$C,Order!$D:$D,"",0,1))</f>
        <v>CL011</v>
      </c>
      <c r="E410" s="4" t="e" vm="264">
        <f>IF($C410="","",_xlfn.XLOOKUP($C410,Order!$C:$C,Order!$E:$E,"",0,1))</f>
        <v>#VALUE!</v>
      </c>
      <c r="F410" s="4">
        <f>IF($C410="","",_xlfn.XLOOKUP($C410,Order!$C:$C,Order!$F:$F,"",0,1))</f>
        <v>6000</v>
      </c>
      <c r="G410" s="4" t="str">
        <f>IF($C410="","",_xlfn.XLOOKUP($C410,Order!$C:$C,Order!$G:$G,"",0,1))</f>
        <v>6063T5</v>
      </c>
      <c r="H410" s="4">
        <f>IF($C410="","",_xlfn.XLOOKUP($C410,Order!$C:$C,Order!$H:$H,"",0,1))</f>
        <v>0.311</v>
      </c>
      <c r="I410" s="36">
        <f>IF($C410="","",_xlfn.XLOOKUP($C410,Order!$C:$C,Order!$J:$J,"",0,1))</f>
        <v>0</v>
      </c>
      <c r="J410" s="4" t="str">
        <f>IF(C410="","",Order!$J$16)</f>
        <v>SILVER ANODIZED (FAYP01)</v>
      </c>
      <c r="K410" s="36">
        <f>IF($C410="","",_xlfn.XLOOKUP($C410,Order!$C:$C,Order!$P:$P,"",0,1))</f>
        <v>0</v>
      </c>
      <c r="L410" s="4">
        <f t="shared" si="6"/>
        <v>0</v>
      </c>
    </row>
    <row r="411" spans="2:12" ht="23.25" hidden="1" customHeight="1" x14ac:dyDescent="0.25">
      <c r="B411" s="4">
        <v>406</v>
      </c>
      <c r="C411" s="36" t="str">
        <f>IF(Order!$C$77="","",Order!$C$77)</f>
        <v>BX810</v>
      </c>
      <c r="D411" s="36" t="str">
        <f>IF($C411="","",_xlfn.XLOOKUP($C411,Order!$C:$C,Order!$D:$D,"",0,1))</f>
        <v>BX810</v>
      </c>
      <c r="E411" s="4" t="e" vm="265">
        <f>IF($C411="","",_xlfn.XLOOKUP($C411,Order!$C:$C,Order!$E:$E,"",0,1))</f>
        <v>#VALUE!</v>
      </c>
      <c r="F411" s="4">
        <f>IF($C411="","",_xlfn.XLOOKUP($C411,Order!$C:$C,Order!$F:$F,"",0,1))</f>
        <v>6000</v>
      </c>
      <c r="G411" s="4" t="str">
        <f>IF($C411="","",_xlfn.XLOOKUP($C411,Order!$C:$C,Order!$G:$G,"",0,1))</f>
        <v>6063T5</v>
      </c>
      <c r="H411" s="4">
        <f>IF($C411="","",_xlfn.XLOOKUP($C411,Order!$C:$C,Order!$H:$H,"",0,1))</f>
        <v>0.53600000000000003</v>
      </c>
      <c r="I411" s="36">
        <f>IF($C411="","",_xlfn.XLOOKUP($C411,Order!$C:$C,Order!$J:$J,"",0,1))</f>
        <v>0</v>
      </c>
      <c r="J411" s="4" t="str">
        <f>IF(C411="","",Order!$J$16)</f>
        <v>SILVER ANODIZED (FAYP01)</v>
      </c>
      <c r="K411" s="36">
        <f>IF($C411="","",_xlfn.XLOOKUP($C411,Order!$C:$C,Order!$P:$P,"",0,1))</f>
        <v>0</v>
      </c>
      <c r="L411" s="4">
        <f t="shared" si="6"/>
        <v>0</v>
      </c>
    </row>
    <row r="412" spans="2:12" ht="23.25" hidden="1" customHeight="1" x14ac:dyDescent="0.25">
      <c r="B412" s="4">
        <v>407</v>
      </c>
      <c r="C412" s="36" t="str">
        <f>IF(Order!$C$78="","",Order!$C$78)</f>
        <v>BX811</v>
      </c>
      <c r="D412" s="36" t="str">
        <f>IF($C412="","",_xlfn.XLOOKUP($C412,Order!$C:$C,Order!$D:$D,"",0,1))</f>
        <v>BX811</v>
      </c>
      <c r="E412" s="4" t="e" vm="266">
        <f>IF($C412="","",_xlfn.XLOOKUP($C412,Order!$C:$C,Order!$E:$E,"",0,1))</f>
        <v>#VALUE!</v>
      </c>
      <c r="F412" s="4">
        <f>IF($C412="","",_xlfn.XLOOKUP($C412,Order!$C:$C,Order!$F:$F,"",0,1))</f>
        <v>6000</v>
      </c>
      <c r="G412" s="4" t="str">
        <f>IF($C412="","",_xlfn.XLOOKUP($C412,Order!$C:$C,Order!$G:$G,"",0,1))</f>
        <v>6063T5</v>
      </c>
      <c r="H412" s="4">
        <f>IF($C412="","",_xlfn.XLOOKUP($C412,Order!$C:$C,Order!$H:$H,"",0,1))</f>
        <v>0.35799999999999998</v>
      </c>
      <c r="I412" s="36">
        <f>IF($C412="","",_xlfn.XLOOKUP($C412,Order!$C:$C,Order!$J:$J,"",0,1))</f>
        <v>0</v>
      </c>
      <c r="J412" s="4" t="str">
        <f>IF(C412="","",Order!$J$16)</f>
        <v>SILVER ANODIZED (FAYP01)</v>
      </c>
      <c r="K412" s="36">
        <f>IF($C412="","",_xlfn.XLOOKUP($C412,Order!$C:$C,Order!$P:$P,"",0,1))</f>
        <v>0</v>
      </c>
      <c r="L412" s="4">
        <f t="shared" si="6"/>
        <v>0</v>
      </c>
    </row>
    <row r="413" spans="2:12" ht="23.25" hidden="1" customHeight="1" x14ac:dyDescent="0.25">
      <c r="B413" s="4">
        <v>408</v>
      </c>
      <c r="C413" s="36" t="str">
        <f>IF(Order!$C$79="","",Order!$C$79)</f>
        <v>BX856</v>
      </c>
      <c r="D413" s="36" t="str">
        <f>IF($C413="","",_xlfn.XLOOKUP($C413,Order!$C:$C,Order!$D:$D,"",0,1))</f>
        <v>BX856</v>
      </c>
      <c r="E413" s="4" t="e" vm="267">
        <f>IF($C413="","",_xlfn.XLOOKUP($C413,Order!$C:$C,Order!$E:$E,"",0,1))</f>
        <v>#VALUE!</v>
      </c>
      <c r="F413" s="4">
        <f>IF($C413="","",_xlfn.XLOOKUP($C413,Order!$C:$C,Order!$F:$F,"",0,1))</f>
        <v>6000</v>
      </c>
      <c r="G413" s="4" t="str">
        <f>IF($C413="","",_xlfn.XLOOKUP($C413,Order!$C:$C,Order!$G:$G,"",0,1))</f>
        <v>6063T5</v>
      </c>
      <c r="H413" s="4">
        <f>IF($C413="","",_xlfn.XLOOKUP($C413,Order!$C:$C,Order!$H:$H,"",0,1))</f>
        <v>0.22600000000000001</v>
      </c>
      <c r="I413" s="36">
        <f>IF($C413="","",_xlfn.XLOOKUP($C413,Order!$C:$C,Order!$J:$J,"",0,1))</f>
        <v>0</v>
      </c>
      <c r="J413" s="4" t="str">
        <f>IF(C413="","",Order!$J$16)</f>
        <v>SILVER ANODIZED (FAYP01)</v>
      </c>
      <c r="K413" s="36">
        <f>IF($C413="","",_xlfn.XLOOKUP($C413,Order!$C:$C,Order!$P:$P,"",0,1))</f>
        <v>0</v>
      </c>
      <c r="L413" s="4">
        <f t="shared" si="6"/>
        <v>0</v>
      </c>
    </row>
    <row r="414" spans="2:12" ht="23.25" hidden="1" customHeight="1" x14ac:dyDescent="0.25">
      <c r="B414" s="4">
        <v>409</v>
      </c>
      <c r="C414" s="36" t="str">
        <f>IF(Order!$C$80="","",Order!$C$80)</f>
        <v>AF051</v>
      </c>
      <c r="D414" s="36" t="str">
        <f>IF($C414="","",_xlfn.XLOOKUP($C414,Order!$C:$C,Order!$D:$D,"",0,1))</f>
        <v>AF051</v>
      </c>
      <c r="E414" s="4" t="e" vm="268">
        <f>IF($C414="","",_xlfn.XLOOKUP($C414,Order!$C:$C,Order!$E:$E,"",0,1))</f>
        <v>#VALUE!</v>
      </c>
      <c r="F414" s="4">
        <f>IF($C414="","",_xlfn.XLOOKUP($C414,Order!$C:$C,Order!$F:$F,"",0,1))</f>
        <v>6000</v>
      </c>
      <c r="G414" s="4" t="str">
        <f>IF($C414="","",_xlfn.XLOOKUP($C414,Order!$C:$C,Order!$G:$G,"",0,1))</f>
        <v>6063T5</v>
      </c>
      <c r="H414" s="4">
        <f>IF($C414="","",_xlfn.XLOOKUP($C414,Order!$C:$C,Order!$H:$H,"",0,1))</f>
        <v>0.2</v>
      </c>
      <c r="I414" s="36">
        <f>IF($C414="","",_xlfn.XLOOKUP($C414,Order!$C:$C,Order!$J:$J,"",0,1))</f>
        <v>0</v>
      </c>
      <c r="J414" s="4" t="str">
        <f>IF(C414="","",Order!$J$16)</f>
        <v>SILVER ANODIZED (FAYP01)</v>
      </c>
      <c r="K414" s="36">
        <f>IF($C414="","",_xlfn.XLOOKUP($C414,Order!$C:$C,Order!$P:$P,"",0,1))</f>
        <v>0</v>
      </c>
      <c r="L414" s="4">
        <f t="shared" si="6"/>
        <v>0</v>
      </c>
    </row>
    <row r="415" spans="2:12" ht="23.25" hidden="1" customHeight="1" x14ac:dyDescent="0.25">
      <c r="B415" s="4">
        <v>410</v>
      </c>
      <c r="C415" s="36" t="str">
        <f>IF(Order!$C$81="","",Order!$C$81)</f>
        <v>AF053</v>
      </c>
      <c r="D415" s="36" t="str">
        <f>IF($C415="","",_xlfn.XLOOKUP($C415,Order!$C:$C,Order!$D:$D,"",0,1))</f>
        <v>AF053</v>
      </c>
      <c r="E415" s="4" t="e" vm="269">
        <f>IF($C415="","",_xlfn.XLOOKUP($C415,Order!$C:$C,Order!$E:$E,"",0,1))</f>
        <v>#VALUE!</v>
      </c>
      <c r="F415" s="4">
        <f>IF($C415="","",_xlfn.XLOOKUP($C415,Order!$C:$C,Order!$F:$F,"",0,1))</f>
        <v>6000</v>
      </c>
      <c r="G415" s="4" t="str">
        <f>IF($C415="","",_xlfn.XLOOKUP($C415,Order!$C:$C,Order!$G:$G,"",0,1))</f>
        <v>6063T5</v>
      </c>
      <c r="H415" s="4">
        <f>IF($C415="","",_xlfn.XLOOKUP($C415,Order!$C:$C,Order!$H:$H,"",0,1))</f>
        <v>0.32500000000000001</v>
      </c>
      <c r="I415" s="36">
        <f>IF($C415="","",_xlfn.XLOOKUP($C415,Order!$C:$C,Order!$J:$J,"",0,1))</f>
        <v>0</v>
      </c>
      <c r="J415" s="4" t="str">
        <f>IF(C415="","",Order!$J$16)</f>
        <v>SILVER ANODIZED (FAYP01)</v>
      </c>
      <c r="K415" s="36">
        <f>IF($C415="","",_xlfn.XLOOKUP($C415,Order!$C:$C,Order!$P:$P,"",0,1))</f>
        <v>0</v>
      </c>
      <c r="L415" s="4">
        <f t="shared" si="6"/>
        <v>0</v>
      </c>
    </row>
    <row r="416" spans="2:12" ht="23.25" hidden="1" customHeight="1" x14ac:dyDescent="0.25">
      <c r="B416" s="4">
        <v>411</v>
      </c>
      <c r="C416" s="36" t="str">
        <f>IF(Order!$C$82="","",Order!$C$82)</f>
        <v>AF055</v>
      </c>
      <c r="D416" s="36" t="str">
        <f>IF($C416="","",_xlfn.XLOOKUP($C416,Order!$C:$C,Order!$D:$D,"",0,1))</f>
        <v>AF055</v>
      </c>
      <c r="E416" s="4" t="e" vm="270">
        <f>IF($C416="","",_xlfn.XLOOKUP($C416,Order!$C:$C,Order!$E:$E,"",0,1))</f>
        <v>#VALUE!</v>
      </c>
      <c r="F416" s="4">
        <f>IF($C416="","",_xlfn.XLOOKUP($C416,Order!$C:$C,Order!$F:$F,"",0,1))</f>
        <v>6000</v>
      </c>
      <c r="G416" s="4" t="str">
        <f>IF($C416="","",_xlfn.XLOOKUP($C416,Order!$C:$C,Order!$G:$G,"",0,1))</f>
        <v>6063T5</v>
      </c>
      <c r="H416" s="4">
        <f>IF($C416="","",_xlfn.XLOOKUP($C416,Order!$C:$C,Order!$H:$H,"",0,1))</f>
        <v>0.26400000000000001</v>
      </c>
      <c r="I416" s="36">
        <f>IF($C416="","",_xlfn.XLOOKUP($C416,Order!$C:$C,Order!$J:$J,"",0,1))</f>
        <v>0</v>
      </c>
      <c r="J416" s="4" t="str">
        <f>IF(C416="","",Order!$J$16)</f>
        <v>SILVER ANODIZED (FAYP01)</v>
      </c>
      <c r="K416" s="36">
        <f>IF($C416="","",_xlfn.XLOOKUP($C416,Order!$C:$C,Order!$P:$P,"",0,1))</f>
        <v>0</v>
      </c>
      <c r="L416" s="4">
        <f t="shared" si="6"/>
        <v>0</v>
      </c>
    </row>
    <row r="417" spans="2:12" ht="23.25" hidden="1" customHeight="1" x14ac:dyDescent="0.25">
      <c r="B417" s="4">
        <v>412</v>
      </c>
      <c r="C417" s="36" t="str">
        <f>IF(Order!$C$83="","",Order!$C$83)</f>
        <v>AF056</v>
      </c>
      <c r="D417" s="36" t="str">
        <f>IF($C417="","",_xlfn.XLOOKUP($C417,Order!$C:$C,Order!$D:$D,"",0,1))</f>
        <v>AF056</v>
      </c>
      <c r="E417" s="4" t="e" vm="271">
        <f>IF($C417="","",_xlfn.XLOOKUP($C417,Order!$C:$C,Order!$E:$E,"",0,1))</f>
        <v>#VALUE!</v>
      </c>
      <c r="F417" s="4">
        <f>IF($C417="","",_xlfn.XLOOKUP($C417,Order!$C:$C,Order!$F:$F,"",0,1))</f>
        <v>6000</v>
      </c>
      <c r="G417" s="4" t="str">
        <f>IF($C417="","",_xlfn.XLOOKUP($C417,Order!$C:$C,Order!$G:$G,"",0,1))</f>
        <v>6063T5</v>
      </c>
      <c r="H417" s="4">
        <f>IF($C417="","",_xlfn.XLOOKUP($C417,Order!$C:$C,Order!$H:$H,"",0,1))</f>
        <v>0</v>
      </c>
      <c r="I417" s="36">
        <f>IF($C417="","",_xlfn.XLOOKUP($C417,Order!$C:$C,Order!$J:$J,"",0,1))</f>
        <v>0</v>
      </c>
      <c r="J417" s="4" t="str">
        <f>IF(C417="","",Order!$J$16)</f>
        <v>SILVER ANODIZED (FAYP01)</v>
      </c>
      <c r="K417" s="36">
        <f>IF($C417="","",_xlfn.XLOOKUP($C417,Order!$C:$C,Order!$P:$P,"",0,1))</f>
        <v>0</v>
      </c>
      <c r="L417" s="4">
        <f t="shared" si="6"/>
        <v>0</v>
      </c>
    </row>
    <row r="418" spans="2:12" ht="23.25" hidden="1" customHeight="1" x14ac:dyDescent="0.25">
      <c r="B418" s="4">
        <v>413</v>
      </c>
      <c r="C418" s="36" t="str">
        <f>IF(Order!$C$84="","",Order!$C$84)</f>
        <v>AF057</v>
      </c>
      <c r="D418" s="36" t="str">
        <f>IF($C418="","",_xlfn.XLOOKUP($C418,Order!$C:$C,Order!$D:$D,"",0,1))</f>
        <v>AF057</v>
      </c>
      <c r="E418" s="4" t="e" vm="272">
        <f>IF($C418="","",_xlfn.XLOOKUP($C418,Order!$C:$C,Order!$E:$E,"",0,1))</f>
        <v>#VALUE!</v>
      </c>
      <c r="F418" s="4">
        <f>IF($C418="","",_xlfn.XLOOKUP($C418,Order!$C:$C,Order!$F:$F,"",0,1))</f>
        <v>6000</v>
      </c>
      <c r="G418" s="4" t="str">
        <f>IF($C418="","",_xlfn.XLOOKUP($C418,Order!$C:$C,Order!$G:$G,"",0,1))</f>
        <v>6063T5</v>
      </c>
      <c r="H418" s="4">
        <f>IF($C418="","",_xlfn.XLOOKUP($C418,Order!$C:$C,Order!$H:$H,"",0,1))</f>
        <v>0.39100000000000001</v>
      </c>
      <c r="I418" s="36">
        <f>IF($C418="","",_xlfn.XLOOKUP($C418,Order!$C:$C,Order!$J:$J,"",0,1))</f>
        <v>0</v>
      </c>
      <c r="J418" s="4" t="str">
        <f>IF(C418="","",Order!$J$16)</f>
        <v>SILVER ANODIZED (FAYP01)</v>
      </c>
      <c r="K418" s="36">
        <f>IF($C418="","",_xlfn.XLOOKUP($C418,Order!$C:$C,Order!$P:$P,"",0,1))</f>
        <v>0</v>
      </c>
      <c r="L418" s="4">
        <f t="shared" si="6"/>
        <v>0</v>
      </c>
    </row>
    <row r="419" spans="2:12" ht="23.25" hidden="1" customHeight="1" x14ac:dyDescent="0.25">
      <c r="B419" s="4">
        <v>414</v>
      </c>
      <c r="C419" s="36" t="str">
        <f>IF(Order!$C$85="","",Order!$C$85)</f>
        <v>AF059</v>
      </c>
      <c r="D419" s="36" t="str">
        <f>IF($C419="","",_xlfn.XLOOKUP($C419,Order!$C:$C,Order!$D:$D,"",0,1))</f>
        <v>AF059</v>
      </c>
      <c r="E419" s="4" t="e" vm="273">
        <f>IF($C419="","",_xlfn.XLOOKUP($C419,Order!$C:$C,Order!$E:$E,"",0,1))</f>
        <v>#VALUE!</v>
      </c>
      <c r="F419" s="4">
        <f>IF($C419="","",_xlfn.XLOOKUP($C419,Order!$C:$C,Order!$F:$F,"",0,1))</f>
        <v>6000</v>
      </c>
      <c r="G419" s="4" t="str">
        <f>IF($C419="","",_xlfn.XLOOKUP($C419,Order!$C:$C,Order!$G:$G,"",0,1))</f>
        <v>6063T5</v>
      </c>
      <c r="H419" s="4">
        <f>IF($C419="","",_xlfn.XLOOKUP($C419,Order!$C:$C,Order!$H:$H,"",0,1))</f>
        <v>0.443</v>
      </c>
      <c r="I419" s="36">
        <f>IF($C419="","",_xlfn.XLOOKUP($C419,Order!$C:$C,Order!$J:$J,"",0,1))</f>
        <v>0</v>
      </c>
      <c r="J419" s="4" t="str">
        <f>IF(C419="","",Order!$J$16)</f>
        <v>SILVER ANODIZED (FAYP01)</v>
      </c>
      <c r="K419" s="36">
        <f>IF($C419="","",_xlfn.XLOOKUP($C419,Order!$C:$C,Order!$P:$P,"",0,1))</f>
        <v>0</v>
      </c>
      <c r="L419" s="4">
        <f t="shared" si="6"/>
        <v>0</v>
      </c>
    </row>
    <row r="420" spans="2:12" ht="23.25" hidden="1" customHeight="1" x14ac:dyDescent="0.25">
      <c r="B420" s="4">
        <v>415</v>
      </c>
      <c r="C420" s="36" t="str">
        <f>IF(Order!$C$86="","",Order!$C$86)</f>
        <v>AF060</v>
      </c>
      <c r="D420" s="36" t="str">
        <f>IF($C420="","",_xlfn.XLOOKUP($C420,Order!$C:$C,Order!$D:$D,"",0,1))</f>
        <v>AF060</v>
      </c>
      <c r="E420" s="4" t="e" vm="274">
        <f>IF($C420="","",_xlfn.XLOOKUP($C420,Order!$C:$C,Order!$E:$E,"",0,1))</f>
        <v>#VALUE!</v>
      </c>
      <c r="F420" s="4">
        <f>IF($C420="","",_xlfn.XLOOKUP($C420,Order!$C:$C,Order!$F:$F,"",0,1))</f>
        <v>6000</v>
      </c>
      <c r="G420" s="4" t="str">
        <f>IF($C420="","",_xlfn.XLOOKUP($C420,Order!$C:$C,Order!$G:$G,"",0,1))</f>
        <v>6063T5</v>
      </c>
      <c r="H420" s="4">
        <f>IF($C420="","",_xlfn.XLOOKUP($C420,Order!$C:$C,Order!$H:$H,"",0,1))</f>
        <v>0.45200000000000001</v>
      </c>
      <c r="I420" s="36">
        <f>IF($C420="","",_xlfn.XLOOKUP($C420,Order!$C:$C,Order!$J:$J,"",0,1))</f>
        <v>0</v>
      </c>
      <c r="J420" s="4" t="str">
        <f>IF(C420="","",Order!$J$16)</f>
        <v>SILVER ANODIZED (FAYP01)</v>
      </c>
      <c r="K420" s="36">
        <f>IF($C420="","",_xlfn.XLOOKUP($C420,Order!$C:$C,Order!$P:$P,"",0,1))</f>
        <v>0</v>
      </c>
      <c r="L420" s="4">
        <f t="shared" si="6"/>
        <v>0</v>
      </c>
    </row>
    <row r="421" spans="2:12" ht="23.25" hidden="1" customHeight="1" x14ac:dyDescent="0.25">
      <c r="B421" s="4">
        <v>416</v>
      </c>
      <c r="C421" s="36" t="str">
        <f>IF(Order!$C$87="","",Order!$C$87)</f>
        <v>AF061 15E</v>
      </c>
      <c r="D421" s="36" t="str">
        <f>IF($C421="","",_xlfn.XLOOKUP($C421,Order!$C:$C,Order!$D:$D,"",0,1))</f>
        <v>AF 061 15E</v>
      </c>
      <c r="E421" s="4" t="e" vm="275">
        <f>IF($C421="","",_xlfn.XLOOKUP($C421,Order!$C:$C,Order!$E:$E,"",0,1))</f>
        <v>#VALUE!</v>
      </c>
      <c r="F421" s="4">
        <f>IF($C421="","",_xlfn.XLOOKUP($C421,Order!$C:$C,Order!$F:$F,"",0,1))</f>
        <v>6000</v>
      </c>
      <c r="G421" s="4" t="str">
        <f>IF($C421="","",_xlfn.XLOOKUP($C421,Order!$C:$C,Order!$G:$G,"",0,1))</f>
        <v>6063T5</v>
      </c>
      <c r="H421" s="4">
        <f>IF($C421="","",_xlfn.XLOOKUP($C421,Order!$C:$C,Order!$H:$H,"",0,1))</f>
        <v>0.20200000000000001</v>
      </c>
      <c r="I421" s="36">
        <f>IF($C421="","",_xlfn.XLOOKUP($C421,Order!$C:$C,Order!$J:$J,"",0,1))</f>
        <v>0</v>
      </c>
      <c r="J421" s="4" t="str">
        <f>IF(C421="","",Order!$J$16)</f>
        <v>SILVER ANODIZED (FAYP01)</v>
      </c>
      <c r="K421" s="36">
        <f>IF($C421="","",_xlfn.XLOOKUP($C421,Order!$C:$C,Order!$P:$P,"",0,1))</f>
        <v>0</v>
      </c>
      <c r="L421" s="4">
        <f t="shared" si="6"/>
        <v>0</v>
      </c>
    </row>
    <row r="422" spans="2:12" ht="23.25" hidden="1" customHeight="1" x14ac:dyDescent="0.25">
      <c r="B422" s="4">
        <v>417</v>
      </c>
      <c r="C422" s="36" t="str">
        <f>IF(Order!$C$88="","",Order!$C$88)</f>
        <v>AF061 15</v>
      </c>
      <c r="D422" s="36" t="str">
        <f>IF($C422="","",_xlfn.XLOOKUP($C422,Order!$C:$C,Order!$D:$D,"",0,1))</f>
        <v>AF061 15</v>
      </c>
      <c r="E422" s="4" t="e" vm="276">
        <f>IF($C422="","",_xlfn.XLOOKUP($C422,Order!$C:$C,Order!$E:$E,"",0,1))</f>
        <v>#VALUE!</v>
      </c>
      <c r="F422" s="4">
        <f>IF($C422="","",_xlfn.XLOOKUP($C422,Order!$C:$C,Order!$F:$F,"",0,1))</f>
        <v>6000</v>
      </c>
      <c r="G422" s="4" t="str">
        <f>IF($C422="","",_xlfn.XLOOKUP($C422,Order!$C:$C,Order!$G:$G,"",0,1))</f>
        <v>6063T5</v>
      </c>
      <c r="H422" s="4">
        <f>IF($C422="","",_xlfn.XLOOKUP($C422,Order!$C:$C,Order!$H:$H,"",0,1))</f>
        <v>0.36399999999999999</v>
      </c>
      <c r="I422" s="36">
        <f>IF($C422="","",_xlfn.XLOOKUP($C422,Order!$C:$C,Order!$J:$J,"",0,1))</f>
        <v>0</v>
      </c>
      <c r="J422" s="4" t="str">
        <f>IF(C422="","",Order!$J$16)</f>
        <v>SILVER ANODIZED (FAYP01)</v>
      </c>
      <c r="K422" s="36">
        <f>IF($C422="","",_xlfn.XLOOKUP($C422,Order!$C:$C,Order!$P:$P,"",0,1))</f>
        <v>0</v>
      </c>
      <c r="L422" s="4">
        <f t="shared" si="6"/>
        <v>0</v>
      </c>
    </row>
    <row r="423" spans="2:12" ht="23.25" hidden="1" customHeight="1" x14ac:dyDescent="0.25">
      <c r="B423" s="4">
        <v>418</v>
      </c>
      <c r="C423" s="36" t="str">
        <f>IF(Order!$C$89="","",Order!$C$89)</f>
        <v>AF061 18</v>
      </c>
      <c r="D423" s="36" t="str">
        <f>IF($C423="","",_xlfn.XLOOKUP($C423,Order!$C:$C,Order!$D:$D,"",0,1))</f>
        <v>AF061 18</v>
      </c>
      <c r="E423" s="4" t="e" vm="277">
        <f>IF($C423="","",_xlfn.XLOOKUP($C423,Order!$C:$C,Order!$E:$E,"",0,1))</f>
        <v>#VALUE!</v>
      </c>
      <c r="F423" s="4">
        <f>IF($C423="","",_xlfn.XLOOKUP($C423,Order!$C:$C,Order!$F:$F,"",0,1))</f>
        <v>6000</v>
      </c>
      <c r="G423" s="4" t="str">
        <f>IF($C423="","",_xlfn.XLOOKUP($C423,Order!$C:$C,Order!$G:$G,"",0,1))</f>
        <v>6063T5</v>
      </c>
      <c r="H423" s="4">
        <f>IF($C423="","",_xlfn.XLOOKUP($C423,Order!$C:$C,Order!$H:$H,"",0,1))</f>
        <v>0</v>
      </c>
      <c r="I423" s="36">
        <f>IF($C423="","",_xlfn.XLOOKUP($C423,Order!$C:$C,Order!$J:$J,"",0,1))</f>
        <v>0</v>
      </c>
      <c r="J423" s="4" t="str">
        <f>IF(C423="","",Order!$J$16)</f>
        <v>SILVER ANODIZED (FAYP01)</v>
      </c>
      <c r="K423" s="36">
        <f>IF($C423="","",_xlfn.XLOOKUP($C423,Order!$C:$C,Order!$P:$P,"",0,1))</f>
        <v>0</v>
      </c>
      <c r="L423" s="4">
        <f t="shared" si="6"/>
        <v>0</v>
      </c>
    </row>
    <row r="424" spans="2:12" ht="23.25" hidden="1" customHeight="1" x14ac:dyDescent="0.25">
      <c r="B424" s="4">
        <v>419</v>
      </c>
      <c r="C424" s="36" t="str">
        <f>IF(Order!$C$90="","",Order!$C$90)</f>
        <v>AF066</v>
      </c>
      <c r="D424" s="36" t="str">
        <f>IF($C424="","",_xlfn.XLOOKUP($C424,Order!$C:$C,Order!$D:$D,"",0,1))</f>
        <v>AF066</v>
      </c>
      <c r="E424" s="4" t="e" vm="278">
        <f>IF($C424="","",_xlfn.XLOOKUP($C424,Order!$C:$C,Order!$E:$E,"",0,1))</f>
        <v>#VALUE!</v>
      </c>
      <c r="F424" s="4">
        <f>IF($C424="","",_xlfn.XLOOKUP($C424,Order!$C:$C,Order!$F:$F,"",0,1))</f>
        <v>6000</v>
      </c>
      <c r="G424" s="4" t="str">
        <f>IF($C424="","",_xlfn.XLOOKUP($C424,Order!$C:$C,Order!$G:$G,"",0,1))</f>
        <v>6063T5</v>
      </c>
      <c r="H424" s="4">
        <f>IF($C424="","",_xlfn.XLOOKUP($C424,Order!$C:$C,Order!$H:$H,"",0,1))</f>
        <v>0</v>
      </c>
      <c r="I424" s="36">
        <f>IF($C424="","",_xlfn.XLOOKUP($C424,Order!$C:$C,Order!$J:$J,"",0,1))</f>
        <v>0</v>
      </c>
      <c r="J424" s="4" t="str">
        <f>IF(C424="","",Order!$J$16)</f>
        <v>SILVER ANODIZED (FAYP01)</v>
      </c>
      <c r="K424" s="36">
        <f>IF($C424="","",_xlfn.XLOOKUP($C424,Order!$C:$C,Order!$P:$P,"",0,1))</f>
        <v>0</v>
      </c>
      <c r="L424" s="4">
        <f t="shared" si="6"/>
        <v>0</v>
      </c>
    </row>
    <row r="425" spans="2:12" ht="23.25" hidden="1" customHeight="1" x14ac:dyDescent="0.25">
      <c r="B425" s="4">
        <v>420</v>
      </c>
      <c r="C425" s="36" t="str">
        <f>IF(Order!$C$91="","",Order!$C$91)</f>
        <v>AFY-15</v>
      </c>
      <c r="D425" s="36" t="str">
        <f>IF($C425="","",_xlfn.XLOOKUP($C425,Order!$C:$C,Order!$D:$D,"",0,1))</f>
        <v>AFY-15</v>
      </c>
      <c r="E425" s="4" t="e" vm="279">
        <f>IF($C425="","",_xlfn.XLOOKUP($C425,Order!$C:$C,Order!$E:$E,"",0,1))</f>
        <v>#VALUE!</v>
      </c>
      <c r="F425" s="4">
        <f>IF($C425="","",_xlfn.XLOOKUP($C425,Order!$C:$C,Order!$F:$F,"",0,1))</f>
        <v>6000</v>
      </c>
      <c r="G425" s="4" t="str">
        <f>IF($C425="","",_xlfn.XLOOKUP($C425,Order!$C:$C,Order!$G:$G,"",0,1))</f>
        <v>6063T5</v>
      </c>
      <c r="H425" s="4">
        <f>IF($C425="","",_xlfn.XLOOKUP($C425,Order!$C:$C,Order!$H:$H,"",0,1))</f>
        <v>0.308</v>
      </c>
      <c r="I425" s="36">
        <f>IF($C425="","",_xlfn.XLOOKUP($C425,Order!$C:$C,Order!$J:$J,"",0,1))</f>
        <v>0</v>
      </c>
      <c r="J425" s="4" t="str">
        <f>IF(C425="","",Order!$J$16)</f>
        <v>SILVER ANODIZED (FAYP01)</v>
      </c>
      <c r="K425" s="36">
        <f>IF($C425="","",_xlfn.XLOOKUP($C425,Order!$C:$C,Order!$P:$P,"",0,1))</f>
        <v>0</v>
      </c>
      <c r="L425" s="4">
        <f t="shared" si="6"/>
        <v>0</v>
      </c>
    </row>
    <row r="426" spans="2:12" ht="23.25" hidden="1" customHeight="1" x14ac:dyDescent="0.25">
      <c r="B426" s="4">
        <v>421</v>
      </c>
      <c r="C426" s="36" t="str">
        <f>IF(Order!$C$92="","",Order!$C$92)</f>
        <v>BX275</v>
      </c>
      <c r="D426" s="36" t="str">
        <f>IF($C426="","",_xlfn.XLOOKUP($C426,Order!$C:$C,Order!$D:$D,"",0,1))</f>
        <v>BX275</v>
      </c>
      <c r="E426" s="4" t="e" vm="280">
        <f>IF($C426="","",_xlfn.XLOOKUP($C426,Order!$C:$C,Order!$E:$E,"",0,1))</f>
        <v>#VALUE!</v>
      </c>
      <c r="F426" s="4">
        <f>IF($C426="","",_xlfn.XLOOKUP($C426,Order!$C:$C,Order!$F:$F,"",0,1))</f>
        <v>6000</v>
      </c>
      <c r="G426" s="4" t="str">
        <f>IF($C426="","",_xlfn.XLOOKUP($C426,Order!$C:$C,Order!$G:$G,"",0,1))</f>
        <v>6063T5</v>
      </c>
      <c r="H426" s="4">
        <f>IF($C426="","",_xlfn.XLOOKUP($C426,Order!$C:$C,Order!$H:$H,"",0,1))</f>
        <v>0.72299999999999998</v>
      </c>
      <c r="I426" s="36">
        <f>IF($C426="","",_xlfn.XLOOKUP($C426,Order!$C:$C,Order!$J:$J,"",0,1))</f>
        <v>0</v>
      </c>
      <c r="J426" s="4" t="str">
        <f>IF(C426="","",Order!$J$16)</f>
        <v>SILVER ANODIZED (FAYP01)</v>
      </c>
      <c r="K426" s="36">
        <f>IF($C426="","",_xlfn.XLOOKUP($C426,Order!$C:$C,Order!$P:$P,"",0,1))</f>
        <v>0</v>
      </c>
      <c r="L426" s="4">
        <f t="shared" si="6"/>
        <v>0</v>
      </c>
    </row>
    <row r="427" spans="2:12" ht="23.25" hidden="1" customHeight="1" x14ac:dyDescent="0.25">
      <c r="B427" s="4">
        <v>422</v>
      </c>
      <c r="C427" s="36" t="str">
        <f>IF(Order!$C$93="","",Order!$C$93)</f>
        <v>DV021</v>
      </c>
      <c r="D427" s="36" t="str">
        <f>IF($C427="","",_xlfn.XLOOKUP($C427,Order!$C:$C,Order!$D:$D,"",0,1))</f>
        <v>DV021</v>
      </c>
      <c r="E427" s="4" t="e" vm="281">
        <f>IF($C427="","",_xlfn.XLOOKUP($C427,Order!$C:$C,Order!$E:$E,"",0,1))</f>
        <v>#VALUE!</v>
      </c>
      <c r="F427" s="4">
        <f>IF($C427="","",_xlfn.XLOOKUP($C427,Order!$C:$C,Order!$F:$F,"",0,1))</f>
        <v>6000</v>
      </c>
      <c r="G427" s="4" t="str">
        <f>IF($C427="","",_xlfn.XLOOKUP($C427,Order!$C:$C,Order!$G:$G,"",0,1))</f>
        <v>6063T5</v>
      </c>
      <c r="H427" s="4">
        <f>IF($C427="","",_xlfn.XLOOKUP($C427,Order!$C:$C,Order!$H:$H,"",0,1))</f>
        <v>0.32800000000000001</v>
      </c>
      <c r="I427" s="36">
        <f>IF($C427="","",_xlfn.XLOOKUP($C427,Order!$C:$C,Order!$J:$J,"",0,1))</f>
        <v>0</v>
      </c>
      <c r="J427" s="4" t="str">
        <f>IF(C427="","",Order!$J$16)</f>
        <v>SILVER ANODIZED (FAYP01)</v>
      </c>
      <c r="K427" s="36">
        <f>IF($C427="","",_xlfn.XLOOKUP($C427,Order!$C:$C,Order!$P:$P,"",0,1))</f>
        <v>0</v>
      </c>
      <c r="L427" s="4">
        <f t="shared" si="6"/>
        <v>0</v>
      </c>
    </row>
    <row r="428" spans="2:12" ht="23.25" hidden="1" customHeight="1" x14ac:dyDescent="0.25">
      <c r="B428" s="4">
        <v>423</v>
      </c>
      <c r="C428" s="36" t="str">
        <f>IF(Order!$C$94="","",Order!$C$94)</f>
        <v>DV021A</v>
      </c>
      <c r="D428" s="36" t="str">
        <f>IF($C428="","",_xlfn.XLOOKUP($C428,Order!$C:$C,Order!$D:$D,"",0,1))</f>
        <v>DV021A</v>
      </c>
      <c r="E428" s="4" t="e" vm="282">
        <f>IF($C428="","",_xlfn.XLOOKUP($C428,Order!$C:$C,Order!$E:$E,"",0,1))</f>
        <v>#VALUE!</v>
      </c>
      <c r="F428" s="4">
        <f>IF($C428="","",_xlfn.XLOOKUP($C428,Order!$C:$C,Order!$F:$F,"",0,1))</f>
        <v>6000</v>
      </c>
      <c r="G428" s="4" t="str">
        <f>IF($C428="","",_xlfn.XLOOKUP($C428,Order!$C:$C,Order!$G:$G,"",0,1))</f>
        <v>6063T5</v>
      </c>
      <c r="H428" s="4">
        <f>IF($C428="","",_xlfn.XLOOKUP($C428,Order!$C:$C,Order!$H:$H,"",0,1))</f>
        <v>0.317</v>
      </c>
      <c r="I428" s="36">
        <f>IF($C428="","",_xlfn.XLOOKUP($C428,Order!$C:$C,Order!$J:$J,"",0,1))</f>
        <v>0</v>
      </c>
      <c r="J428" s="4" t="str">
        <f>IF(C428="","",Order!$J$16)</f>
        <v>SILVER ANODIZED (FAYP01)</v>
      </c>
      <c r="K428" s="36">
        <f>IF($C428="","",_xlfn.XLOOKUP($C428,Order!$C:$C,Order!$P:$P,"",0,1))</f>
        <v>0</v>
      </c>
      <c r="L428" s="4">
        <f t="shared" si="6"/>
        <v>0</v>
      </c>
    </row>
    <row r="429" spans="2:12" ht="23.25" hidden="1" customHeight="1" x14ac:dyDescent="0.25">
      <c r="B429" s="4">
        <v>424</v>
      </c>
      <c r="C429" s="36" t="str">
        <f>IF(Order!$C$95="","",Order!$C$95)</f>
        <v>DV022</v>
      </c>
      <c r="D429" s="36" t="str">
        <f>IF($C429="","",_xlfn.XLOOKUP($C429,Order!$C:$C,Order!$D:$D,"",0,1))</f>
        <v>DV022</v>
      </c>
      <c r="E429" s="4" t="e" vm="283">
        <f>IF($C429="","",_xlfn.XLOOKUP($C429,Order!$C:$C,Order!$E:$E,"",0,1))</f>
        <v>#VALUE!</v>
      </c>
      <c r="F429" s="4">
        <f>IF($C429="","",_xlfn.XLOOKUP($C429,Order!$C:$C,Order!$F:$F,"",0,1))</f>
        <v>6000</v>
      </c>
      <c r="G429" s="4" t="str">
        <f>IF($C429="","",_xlfn.XLOOKUP($C429,Order!$C:$C,Order!$G:$G,"",0,1))</f>
        <v>6063T5</v>
      </c>
      <c r="H429" s="4">
        <f>IF($C429="","",_xlfn.XLOOKUP($C429,Order!$C:$C,Order!$H:$H,"",0,1))</f>
        <v>0.32400000000000001</v>
      </c>
      <c r="I429" s="36">
        <f>IF($C429="","",_xlfn.XLOOKUP($C429,Order!$C:$C,Order!$J:$J,"",0,1))</f>
        <v>0</v>
      </c>
      <c r="J429" s="4" t="str">
        <f>IF(C429="","",Order!$J$16)</f>
        <v>SILVER ANODIZED (FAYP01)</v>
      </c>
      <c r="K429" s="36">
        <f>IF($C429="","",_xlfn.XLOOKUP($C429,Order!$C:$C,Order!$P:$P,"",0,1))</f>
        <v>0</v>
      </c>
      <c r="L429" s="4">
        <f t="shared" si="6"/>
        <v>0</v>
      </c>
    </row>
    <row r="430" spans="2:12" ht="23.25" hidden="1" customHeight="1" x14ac:dyDescent="0.25">
      <c r="B430" s="4">
        <v>425</v>
      </c>
      <c r="C430" s="36" t="str">
        <f>IF(Order!$C$96="","",Order!$C$96)</f>
        <v>DV185</v>
      </c>
      <c r="D430" s="36" t="str">
        <f>IF($C430="","",_xlfn.XLOOKUP($C430,Order!$C:$C,Order!$D:$D,"",0,1))</f>
        <v>DV185</v>
      </c>
      <c r="E430" s="4" t="e" vm="284">
        <f>IF($C430="","",_xlfn.XLOOKUP($C430,Order!$C:$C,Order!$E:$E,"",0,1))</f>
        <v>#VALUE!</v>
      </c>
      <c r="F430" s="4">
        <f>IF($C430="","",_xlfn.XLOOKUP($C430,Order!$C:$C,Order!$F:$F,"",0,1))</f>
        <v>6000</v>
      </c>
      <c r="G430" s="4" t="str">
        <f>IF($C430="","",_xlfn.XLOOKUP($C430,Order!$C:$C,Order!$G:$G,"",0,1))</f>
        <v>6063T5</v>
      </c>
      <c r="H430" s="4">
        <f>IF($C430="","",_xlfn.XLOOKUP($C430,Order!$C:$C,Order!$H:$H,"",0,1))</f>
        <v>0.34499999999999997</v>
      </c>
      <c r="I430" s="36">
        <f>IF($C430="","",_xlfn.XLOOKUP($C430,Order!$C:$C,Order!$J:$J,"",0,1))</f>
        <v>0</v>
      </c>
      <c r="J430" s="4" t="str">
        <f>IF(C430="","",Order!$J$16)</f>
        <v>SILVER ANODIZED (FAYP01)</v>
      </c>
      <c r="K430" s="36">
        <f>IF($C430="","",_xlfn.XLOOKUP($C430,Order!$C:$C,Order!$P:$P,"",0,1))</f>
        <v>0</v>
      </c>
      <c r="L430" s="4">
        <f t="shared" si="6"/>
        <v>0</v>
      </c>
    </row>
    <row r="431" spans="2:12" ht="23.25" hidden="1" customHeight="1" x14ac:dyDescent="0.25">
      <c r="B431" s="4">
        <v>426</v>
      </c>
      <c r="C431" s="36" t="str">
        <f>IF(Order!$C$97="","",Order!$C$97)</f>
        <v>DV389</v>
      </c>
      <c r="D431" s="36" t="str">
        <f>IF($C431="","",_xlfn.XLOOKUP($C431,Order!$C:$C,Order!$D:$D,"",0,1))</f>
        <v>DV389</v>
      </c>
      <c r="E431" s="4" t="e" vm="285">
        <f>IF($C431="","",_xlfn.XLOOKUP($C431,Order!$C:$C,Order!$E:$E,"",0,1))</f>
        <v>#VALUE!</v>
      </c>
      <c r="F431" s="4">
        <f>IF($C431="","",_xlfn.XLOOKUP($C431,Order!$C:$C,Order!$F:$F,"",0,1))</f>
        <v>6000</v>
      </c>
      <c r="G431" s="4" t="str">
        <f>IF($C431="","",_xlfn.XLOOKUP($C431,Order!$C:$C,Order!$G:$G,"",0,1))</f>
        <v>6063T5</v>
      </c>
      <c r="H431" s="4">
        <f>IF($C431="","",_xlfn.XLOOKUP($C431,Order!$C:$C,Order!$H:$H,"",0,1))</f>
        <v>0.79700000000000004</v>
      </c>
      <c r="I431" s="36">
        <f>IF($C431="","",_xlfn.XLOOKUP($C431,Order!$C:$C,Order!$J:$J,"",0,1))</f>
        <v>0</v>
      </c>
      <c r="J431" s="4" t="str">
        <f>IF(C431="","",Order!$J$16)</f>
        <v>SILVER ANODIZED (FAYP01)</v>
      </c>
      <c r="K431" s="36">
        <f>IF($C431="","",_xlfn.XLOOKUP($C431,Order!$C:$C,Order!$P:$P,"",0,1))</f>
        <v>0</v>
      </c>
      <c r="L431" s="4">
        <f t="shared" si="6"/>
        <v>0</v>
      </c>
    </row>
    <row r="432" spans="2:12" ht="23.25" hidden="1" customHeight="1" x14ac:dyDescent="0.25">
      <c r="B432" s="4">
        <v>427</v>
      </c>
      <c r="C432" s="36" t="str">
        <f>IF(Order!$C$98="","",Order!$C$98)</f>
        <v>BX628</v>
      </c>
      <c r="D432" s="36" t="str">
        <f>IF($C432="","",_xlfn.XLOOKUP($C432,Order!$C:$C,Order!$D:$D,"",0,1))</f>
        <v>BX628</v>
      </c>
      <c r="E432" s="4" t="e" vm="286">
        <f>IF($C432="","",_xlfn.XLOOKUP($C432,Order!$C:$C,Order!$E:$E,"",0,1))</f>
        <v>#VALUE!</v>
      </c>
      <c r="F432" s="4">
        <f>IF($C432="","",_xlfn.XLOOKUP($C432,Order!$C:$C,Order!$F:$F,"",0,1))</f>
        <v>6000</v>
      </c>
      <c r="G432" s="4" t="str">
        <f>IF($C432="","",_xlfn.XLOOKUP($C432,Order!$C:$C,Order!$G:$G,"",0,1))</f>
        <v>6063T5</v>
      </c>
      <c r="H432" s="4">
        <f>IF($C432="","",_xlfn.XLOOKUP($C432,Order!$C:$C,Order!$H:$H,"",0,1))</f>
        <v>0.42199999999999999</v>
      </c>
      <c r="I432" s="36">
        <f>IF($C432="","",_xlfn.XLOOKUP($C432,Order!$C:$C,Order!$J:$J,"",0,1))</f>
        <v>0</v>
      </c>
      <c r="J432" s="4" t="str">
        <f>IF(C432="","",Order!$J$16)</f>
        <v>SILVER ANODIZED (FAYP01)</v>
      </c>
      <c r="K432" s="36">
        <f>IF($C432="","",_xlfn.XLOOKUP($C432,Order!$C:$C,Order!$P:$P,"",0,1))</f>
        <v>0</v>
      </c>
      <c r="L432" s="4">
        <f t="shared" si="6"/>
        <v>0</v>
      </c>
    </row>
    <row r="433" spans="2:12" ht="23.25" hidden="1" customHeight="1" x14ac:dyDescent="0.25">
      <c r="B433" s="4">
        <v>428</v>
      </c>
      <c r="C433" s="36" t="str">
        <f>IF(Order!$C$99="","",Order!$C$99)</f>
        <v>BX705</v>
      </c>
      <c r="D433" s="36" t="str">
        <f>IF($C433="","",_xlfn.XLOOKUP($C433,Order!$C:$C,Order!$D:$D,"",0,1))</f>
        <v>BX705</v>
      </c>
      <c r="E433" s="4" t="e" vm="287">
        <f>IF($C433="","",_xlfn.XLOOKUP($C433,Order!$C:$C,Order!$E:$E,"",0,1))</f>
        <v>#VALUE!</v>
      </c>
      <c r="F433" s="4">
        <f>IF($C433="","",_xlfn.XLOOKUP($C433,Order!$C:$C,Order!$F:$F,"",0,1))</f>
        <v>6000</v>
      </c>
      <c r="G433" s="4" t="str">
        <f>IF($C433="","",_xlfn.XLOOKUP($C433,Order!$C:$C,Order!$G:$G,"",0,1))</f>
        <v>6063T5</v>
      </c>
      <c r="H433" s="4">
        <f>IF($C433="","",_xlfn.XLOOKUP($C433,Order!$C:$C,Order!$H:$H,"",0,1))</f>
        <v>0.21199999999999999</v>
      </c>
      <c r="I433" s="36">
        <f>IF($C433="","",_xlfn.XLOOKUP($C433,Order!$C:$C,Order!$J:$J,"",0,1))</f>
        <v>0</v>
      </c>
      <c r="J433" s="4" t="str">
        <f>IF(C433="","",Order!$J$16)</f>
        <v>SILVER ANODIZED (FAYP01)</v>
      </c>
      <c r="K433" s="36">
        <f>IF($C433="","",_xlfn.XLOOKUP($C433,Order!$C:$C,Order!$P:$P,"",0,1))</f>
        <v>0</v>
      </c>
      <c r="L433" s="4">
        <f t="shared" si="6"/>
        <v>0</v>
      </c>
    </row>
    <row r="434" spans="2:12" ht="23.25" hidden="1" customHeight="1" x14ac:dyDescent="0.25">
      <c r="B434" s="4">
        <v>429</v>
      </c>
      <c r="C434" s="36" t="str">
        <f>IF(Order!$C$100="","",Order!$C$100)</f>
        <v>BX818</v>
      </c>
      <c r="D434" s="36" t="str">
        <f>IF($C434="","",_xlfn.XLOOKUP($C434,Order!$C:$C,Order!$D:$D,"",0,1))</f>
        <v>BX818</v>
      </c>
      <c r="E434" s="4" t="e" vm="288">
        <f>IF($C434="","",_xlfn.XLOOKUP($C434,Order!$C:$C,Order!$E:$E,"",0,1))</f>
        <v>#VALUE!</v>
      </c>
      <c r="F434" s="4">
        <f>IF($C434="","",_xlfn.XLOOKUP($C434,Order!$C:$C,Order!$F:$F,"",0,1))</f>
        <v>6000</v>
      </c>
      <c r="G434" s="4" t="str">
        <f>IF($C434="","",_xlfn.XLOOKUP($C434,Order!$C:$C,Order!$G:$G,"",0,1))</f>
        <v>6063T5</v>
      </c>
      <c r="H434" s="4">
        <f>IF($C434="","",_xlfn.XLOOKUP($C434,Order!$C:$C,Order!$H:$H,"",0,1))</f>
        <v>0</v>
      </c>
      <c r="I434" s="36">
        <f>IF($C434="","",_xlfn.XLOOKUP($C434,Order!$C:$C,Order!$J:$J,"",0,1))</f>
        <v>0</v>
      </c>
      <c r="J434" s="4" t="str">
        <f>IF(C434="","",Order!$J$16)</f>
        <v>SILVER ANODIZED (FAYP01)</v>
      </c>
      <c r="K434" s="36">
        <f>IF($C434="","",_xlfn.XLOOKUP($C434,Order!$C:$C,Order!$P:$P,"",0,1))</f>
        <v>0</v>
      </c>
      <c r="L434" s="4">
        <f t="shared" si="6"/>
        <v>0</v>
      </c>
    </row>
    <row r="435" spans="2:12" ht="23.25" hidden="1" customHeight="1" x14ac:dyDescent="0.25">
      <c r="B435" s="4">
        <v>430</v>
      </c>
      <c r="C435" s="36" t="str">
        <f>IF(Order!$C$101="","",Order!$C$101)</f>
        <v>BX819</v>
      </c>
      <c r="D435" s="36" t="str">
        <f>IF($C435="","",_xlfn.XLOOKUP($C435,Order!$C:$C,Order!$D:$D,"",0,1))</f>
        <v>BX819</v>
      </c>
      <c r="E435" s="4" t="e" vm="289">
        <f>IF($C435="","",_xlfn.XLOOKUP($C435,Order!$C:$C,Order!$E:$E,"",0,1))</f>
        <v>#VALUE!</v>
      </c>
      <c r="F435" s="4">
        <f>IF($C435="","",_xlfn.XLOOKUP($C435,Order!$C:$C,Order!$F:$F,"",0,1))</f>
        <v>6000</v>
      </c>
      <c r="G435" s="4" t="str">
        <f>IF($C435="","",_xlfn.XLOOKUP($C435,Order!$C:$C,Order!$G:$G,"",0,1))</f>
        <v>6063T5</v>
      </c>
      <c r="H435" s="4">
        <f>IF($C435="","",_xlfn.XLOOKUP($C435,Order!$C:$C,Order!$H:$H,"",0,1))</f>
        <v>0.216</v>
      </c>
      <c r="I435" s="36">
        <f>IF($C435="","",_xlfn.XLOOKUP($C435,Order!$C:$C,Order!$J:$J,"",0,1))</f>
        <v>0</v>
      </c>
      <c r="J435" s="4" t="str">
        <f>IF(C435="","",Order!$J$16)</f>
        <v>SILVER ANODIZED (FAYP01)</v>
      </c>
      <c r="K435" s="36">
        <f>IF($C435="","",_xlfn.XLOOKUP($C435,Order!$C:$C,Order!$P:$P,"",0,1))</f>
        <v>0</v>
      </c>
      <c r="L435" s="4">
        <f t="shared" si="6"/>
        <v>0</v>
      </c>
    </row>
    <row r="436" spans="2:12" ht="23.25" hidden="1" customHeight="1" x14ac:dyDescent="0.25">
      <c r="B436" s="4">
        <v>431</v>
      </c>
      <c r="C436" s="36" t="str">
        <f>IF(Order!$C$102="","",Order!$C$102)</f>
        <v>BX820</v>
      </c>
      <c r="D436" s="36" t="str">
        <f>IF($C436="","",_xlfn.XLOOKUP($C436,Order!$C:$C,Order!$D:$D,"",0,1))</f>
        <v>BX820</v>
      </c>
      <c r="E436" s="4" t="e" vm="290">
        <f>IF($C436="","",_xlfn.XLOOKUP($C436,Order!$C:$C,Order!$E:$E,"",0,1))</f>
        <v>#VALUE!</v>
      </c>
      <c r="F436" s="4">
        <f>IF($C436="","",_xlfn.XLOOKUP($C436,Order!$C:$C,Order!$F:$F,"",0,1))</f>
        <v>6000</v>
      </c>
      <c r="G436" s="4" t="str">
        <f>IF($C436="","",_xlfn.XLOOKUP($C436,Order!$C:$C,Order!$G:$G,"",0,1))</f>
        <v>6063T5</v>
      </c>
      <c r="H436" s="4">
        <f>IF($C436="","",_xlfn.XLOOKUP($C436,Order!$C:$C,Order!$H:$H,"",0,1))</f>
        <v>0.74299999999999999</v>
      </c>
      <c r="I436" s="36">
        <f>IF($C436="","",_xlfn.XLOOKUP($C436,Order!$C:$C,Order!$J:$J,"",0,1))</f>
        <v>0</v>
      </c>
      <c r="J436" s="4" t="str">
        <f>IF(C436="","",Order!$J$16)</f>
        <v>SILVER ANODIZED (FAYP01)</v>
      </c>
      <c r="K436" s="36">
        <f>IF($C436="","",_xlfn.XLOOKUP($C436,Order!$C:$C,Order!$P:$P,"",0,1))</f>
        <v>0</v>
      </c>
      <c r="L436" s="4">
        <f t="shared" si="6"/>
        <v>0</v>
      </c>
    </row>
    <row r="437" spans="2:12" ht="23.25" hidden="1" customHeight="1" x14ac:dyDescent="0.25">
      <c r="B437" s="4">
        <v>432</v>
      </c>
      <c r="C437" s="36" t="str">
        <f>IF(Order!$C$103="","",Order!$C$103)</f>
        <v>BX838</v>
      </c>
      <c r="D437" s="36" t="str">
        <f>IF($C437="","",_xlfn.XLOOKUP($C437,Order!$C:$C,Order!$D:$D,"",0,1))</f>
        <v>BX838</v>
      </c>
      <c r="E437" s="4" t="e" vm="291">
        <f>IF($C437="","",_xlfn.XLOOKUP($C437,Order!$C:$C,Order!$E:$E,"",0,1))</f>
        <v>#VALUE!</v>
      </c>
      <c r="F437" s="4">
        <f>IF($C437="","",_xlfn.XLOOKUP($C437,Order!$C:$C,Order!$F:$F,"",0,1))</f>
        <v>6000</v>
      </c>
      <c r="G437" s="4" t="str">
        <f>IF($C437="","",_xlfn.XLOOKUP($C437,Order!$C:$C,Order!$G:$G,"",0,1))</f>
        <v>6063T5</v>
      </c>
      <c r="H437" s="4">
        <f>IF($C437="","",_xlfn.XLOOKUP($C437,Order!$C:$C,Order!$H:$H,"",0,1))</f>
        <v>0.26800000000000002</v>
      </c>
      <c r="I437" s="36">
        <f>IF($C437="","",_xlfn.XLOOKUP($C437,Order!$C:$C,Order!$J:$J,"",0,1))</f>
        <v>0</v>
      </c>
      <c r="J437" s="4" t="str">
        <f>IF(C437="","",Order!$J$16)</f>
        <v>SILVER ANODIZED (FAYP01)</v>
      </c>
      <c r="K437" s="36">
        <f>IF($C437="","",_xlfn.XLOOKUP($C437,Order!$C:$C,Order!$P:$P,"",0,1))</f>
        <v>0</v>
      </c>
      <c r="L437" s="4">
        <f t="shared" si="6"/>
        <v>0</v>
      </c>
    </row>
    <row r="438" spans="2:12" ht="23.25" hidden="1" customHeight="1" x14ac:dyDescent="0.25">
      <c r="B438" s="4">
        <v>433</v>
      </c>
      <c r="C438" s="36" t="str">
        <f>IF(Order!$C$104="","",Order!$C$104)</f>
        <v>BX855</v>
      </c>
      <c r="D438" s="36" t="str">
        <f>IF($C438="","",_xlfn.XLOOKUP($C438,Order!$C:$C,Order!$D:$D,"",0,1))</f>
        <v>BX855</v>
      </c>
      <c r="E438" s="4" t="e" vm="292">
        <f>IF($C438="","",_xlfn.XLOOKUP($C438,Order!$C:$C,Order!$E:$E,"",0,1))</f>
        <v>#VALUE!</v>
      </c>
      <c r="F438" s="4">
        <f>IF($C438="","",_xlfn.XLOOKUP($C438,Order!$C:$C,Order!$F:$F,"",0,1))</f>
        <v>6000</v>
      </c>
      <c r="G438" s="4" t="str">
        <f>IF($C438="","",_xlfn.XLOOKUP($C438,Order!$C:$C,Order!$G:$G,"",0,1))</f>
        <v>6063T5</v>
      </c>
      <c r="H438" s="4">
        <f>IF($C438="","",_xlfn.XLOOKUP($C438,Order!$C:$C,Order!$H:$H,"",0,1))</f>
        <v>0.34599999999999997</v>
      </c>
      <c r="I438" s="36">
        <f>IF($C438="","",_xlfn.XLOOKUP($C438,Order!$C:$C,Order!$J:$J,"",0,1))</f>
        <v>0</v>
      </c>
      <c r="J438" s="4" t="str">
        <f>IF(C438="","",Order!$J$16)</f>
        <v>SILVER ANODIZED (FAYP01)</v>
      </c>
      <c r="K438" s="36">
        <f>IF($C438="","",_xlfn.XLOOKUP($C438,Order!$C:$C,Order!$P:$P,"",0,1))</f>
        <v>0</v>
      </c>
      <c r="L438" s="4">
        <f t="shared" si="6"/>
        <v>0</v>
      </c>
    </row>
    <row r="439" spans="2:12" ht="23.25" hidden="1" customHeight="1" x14ac:dyDescent="0.25">
      <c r="B439" s="4">
        <v>434</v>
      </c>
      <c r="C439" s="36" t="str">
        <f>IF(Order!$C$105="","",Order!$C$105)</f>
        <v>BX952</v>
      </c>
      <c r="D439" s="36" t="str">
        <f>IF($C439="","",_xlfn.XLOOKUP($C439,Order!$C:$C,Order!$D:$D,"",0,1))</f>
        <v>BX952</v>
      </c>
      <c r="E439" s="4" t="e" vm="293">
        <f>IF($C439="","",_xlfn.XLOOKUP($C439,Order!$C:$C,Order!$E:$E,"",0,1))</f>
        <v>#VALUE!</v>
      </c>
      <c r="F439" s="4">
        <f>IF($C439="","",_xlfn.XLOOKUP($C439,Order!$C:$C,Order!$F:$F,"",0,1))</f>
        <v>6000</v>
      </c>
      <c r="G439" s="4" t="str">
        <f>IF($C439="","",_xlfn.XLOOKUP($C439,Order!$C:$C,Order!$G:$G,"",0,1))</f>
        <v>6063T5</v>
      </c>
      <c r="H439" s="4">
        <f>IF($C439="","",_xlfn.XLOOKUP($C439,Order!$C:$C,Order!$H:$H,"",0,1))</f>
        <v>0.22900000000000001</v>
      </c>
      <c r="I439" s="36">
        <f>IF($C439="","",_xlfn.XLOOKUP($C439,Order!$C:$C,Order!$J:$J,"",0,1))</f>
        <v>0</v>
      </c>
      <c r="J439" s="4" t="str">
        <f>IF(C439="","",Order!$J$16)</f>
        <v>SILVER ANODIZED (FAYP01)</v>
      </c>
      <c r="K439" s="36">
        <f>IF($C439="","",_xlfn.XLOOKUP($C439,Order!$C:$C,Order!$P:$P,"",0,1))</f>
        <v>0</v>
      </c>
      <c r="L439" s="4">
        <f t="shared" si="6"/>
        <v>0</v>
      </c>
    </row>
    <row r="440" spans="2:12" ht="23.25" hidden="1" customHeight="1" x14ac:dyDescent="0.25">
      <c r="B440" s="4">
        <v>435</v>
      </c>
      <c r="C440" s="36" t="str">
        <f>IF(Order!$C$106="","",Order!$C$106)</f>
        <v>BX954</v>
      </c>
      <c r="D440" s="36" t="str">
        <f>IF($C440="","",_xlfn.XLOOKUP($C440,Order!$C:$C,Order!$D:$D,"",0,1))</f>
        <v>BX954</v>
      </c>
      <c r="E440" s="4" t="e" vm="294">
        <f>IF($C440="","",_xlfn.XLOOKUP($C440,Order!$C:$C,Order!$E:$E,"",0,1))</f>
        <v>#VALUE!</v>
      </c>
      <c r="F440" s="4">
        <f>IF($C440="","",_xlfn.XLOOKUP($C440,Order!$C:$C,Order!$F:$F,"",0,1))</f>
        <v>6000</v>
      </c>
      <c r="G440" s="4" t="str">
        <f>IF($C440="","",_xlfn.XLOOKUP($C440,Order!$C:$C,Order!$G:$G,"",0,1))</f>
        <v>6063T5</v>
      </c>
      <c r="H440" s="4">
        <f>IF($C440="","",_xlfn.XLOOKUP($C440,Order!$C:$C,Order!$H:$H,"",0,1))</f>
        <v>0.47199999999999998</v>
      </c>
      <c r="I440" s="36">
        <f>IF($C440="","",_xlfn.XLOOKUP($C440,Order!$C:$C,Order!$J:$J,"",0,1))</f>
        <v>0</v>
      </c>
      <c r="J440" s="4" t="str">
        <f>IF(C440="","",Order!$J$16)</f>
        <v>SILVER ANODIZED (FAYP01)</v>
      </c>
      <c r="K440" s="36">
        <f>IF($C440="","",_xlfn.XLOOKUP($C440,Order!$C:$C,Order!$P:$P,"",0,1))</f>
        <v>0</v>
      </c>
      <c r="L440" s="4">
        <f t="shared" si="6"/>
        <v>0</v>
      </c>
    </row>
    <row r="441" spans="2:12" ht="23.25" hidden="1" customHeight="1" x14ac:dyDescent="0.25">
      <c r="B441" s="4">
        <v>436</v>
      </c>
      <c r="C441" s="36" t="str">
        <f>IF(Order!$C$107="","",Order!$C$107)</f>
        <v>BX955</v>
      </c>
      <c r="D441" s="36" t="str">
        <f>IF($C441="","",_xlfn.XLOOKUP($C441,Order!$C:$C,Order!$D:$D,"",0,1))</f>
        <v>BX955</v>
      </c>
      <c r="E441" s="4" t="e" vm="295">
        <f>IF($C441="","",_xlfn.XLOOKUP($C441,Order!$C:$C,Order!$E:$E,"",0,1))</f>
        <v>#VALUE!</v>
      </c>
      <c r="F441" s="4">
        <f>IF($C441="","",_xlfn.XLOOKUP($C441,Order!$C:$C,Order!$F:$F,"",0,1))</f>
        <v>6000</v>
      </c>
      <c r="G441" s="4" t="str">
        <f>IF($C441="","",_xlfn.XLOOKUP($C441,Order!$C:$C,Order!$G:$G,"",0,1))</f>
        <v>6063T5</v>
      </c>
      <c r="H441" s="4">
        <f>IF($C441="","",_xlfn.XLOOKUP($C441,Order!$C:$C,Order!$H:$H,"",0,1))</f>
        <v>0.18</v>
      </c>
      <c r="I441" s="36">
        <f>IF($C441="","",_xlfn.XLOOKUP($C441,Order!$C:$C,Order!$J:$J,"",0,1))</f>
        <v>0</v>
      </c>
      <c r="J441" s="4" t="str">
        <f>IF(C441="","",Order!$J$16)</f>
        <v>SILVER ANODIZED (FAYP01)</v>
      </c>
      <c r="K441" s="36">
        <f>IF($C441="","",_xlfn.XLOOKUP($C441,Order!$C:$C,Order!$P:$P,"",0,1))</f>
        <v>0</v>
      </c>
      <c r="L441" s="4">
        <f t="shared" si="6"/>
        <v>0</v>
      </c>
    </row>
    <row r="442" spans="2:12" ht="23.25" hidden="1" customHeight="1" x14ac:dyDescent="0.25">
      <c r="B442" s="4">
        <v>437</v>
      </c>
      <c r="C442" s="36" t="str">
        <f>IF(Order!$C$108="","",Order!$C$108)</f>
        <v>BG011</v>
      </c>
      <c r="D442" s="36" t="str">
        <f>IF($C442="","",_xlfn.XLOOKUP($C442,Order!$C:$C,Order!$D:$D,"",0,1))</f>
        <v>BG011</v>
      </c>
      <c r="E442" s="4" t="e" vm="296">
        <f>IF($C442="","",_xlfn.XLOOKUP($C442,Order!$C:$C,Order!$E:$E,"",0,1))</f>
        <v>#VALUE!</v>
      </c>
      <c r="F442" s="4">
        <f>IF($C442="","",_xlfn.XLOOKUP($C442,Order!$C:$C,Order!$F:$F,"",0,1))</f>
        <v>6000</v>
      </c>
      <c r="G442" s="4" t="str">
        <f>IF($C442="","",_xlfn.XLOOKUP($C442,Order!$C:$C,Order!$G:$G,"",0,1))</f>
        <v>6063T5</v>
      </c>
      <c r="H442" s="4">
        <f>IF($C442="","",_xlfn.XLOOKUP($C442,Order!$C:$C,Order!$H:$H,"",0,1))</f>
        <v>8.4000000000000005E-2</v>
      </c>
      <c r="I442" s="36">
        <f>IF($C442="","",_xlfn.XLOOKUP($C442,Order!$C:$C,Order!$J:$J,"",0,1))</f>
        <v>0</v>
      </c>
      <c r="J442" s="4" t="str">
        <f>IF(C442="","",Order!$J$16)</f>
        <v>SILVER ANODIZED (FAYP01)</v>
      </c>
      <c r="K442" s="36">
        <f>IF($C442="","",_xlfn.XLOOKUP($C442,Order!$C:$C,Order!$P:$P,"",0,1))</f>
        <v>0</v>
      </c>
      <c r="L442" s="4">
        <f t="shared" si="6"/>
        <v>0</v>
      </c>
    </row>
    <row r="443" spans="2:12" ht="23.25" hidden="1" customHeight="1" x14ac:dyDescent="0.25">
      <c r="B443" s="4">
        <v>438</v>
      </c>
      <c r="C443" s="36" t="str">
        <f>IF(Order!$C$109="","",Order!$C$109)</f>
        <v>DV110</v>
      </c>
      <c r="D443" s="36" t="str">
        <f>IF($C443="","",_xlfn.XLOOKUP($C443,Order!$C:$C,Order!$D:$D,"",0,1))</f>
        <v>DV110</v>
      </c>
      <c r="E443" s="4" t="e" vm="297">
        <f>IF($C443="","",_xlfn.XLOOKUP($C443,Order!$C:$C,Order!$E:$E,"",0,1))</f>
        <v>#VALUE!</v>
      </c>
      <c r="F443" s="4">
        <f>IF($C443="","",_xlfn.XLOOKUP($C443,Order!$C:$C,Order!$F:$F,"",0,1))</f>
        <v>6000</v>
      </c>
      <c r="G443" s="4" t="str">
        <f>IF($C443="","",_xlfn.XLOOKUP($C443,Order!$C:$C,Order!$G:$G,"",0,1))</f>
        <v>6063T5</v>
      </c>
      <c r="H443" s="4">
        <f>IF($C443="","",_xlfn.XLOOKUP($C443,Order!$C:$C,Order!$H:$H,"",0,1))</f>
        <v>0.28299999999999997</v>
      </c>
      <c r="I443" s="36">
        <f>IF($C443="","",_xlfn.XLOOKUP($C443,Order!$C:$C,Order!$J:$J,"",0,1))</f>
        <v>0</v>
      </c>
      <c r="J443" s="4" t="str">
        <f>IF(C443="","",Order!$J$16)</f>
        <v>SILVER ANODIZED (FAYP01)</v>
      </c>
      <c r="K443" s="36">
        <f>IF($C443="","",_xlfn.XLOOKUP($C443,Order!$C:$C,Order!$P:$P,"",0,1))</f>
        <v>0</v>
      </c>
      <c r="L443" s="4">
        <f t="shared" si="6"/>
        <v>0</v>
      </c>
    </row>
    <row r="444" spans="2:12" ht="23.25" hidden="1" customHeight="1" x14ac:dyDescent="0.25">
      <c r="B444" s="4">
        <v>439</v>
      </c>
      <c r="C444" s="36" t="str">
        <f>IF(Order!$C$110="","",Order!$C$110)</f>
        <v>DV111</v>
      </c>
      <c r="D444" s="36" t="str">
        <f>IF($C444="","",_xlfn.XLOOKUP($C444,Order!$C:$C,Order!$D:$D,"",0,1))</f>
        <v>DV111</v>
      </c>
      <c r="E444" s="4" t="e" vm="298">
        <f>IF($C444="","",_xlfn.XLOOKUP($C444,Order!$C:$C,Order!$E:$E,"",0,1))</f>
        <v>#VALUE!</v>
      </c>
      <c r="F444" s="4">
        <f>IF($C444="","",_xlfn.XLOOKUP($C444,Order!$C:$C,Order!$F:$F,"",0,1))</f>
        <v>6000</v>
      </c>
      <c r="G444" s="4" t="str">
        <f>IF($C444="","",_xlfn.XLOOKUP($C444,Order!$C:$C,Order!$G:$G,"",0,1))</f>
        <v>6063T5</v>
      </c>
      <c r="H444" s="4">
        <f>IF($C444="","",_xlfn.XLOOKUP($C444,Order!$C:$C,Order!$H:$H,"",0,1))</f>
        <v>0.188</v>
      </c>
      <c r="I444" s="36">
        <f>IF($C444="","",_xlfn.XLOOKUP($C444,Order!$C:$C,Order!$J:$J,"",0,1))</f>
        <v>0</v>
      </c>
      <c r="J444" s="4" t="str">
        <f>IF(C444="","",Order!$J$16)</f>
        <v>SILVER ANODIZED (FAYP01)</v>
      </c>
      <c r="K444" s="36">
        <f>IF($C444="","",_xlfn.XLOOKUP($C444,Order!$C:$C,Order!$P:$P,"",0,1))</f>
        <v>0</v>
      </c>
      <c r="L444" s="4">
        <f t="shared" si="6"/>
        <v>0</v>
      </c>
    </row>
    <row r="445" spans="2:12" ht="23.25" hidden="1" customHeight="1" x14ac:dyDescent="0.25">
      <c r="B445" s="4">
        <v>440</v>
      </c>
      <c r="C445" s="36" t="str">
        <f>IF(Order!$C$111="","",Order!$C$111)</f>
        <v>DV112</v>
      </c>
      <c r="D445" s="36" t="str">
        <f>IF($C445="","",_xlfn.XLOOKUP($C445,Order!$C:$C,Order!$D:$D,"",0,1))</f>
        <v>DV112</v>
      </c>
      <c r="E445" s="4" t="e" vm="299">
        <f>IF($C445="","",_xlfn.XLOOKUP($C445,Order!$C:$C,Order!$E:$E,"",0,1))</f>
        <v>#VALUE!</v>
      </c>
      <c r="F445" s="4">
        <f>IF($C445="","",_xlfn.XLOOKUP($C445,Order!$C:$C,Order!$F:$F,"",0,1))</f>
        <v>6000</v>
      </c>
      <c r="G445" s="4" t="str">
        <f>IF($C445="","",_xlfn.XLOOKUP($C445,Order!$C:$C,Order!$G:$G,"",0,1))</f>
        <v>6063T5</v>
      </c>
      <c r="H445" s="4">
        <f>IF($C445="","",_xlfn.XLOOKUP($C445,Order!$C:$C,Order!$H:$H,"",0,1))</f>
        <v>0.23200000000000001</v>
      </c>
      <c r="I445" s="36">
        <f>IF($C445="","",_xlfn.XLOOKUP($C445,Order!$C:$C,Order!$J:$J,"",0,1))</f>
        <v>0</v>
      </c>
      <c r="J445" s="4" t="str">
        <f>IF(C445="","",Order!$J$16)</f>
        <v>SILVER ANODIZED (FAYP01)</v>
      </c>
      <c r="K445" s="36">
        <f>IF($C445="","",_xlfn.XLOOKUP($C445,Order!$C:$C,Order!$P:$P,"",0,1))</f>
        <v>0</v>
      </c>
      <c r="L445" s="4">
        <f t="shared" si="6"/>
        <v>0</v>
      </c>
    </row>
    <row r="446" spans="2:12" ht="23.25" hidden="1" customHeight="1" x14ac:dyDescent="0.25">
      <c r="B446" s="4">
        <v>441</v>
      </c>
      <c r="C446" s="36" t="str">
        <f>IF(Order!$C$112="","",Order!$C$112)</f>
        <v>DV132</v>
      </c>
      <c r="D446" s="36" t="str">
        <f>IF($C446="","",_xlfn.XLOOKUP($C446,Order!$C:$C,Order!$D:$D,"",0,1))</f>
        <v>DV132</v>
      </c>
      <c r="E446" s="4" t="e" vm="300">
        <f>IF($C446="","",_xlfn.XLOOKUP($C446,Order!$C:$C,Order!$E:$E,"",0,1))</f>
        <v>#VALUE!</v>
      </c>
      <c r="F446" s="4">
        <f>IF($C446="","",_xlfn.XLOOKUP($C446,Order!$C:$C,Order!$F:$F,"",0,1))</f>
        <v>6000</v>
      </c>
      <c r="G446" s="4" t="str">
        <f>IF($C446="","",_xlfn.XLOOKUP($C446,Order!$C:$C,Order!$G:$G,"",0,1))</f>
        <v>6063T5</v>
      </c>
      <c r="H446" s="4">
        <f>IF($C446="","",_xlfn.XLOOKUP($C446,Order!$C:$C,Order!$H:$H,"",0,1))</f>
        <v>0.246</v>
      </c>
      <c r="I446" s="36">
        <f>IF($C446="","",_xlfn.XLOOKUP($C446,Order!$C:$C,Order!$J:$J,"",0,1))</f>
        <v>0</v>
      </c>
      <c r="J446" s="4" t="str">
        <f>IF(C446="","",Order!$J$16)</f>
        <v>SILVER ANODIZED (FAYP01)</v>
      </c>
      <c r="K446" s="36">
        <f>IF($C446="","",_xlfn.XLOOKUP($C446,Order!$C:$C,Order!$P:$P,"",0,1))</f>
        <v>0</v>
      </c>
      <c r="L446" s="4">
        <f t="shared" si="6"/>
        <v>0</v>
      </c>
    </row>
    <row r="447" spans="2:12" ht="23.25" hidden="1" customHeight="1" x14ac:dyDescent="0.25">
      <c r="B447" s="4">
        <v>442</v>
      </c>
      <c r="C447" s="36" t="str">
        <f>IF(Order!$C$113="","",Order!$C$113)</f>
        <v>BX796</v>
      </c>
      <c r="D447" s="36" t="str">
        <f>IF($C447="","",_xlfn.XLOOKUP($C447,Order!$C:$C,Order!$D:$D,"",0,1))</f>
        <v>BX796</v>
      </c>
      <c r="E447" s="4" t="e" vm="301">
        <f>IF($C447="","",_xlfn.XLOOKUP($C447,Order!$C:$C,Order!$E:$E,"",0,1))</f>
        <v>#VALUE!</v>
      </c>
      <c r="F447" s="4">
        <f>IF($C447="","",_xlfn.XLOOKUP($C447,Order!$C:$C,Order!$F:$F,"",0,1))</f>
        <v>6000</v>
      </c>
      <c r="G447" s="4" t="str">
        <f>IF($C447="","",_xlfn.XLOOKUP($C447,Order!$C:$C,Order!$G:$G,"",0,1))</f>
        <v>6063T5</v>
      </c>
      <c r="H447" s="4">
        <f>IF($C447="","",_xlfn.XLOOKUP($C447,Order!$C:$C,Order!$H:$H,"",0,1))</f>
        <v>0.22700000000000001</v>
      </c>
      <c r="I447" s="36">
        <f>IF($C447="","",_xlfn.XLOOKUP($C447,Order!$C:$C,Order!$J:$J,"",0,1))</f>
        <v>0</v>
      </c>
      <c r="J447" s="4" t="str">
        <f>IF(C447="","",Order!$J$16)</f>
        <v>SILVER ANODIZED (FAYP01)</v>
      </c>
      <c r="K447" s="36">
        <f>IF($C447="","",_xlfn.XLOOKUP($C447,Order!$C:$C,Order!$P:$P,"",0,1))</f>
        <v>0</v>
      </c>
      <c r="L447" s="4">
        <f t="shared" si="6"/>
        <v>0</v>
      </c>
    </row>
    <row r="448" spans="2:12" ht="23.25" hidden="1" customHeight="1" x14ac:dyDescent="0.25">
      <c r="B448" s="4">
        <v>443</v>
      </c>
      <c r="C448" s="36" t="str">
        <f>IF(Order!$C$114="","",Order!$C$114)</f>
        <v>BX797</v>
      </c>
      <c r="D448" s="36" t="str">
        <f>IF($C448="","",_xlfn.XLOOKUP($C448,Order!$C:$C,Order!$D:$D,"",0,1))</f>
        <v>BX797</v>
      </c>
      <c r="E448" s="4" t="e" vm="302">
        <f>IF($C448="","",_xlfn.XLOOKUP($C448,Order!$C:$C,Order!$E:$E,"",0,1))</f>
        <v>#VALUE!</v>
      </c>
      <c r="F448" s="4">
        <f>IF($C448="","",_xlfn.XLOOKUP($C448,Order!$C:$C,Order!$F:$F,"",0,1))</f>
        <v>6000</v>
      </c>
      <c r="G448" s="4" t="str">
        <f>IF($C448="","",_xlfn.XLOOKUP($C448,Order!$C:$C,Order!$G:$G,"",0,1))</f>
        <v>6063T5</v>
      </c>
      <c r="H448" s="4">
        <f>IF($C448="","",_xlfn.XLOOKUP($C448,Order!$C:$C,Order!$H:$H,"",0,1))</f>
        <v>8.6999999999999994E-2</v>
      </c>
      <c r="I448" s="36">
        <f>IF($C448="","",_xlfn.XLOOKUP($C448,Order!$C:$C,Order!$J:$J,"",0,1))</f>
        <v>0</v>
      </c>
      <c r="J448" s="4" t="str">
        <f>IF(C448="","",Order!$J$16)</f>
        <v>SILVER ANODIZED (FAYP01)</v>
      </c>
      <c r="K448" s="36">
        <f>IF($C448="","",_xlfn.XLOOKUP($C448,Order!$C:$C,Order!$P:$P,"",0,1))</f>
        <v>0</v>
      </c>
      <c r="L448" s="4">
        <f t="shared" si="6"/>
        <v>0</v>
      </c>
    </row>
    <row r="449" spans="2:12" ht="23.25" hidden="1" customHeight="1" x14ac:dyDescent="0.25">
      <c r="B449" s="4">
        <v>444</v>
      </c>
      <c r="C449" s="36" t="str">
        <f>IF(Order!$C$115="","",Order!$C$115)</f>
        <v>BX798</v>
      </c>
      <c r="D449" s="36" t="str">
        <f>IF($C449="","",_xlfn.XLOOKUP($C449,Order!$C:$C,Order!$D:$D,"",0,1))</f>
        <v>BX798</v>
      </c>
      <c r="E449" s="4" t="e" vm="303">
        <f>IF($C449="","",_xlfn.XLOOKUP($C449,Order!$C:$C,Order!$E:$E,"",0,1))</f>
        <v>#VALUE!</v>
      </c>
      <c r="F449" s="4">
        <f>IF($C449="","",_xlfn.XLOOKUP($C449,Order!$C:$C,Order!$F:$F,"",0,1))</f>
        <v>6000</v>
      </c>
      <c r="G449" s="4" t="str">
        <f>IF($C449="","",_xlfn.XLOOKUP($C449,Order!$C:$C,Order!$G:$G,"",0,1))</f>
        <v>6063T5</v>
      </c>
      <c r="H449" s="4">
        <f>IF($C449="","",_xlfn.XLOOKUP($C449,Order!$C:$C,Order!$H:$H,"",0,1))</f>
        <v>0.20300000000000001</v>
      </c>
      <c r="I449" s="36">
        <f>IF($C449="","",_xlfn.XLOOKUP($C449,Order!$C:$C,Order!$J:$J,"",0,1))</f>
        <v>0</v>
      </c>
      <c r="J449" s="4" t="str">
        <f>IF(C449="","",Order!$J$16)</f>
        <v>SILVER ANODIZED (FAYP01)</v>
      </c>
      <c r="K449" s="36">
        <f>IF($C449="","",_xlfn.XLOOKUP($C449,Order!$C:$C,Order!$P:$P,"",0,1))</f>
        <v>0</v>
      </c>
      <c r="L449" s="4">
        <f t="shared" si="6"/>
        <v>0</v>
      </c>
    </row>
    <row r="450" spans="2:12" ht="23.25" hidden="1" customHeight="1" x14ac:dyDescent="0.25">
      <c r="B450" s="4">
        <v>445</v>
      </c>
      <c r="C450" s="36" t="str">
        <f>IF(Order!$C$116="","",Order!$C$116)</f>
        <v>BX799</v>
      </c>
      <c r="D450" s="36" t="str">
        <f>IF($C450="","",_xlfn.XLOOKUP($C450,Order!$C:$C,Order!$D:$D,"",0,1))</f>
        <v>BX799</v>
      </c>
      <c r="E450" s="4" t="e" vm="304">
        <f>IF($C450="","",_xlfn.XLOOKUP($C450,Order!$C:$C,Order!$E:$E,"",0,1))</f>
        <v>#VALUE!</v>
      </c>
      <c r="F450" s="4">
        <f>IF($C450="","",_xlfn.XLOOKUP($C450,Order!$C:$C,Order!$F:$F,"",0,1))</f>
        <v>6000</v>
      </c>
      <c r="G450" s="4" t="str">
        <f>IF($C450="","",_xlfn.XLOOKUP($C450,Order!$C:$C,Order!$G:$G,"",0,1))</f>
        <v>6063T5</v>
      </c>
      <c r="H450" s="4">
        <f>IF($C450="","",_xlfn.XLOOKUP($C450,Order!$C:$C,Order!$H:$H,"",0,1))</f>
        <v>0.16300000000000001</v>
      </c>
      <c r="I450" s="36">
        <f>IF($C450="","",_xlfn.XLOOKUP($C450,Order!$C:$C,Order!$J:$J,"",0,1))</f>
        <v>0</v>
      </c>
      <c r="J450" s="4" t="str">
        <f>IF(C450="","",Order!$J$16)</f>
        <v>SILVER ANODIZED (FAYP01)</v>
      </c>
      <c r="K450" s="36">
        <f>IF($C450="","",_xlfn.XLOOKUP($C450,Order!$C:$C,Order!$P:$P,"",0,1))</f>
        <v>0</v>
      </c>
      <c r="L450" s="4">
        <f t="shared" si="6"/>
        <v>0</v>
      </c>
    </row>
    <row r="451" spans="2:12" ht="23.25" hidden="1" customHeight="1" x14ac:dyDescent="0.25">
      <c r="B451" s="4">
        <v>446</v>
      </c>
      <c r="C451" s="36" t="str">
        <f>IF(Order!$C$117="","",Order!$C$117)</f>
        <v>BX958</v>
      </c>
      <c r="D451" s="36" t="str">
        <f>IF($C451="","",_xlfn.XLOOKUP($C451,Order!$C:$C,Order!$D:$D,"",0,1))</f>
        <v>BX958</v>
      </c>
      <c r="E451" s="4" t="e" vm="305">
        <f>IF($C451="","",_xlfn.XLOOKUP($C451,Order!$C:$C,Order!$E:$E,"",0,1))</f>
        <v>#VALUE!</v>
      </c>
      <c r="F451" s="4">
        <f>IF($C451="","",_xlfn.XLOOKUP($C451,Order!$C:$C,Order!$F:$F,"",0,1))</f>
        <v>6000</v>
      </c>
      <c r="G451" s="4" t="str">
        <f>IF($C451="","",_xlfn.XLOOKUP($C451,Order!$C:$C,Order!$G:$G,"",0,1))</f>
        <v>6063T5</v>
      </c>
      <c r="H451" s="4">
        <f>IF($C451="","",_xlfn.XLOOKUP($C451,Order!$C:$C,Order!$H:$H,"",0,1))</f>
        <v>0.48199999999999998</v>
      </c>
      <c r="I451" s="36">
        <f>IF($C451="","",_xlfn.XLOOKUP($C451,Order!$C:$C,Order!$J:$J,"",0,1))</f>
        <v>0</v>
      </c>
      <c r="J451" s="4" t="str">
        <f>IF(C451="","",Order!$J$16)</f>
        <v>SILVER ANODIZED (FAYP01)</v>
      </c>
      <c r="K451" s="36">
        <f>IF($C451="","",_xlfn.XLOOKUP($C451,Order!$C:$C,Order!$P:$P,"",0,1))</f>
        <v>0</v>
      </c>
      <c r="L451" s="4">
        <f t="shared" si="6"/>
        <v>0</v>
      </c>
    </row>
    <row r="452" spans="2:12" ht="23.25" hidden="1" customHeight="1" x14ac:dyDescent="0.25">
      <c r="B452" s="4">
        <v>447</v>
      </c>
      <c r="C452" s="36" t="str">
        <f>IF(Order!$C$118="","",Order!$C$118)</f>
        <v>BG202</v>
      </c>
      <c r="D452" s="36" t="str">
        <f>IF($C452="","",_xlfn.XLOOKUP($C452,Order!$C:$C,Order!$D:$D,"",0,1))</f>
        <v>BG202</v>
      </c>
      <c r="E452" s="4" t="e" vm="306">
        <f>IF($C452="","",_xlfn.XLOOKUP($C452,Order!$C:$C,Order!$E:$E,"",0,1))</f>
        <v>#VALUE!</v>
      </c>
      <c r="F452" s="4">
        <f>IF($C452="","",_xlfn.XLOOKUP($C452,Order!$C:$C,Order!$F:$F,"",0,1))</f>
        <v>6000</v>
      </c>
      <c r="G452" s="4" t="str">
        <f>IF($C452="","",_xlfn.XLOOKUP($C452,Order!$C:$C,Order!$G:$G,"",0,1))</f>
        <v>6063T5</v>
      </c>
      <c r="H452" s="4">
        <f>IF($C452="","",_xlfn.XLOOKUP($C452,Order!$C:$C,Order!$H:$H,"",0,1))</f>
        <v>8.8999999999999996E-2</v>
      </c>
      <c r="I452" s="36">
        <f>IF($C452="","",_xlfn.XLOOKUP($C452,Order!$C:$C,Order!$J:$J,"",0,1))</f>
        <v>0</v>
      </c>
      <c r="J452" s="4" t="str">
        <f>IF(C452="","",Order!$J$16)</f>
        <v>SILVER ANODIZED (FAYP01)</v>
      </c>
      <c r="K452" s="36">
        <f>IF($C452="","",_xlfn.XLOOKUP($C452,Order!$C:$C,Order!$P:$P,"",0,1))</f>
        <v>0</v>
      </c>
      <c r="L452" s="4">
        <f t="shared" si="6"/>
        <v>0</v>
      </c>
    </row>
    <row r="453" spans="2:12" ht="23.25" hidden="1" customHeight="1" x14ac:dyDescent="0.25">
      <c r="B453" s="4">
        <v>448</v>
      </c>
      <c r="C453" s="36" t="str">
        <f>IF(Order!$C$119="","",Order!$C$119)</f>
        <v>MP069</v>
      </c>
      <c r="D453" s="36" t="str">
        <f>IF($C453="","",_xlfn.XLOOKUP($C453,Order!$C:$C,Order!$D:$D,"",0,1))</f>
        <v>MP069</v>
      </c>
      <c r="E453" s="4" t="e" vm="307">
        <f>IF($C453="","",_xlfn.XLOOKUP($C453,Order!$C:$C,Order!$E:$E,"",0,1))</f>
        <v>#VALUE!</v>
      </c>
      <c r="F453" s="4">
        <f>IF($C453="","",_xlfn.XLOOKUP($C453,Order!$C:$C,Order!$F:$F,"",0,1))</f>
        <v>0</v>
      </c>
      <c r="G453" s="4" t="str">
        <f>IF($C453="","",_xlfn.XLOOKUP($C453,Order!$C:$C,Order!$G:$G,"",0,1))</f>
        <v>6063T5</v>
      </c>
      <c r="H453" s="4">
        <f>IF($C453="","",_xlfn.XLOOKUP($C453,Order!$C:$C,Order!$H:$H,"",0,1))</f>
        <v>0.57799999999999996</v>
      </c>
      <c r="I453" s="36">
        <f>IF($C453="","",_xlfn.XLOOKUP($C453,Order!$C:$C,Order!$J:$J,"",0,1))</f>
        <v>0</v>
      </c>
      <c r="J453" s="4" t="str">
        <f>IF(C453="","",Order!$J$16)</f>
        <v>SILVER ANODIZED (FAYP01)</v>
      </c>
      <c r="K453" s="36">
        <f>IF($C453="","",_xlfn.XLOOKUP($C453,Order!$C:$C,Order!$P:$P,"",0,1))</f>
        <v>0</v>
      </c>
      <c r="L453" s="4">
        <f t="shared" si="6"/>
        <v>0</v>
      </c>
    </row>
    <row r="454" spans="2:12" ht="23.25" hidden="1" customHeight="1" x14ac:dyDescent="0.25">
      <c r="B454" s="4">
        <v>449</v>
      </c>
      <c r="C454" s="36" t="str">
        <f>IF(Order!$C$120="","",Order!$C$120)</f>
        <v>MP070</v>
      </c>
      <c r="D454" s="36" t="str">
        <f>IF($C454="","",_xlfn.XLOOKUP($C454,Order!$C:$C,Order!$D:$D,"",0,1))</f>
        <v>MP070</v>
      </c>
      <c r="E454" s="4" t="e" vm="308">
        <f>IF($C454="","",_xlfn.XLOOKUP($C454,Order!$C:$C,Order!$E:$E,"",0,1))</f>
        <v>#VALUE!</v>
      </c>
      <c r="F454" s="4">
        <f>IF($C454="","",_xlfn.XLOOKUP($C454,Order!$C:$C,Order!$F:$F,"",0,1))</f>
        <v>0</v>
      </c>
      <c r="G454" s="4" t="str">
        <f>IF($C454="","",_xlfn.XLOOKUP($C454,Order!$C:$C,Order!$G:$G,"",0,1))</f>
        <v>6063T5</v>
      </c>
      <c r="H454" s="4">
        <f>IF($C454="","",_xlfn.XLOOKUP($C454,Order!$C:$C,Order!$H:$H,"",0,1))</f>
        <v>0.46800000000000003</v>
      </c>
      <c r="I454" s="36">
        <f>IF($C454="","",_xlfn.XLOOKUP($C454,Order!$C:$C,Order!$J:$J,"",0,1))</f>
        <v>0</v>
      </c>
      <c r="J454" s="4" t="str">
        <f>IF(C454="","",Order!$J$16)</f>
        <v>SILVER ANODIZED (FAYP01)</v>
      </c>
      <c r="K454" s="36">
        <f>IF($C454="","",_xlfn.XLOOKUP($C454,Order!$C:$C,Order!$P:$P,"",0,1))</f>
        <v>0</v>
      </c>
      <c r="L454" s="4">
        <f t="shared" si="6"/>
        <v>0</v>
      </c>
    </row>
    <row r="455" spans="2:12" ht="23.25" hidden="1" customHeight="1" x14ac:dyDescent="0.25">
      <c r="B455" s="4">
        <v>450</v>
      </c>
      <c r="C455" s="36" t="str">
        <f>IF(Order!$C$121="","",Order!$C$121)</f>
        <v>MP300</v>
      </c>
      <c r="D455" s="36" t="str">
        <f>IF($C455="","",_xlfn.XLOOKUP($C455,Order!$C:$C,Order!$D:$D,"",0,1))</f>
        <v>MP300MP</v>
      </c>
      <c r="E455" s="4" t="e" vm="309">
        <f>IF($C455="","",_xlfn.XLOOKUP($C455,Order!$C:$C,Order!$E:$E,"",0,1))</f>
        <v>#VALUE!</v>
      </c>
      <c r="F455" s="4">
        <f>IF($C455="","",_xlfn.XLOOKUP($C455,Order!$C:$C,Order!$F:$F,"",0,1))</f>
        <v>6000</v>
      </c>
      <c r="G455" s="4" t="str">
        <f>IF($C455="","",_xlfn.XLOOKUP($C455,Order!$C:$C,Order!$G:$G,"",0,1))</f>
        <v>6063T5</v>
      </c>
      <c r="H455" s="4">
        <f>IF($C455="","",_xlfn.XLOOKUP($C455,Order!$C:$C,Order!$H:$H,"",0,1))</f>
        <v>0.29799999999999999</v>
      </c>
      <c r="I455" s="36">
        <f>IF($C455="","",_xlfn.XLOOKUP($C455,Order!$C:$C,Order!$J:$J,"",0,1))</f>
        <v>0</v>
      </c>
      <c r="J455" s="4" t="str">
        <f>IF(C455="","",Order!$J$16)</f>
        <v>SILVER ANODIZED (FAYP01)</v>
      </c>
      <c r="K455" s="36">
        <f>IF($C455="","",_xlfn.XLOOKUP($C455,Order!$C:$C,Order!$P:$P,"",0,1))</f>
        <v>0</v>
      </c>
      <c r="L455" s="4">
        <f t="shared" ref="L455:L518" si="7">IF(C455="","",F455/1000*H455*I455)</f>
        <v>0</v>
      </c>
    </row>
    <row r="456" spans="2:12" ht="23.25" hidden="1" customHeight="1" x14ac:dyDescent="0.25">
      <c r="B456" s="4">
        <v>451</v>
      </c>
      <c r="C456" s="36" t="str">
        <f>IF(Order!$C$122="","",Order!$C$122)</f>
        <v>MP302</v>
      </c>
      <c r="D456" s="36" t="str">
        <f>IF($C456="","",_xlfn.XLOOKUP($C456,Order!$C:$C,Order!$D:$D,"",0,1))</f>
        <v>MP302</v>
      </c>
      <c r="E456" s="4" t="e" vm="310">
        <f>IF($C456="","",_xlfn.XLOOKUP($C456,Order!$C:$C,Order!$E:$E,"",0,1))</f>
        <v>#VALUE!</v>
      </c>
      <c r="F456" s="4">
        <f>IF($C456="","",_xlfn.XLOOKUP($C456,Order!$C:$C,Order!$F:$F,"",0,1))</f>
        <v>6000</v>
      </c>
      <c r="G456" s="4" t="str">
        <f>IF($C456="","",_xlfn.XLOOKUP($C456,Order!$C:$C,Order!$G:$G,"",0,1))</f>
        <v>6063T5</v>
      </c>
      <c r="H456" s="4">
        <f>IF($C456="","",_xlfn.XLOOKUP($C456,Order!$C:$C,Order!$H:$H,"",0,1))</f>
        <v>0.34399999999999997</v>
      </c>
      <c r="I456" s="36">
        <f>IF($C456="","",_xlfn.XLOOKUP($C456,Order!$C:$C,Order!$J:$J,"",0,1))</f>
        <v>0</v>
      </c>
      <c r="J456" s="4" t="str">
        <f>IF(C456="","",Order!$J$16)</f>
        <v>SILVER ANODIZED (FAYP01)</v>
      </c>
      <c r="K456" s="36">
        <f>IF($C456="","",_xlfn.XLOOKUP($C456,Order!$C:$C,Order!$P:$P,"",0,1))</f>
        <v>0</v>
      </c>
      <c r="L456" s="4">
        <f t="shared" si="7"/>
        <v>0</v>
      </c>
    </row>
    <row r="457" spans="2:12" ht="23.25" hidden="1" customHeight="1" x14ac:dyDescent="0.25">
      <c r="B457" s="4">
        <v>452</v>
      </c>
      <c r="C457" s="36" t="str">
        <f>IF(Order!$C$123="","",Order!$C$123)</f>
        <v>MP309</v>
      </c>
      <c r="D457" s="36" t="str">
        <f>IF($C457="","",_xlfn.XLOOKUP($C457,Order!$C:$C,Order!$D:$D,"",0,1))</f>
        <v>MP309</v>
      </c>
      <c r="E457" s="4" t="e" vm="311">
        <f>IF($C457="","",_xlfn.XLOOKUP($C457,Order!$C:$C,Order!$E:$E,"",0,1))</f>
        <v>#VALUE!</v>
      </c>
      <c r="F457" s="4">
        <f>IF($C457="","",_xlfn.XLOOKUP($C457,Order!$C:$C,Order!$F:$F,"",0,1))</f>
        <v>6000</v>
      </c>
      <c r="G457" s="4" t="str">
        <f>IF($C457="","",_xlfn.XLOOKUP($C457,Order!$C:$C,Order!$G:$G,"",0,1))</f>
        <v>6063T5</v>
      </c>
      <c r="H457" s="4">
        <f>IF($C457="","",_xlfn.XLOOKUP($C457,Order!$C:$C,Order!$H:$H,"",0,1))</f>
        <v>0.36499999999999999</v>
      </c>
      <c r="I457" s="36">
        <f>IF($C457="","",_xlfn.XLOOKUP($C457,Order!$C:$C,Order!$J:$J,"",0,1))</f>
        <v>0</v>
      </c>
      <c r="J457" s="4" t="str">
        <f>IF(C457="","",Order!$J$16)</f>
        <v>SILVER ANODIZED (FAYP01)</v>
      </c>
      <c r="K457" s="36">
        <f>IF($C457="","",_xlfn.XLOOKUP($C457,Order!$C:$C,Order!$P:$P,"",0,1))</f>
        <v>0</v>
      </c>
      <c r="L457" s="4">
        <f t="shared" si="7"/>
        <v>0</v>
      </c>
    </row>
    <row r="458" spans="2:12" ht="23.25" hidden="1" customHeight="1" x14ac:dyDescent="0.25">
      <c r="B458" s="4">
        <v>453</v>
      </c>
      <c r="C458" s="36" t="str">
        <f>IF(Order!$C$124="","",Order!$C$124)</f>
        <v>MP321</v>
      </c>
      <c r="D458" s="36" t="str">
        <f>IF($C458="","",_xlfn.XLOOKUP($C458,Order!$C:$C,Order!$D:$D,"",0,1))</f>
        <v>MP321MP</v>
      </c>
      <c r="E458" s="4" t="e" vm="312">
        <f>IF($C458="","",_xlfn.XLOOKUP($C458,Order!$C:$C,Order!$E:$E,"",0,1))</f>
        <v>#VALUE!</v>
      </c>
      <c r="F458" s="4">
        <f>IF($C458="","",_xlfn.XLOOKUP($C458,Order!$C:$C,Order!$F:$F,"",0,1))</f>
        <v>6000</v>
      </c>
      <c r="G458" s="4" t="str">
        <f>IF($C458="","",_xlfn.XLOOKUP($C458,Order!$C:$C,Order!$G:$G,"",0,1))</f>
        <v>6063T5</v>
      </c>
      <c r="H458" s="4">
        <f>IF($C458="","",_xlfn.XLOOKUP($C458,Order!$C:$C,Order!$H:$H,"",0,1))</f>
        <v>0.33900000000000002</v>
      </c>
      <c r="I458" s="36">
        <f>IF($C458="","",_xlfn.XLOOKUP($C458,Order!$C:$C,Order!$J:$J,"",0,1))</f>
        <v>0</v>
      </c>
      <c r="J458" s="4" t="str">
        <f>IF(C458="","",Order!$J$16)</f>
        <v>SILVER ANODIZED (FAYP01)</v>
      </c>
      <c r="K458" s="36">
        <f>IF($C458="","",_xlfn.XLOOKUP($C458,Order!$C:$C,Order!$P:$P,"",0,1))</f>
        <v>0</v>
      </c>
      <c r="L458" s="4">
        <f t="shared" si="7"/>
        <v>0</v>
      </c>
    </row>
    <row r="459" spans="2:12" ht="23.25" hidden="1" customHeight="1" x14ac:dyDescent="0.25">
      <c r="B459" s="4">
        <v>454</v>
      </c>
      <c r="C459" s="36" t="str">
        <f>IF(Order!$C$125="","",Order!$C$125)</f>
        <v>MP332</v>
      </c>
      <c r="D459" s="36" t="str">
        <f>IF($C459="","",_xlfn.XLOOKUP($C459,Order!$C:$C,Order!$D:$D,"",0,1))</f>
        <v>MP332</v>
      </c>
      <c r="E459" s="4" t="e" vm="313">
        <f>IF($C459="","",_xlfn.XLOOKUP($C459,Order!$C:$C,Order!$E:$E,"",0,1))</f>
        <v>#VALUE!</v>
      </c>
      <c r="F459" s="4">
        <f>IF($C459="","",_xlfn.XLOOKUP($C459,Order!$C:$C,Order!$F:$F,"",0,1))</f>
        <v>6000</v>
      </c>
      <c r="G459" s="4" t="str">
        <f>IF($C459="","",_xlfn.XLOOKUP($C459,Order!$C:$C,Order!$G:$G,"",0,1))</f>
        <v>6063T5</v>
      </c>
      <c r="H459" s="4">
        <f>IF($C459="","",_xlfn.XLOOKUP($C459,Order!$C:$C,Order!$H:$H,"",0,1))</f>
        <v>0.47599999999999998</v>
      </c>
      <c r="I459" s="36">
        <f>IF($C459="","",_xlfn.XLOOKUP($C459,Order!$C:$C,Order!$J:$J,"",0,1))</f>
        <v>0</v>
      </c>
      <c r="J459" s="4" t="str">
        <f>IF(C459="","",Order!$J$16)</f>
        <v>SILVER ANODIZED (FAYP01)</v>
      </c>
      <c r="K459" s="36">
        <f>IF($C459="","",_xlfn.XLOOKUP($C459,Order!$C:$C,Order!$P:$P,"",0,1))</f>
        <v>0</v>
      </c>
      <c r="L459" s="4">
        <f t="shared" si="7"/>
        <v>0</v>
      </c>
    </row>
    <row r="460" spans="2:12" ht="23.25" hidden="1" customHeight="1" x14ac:dyDescent="0.25">
      <c r="B460" s="4">
        <v>455</v>
      </c>
      <c r="C460" s="36" t="str">
        <f>IF(Order!$C$126="","",Order!$C$126)</f>
        <v>MP336</v>
      </c>
      <c r="D460" s="36" t="str">
        <f>IF($C460="","",_xlfn.XLOOKUP($C460,Order!$C:$C,Order!$D:$D,"",0,1))</f>
        <v>MP336MP</v>
      </c>
      <c r="E460" s="4" t="e" vm="314">
        <f>IF($C460="","",_xlfn.XLOOKUP($C460,Order!$C:$C,Order!$E:$E,"",0,1))</f>
        <v>#VALUE!</v>
      </c>
      <c r="F460" s="4">
        <f>IF($C460="","",_xlfn.XLOOKUP($C460,Order!$C:$C,Order!$F:$F,"",0,1))</f>
        <v>0</v>
      </c>
      <c r="G460" s="4" t="str">
        <f>IF($C460="","",_xlfn.XLOOKUP($C460,Order!$C:$C,Order!$G:$G,"",0,1))</f>
        <v>6063T5</v>
      </c>
      <c r="H460" s="4">
        <f>IF($C460="","",_xlfn.XLOOKUP($C460,Order!$C:$C,Order!$H:$H,"",0,1))</f>
        <v>0.42299999999999999</v>
      </c>
      <c r="I460" s="36">
        <f>IF($C460="","",_xlfn.XLOOKUP($C460,Order!$C:$C,Order!$J:$J,"",0,1))</f>
        <v>0</v>
      </c>
      <c r="J460" s="4" t="str">
        <f>IF(C460="","",Order!$J$16)</f>
        <v>SILVER ANODIZED (FAYP01)</v>
      </c>
      <c r="K460" s="36">
        <f>IF($C460="","",_xlfn.XLOOKUP($C460,Order!$C:$C,Order!$P:$P,"",0,1))</f>
        <v>0</v>
      </c>
      <c r="L460" s="4">
        <f t="shared" si="7"/>
        <v>0</v>
      </c>
    </row>
    <row r="461" spans="2:12" ht="23.25" hidden="1" customHeight="1" x14ac:dyDescent="0.25">
      <c r="B461" s="4">
        <v>456</v>
      </c>
      <c r="C461" s="36" t="str">
        <f>IF(Order!$C$127="","",Order!$C$127)</f>
        <v>MP352</v>
      </c>
      <c r="D461" s="36" t="str">
        <f>IF($C461="","",_xlfn.XLOOKUP($C461,Order!$C:$C,Order!$D:$D,"",0,1))</f>
        <v>MP352</v>
      </c>
      <c r="E461" s="4" t="e" vm="315">
        <f>IF($C461="","",_xlfn.XLOOKUP($C461,Order!$C:$C,Order!$E:$E,"",0,1))</f>
        <v>#VALUE!</v>
      </c>
      <c r="F461" s="4">
        <f>IF($C461="","",_xlfn.XLOOKUP($C461,Order!$C:$C,Order!$F:$F,"",0,1))</f>
        <v>6000</v>
      </c>
      <c r="G461" s="4" t="str">
        <f>IF($C461="","",_xlfn.XLOOKUP($C461,Order!$C:$C,Order!$G:$G,"",0,1))</f>
        <v>6063T5</v>
      </c>
      <c r="H461" s="4">
        <f>IF($C461="","",_xlfn.XLOOKUP($C461,Order!$C:$C,Order!$H:$H,"",0,1))</f>
        <v>0.159</v>
      </c>
      <c r="I461" s="36">
        <f>IF($C461="","",_xlfn.XLOOKUP($C461,Order!$C:$C,Order!$J:$J,"",0,1))</f>
        <v>0</v>
      </c>
      <c r="J461" s="4" t="str">
        <f>IF(C461="","",Order!$J$16)</f>
        <v>SILVER ANODIZED (FAYP01)</v>
      </c>
      <c r="K461" s="36">
        <f>IF($C461="","",_xlfn.XLOOKUP($C461,Order!$C:$C,Order!$P:$P,"",0,1))</f>
        <v>0</v>
      </c>
      <c r="L461" s="4">
        <f t="shared" si="7"/>
        <v>0</v>
      </c>
    </row>
    <row r="462" spans="2:12" ht="23.25" hidden="1" customHeight="1" x14ac:dyDescent="0.25">
      <c r="B462" s="4">
        <v>457</v>
      </c>
      <c r="C462" s="36" t="str">
        <f>IF(Order!$C$128="","",Order!$C$128)</f>
        <v>MP354</v>
      </c>
      <c r="D462" s="36" t="str">
        <f>IF($C462="","",_xlfn.XLOOKUP($C462,Order!$C:$C,Order!$D:$D,"",0,1))</f>
        <v>MP354</v>
      </c>
      <c r="E462" s="4" t="e" vm="316">
        <f>IF($C462="","",_xlfn.XLOOKUP($C462,Order!$C:$C,Order!$E:$E,"",0,1))</f>
        <v>#VALUE!</v>
      </c>
      <c r="F462" s="4">
        <f>IF($C462="","",_xlfn.XLOOKUP($C462,Order!$C:$C,Order!$F:$F,"",0,1))</f>
        <v>6000</v>
      </c>
      <c r="G462" s="4" t="str">
        <f>IF($C462="","",_xlfn.XLOOKUP($C462,Order!$C:$C,Order!$G:$G,"",0,1))</f>
        <v>6063T5</v>
      </c>
      <c r="H462" s="4">
        <f>IF($C462="","",_xlfn.XLOOKUP($C462,Order!$C:$C,Order!$H:$H,"",0,1))</f>
        <v>0.78700000000000003</v>
      </c>
      <c r="I462" s="36">
        <f>IF($C462="","",_xlfn.XLOOKUP($C462,Order!$C:$C,Order!$J:$J,"",0,1))</f>
        <v>0</v>
      </c>
      <c r="J462" s="4" t="str">
        <f>IF(C462="","",Order!$J$16)</f>
        <v>SILVER ANODIZED (FAYP01)</v>
      </c>
      <c r="K462" s="36">
        <f>IF($C462="","",_xlfn.XLOOKUP($C462,Order!$C:$C,Order!$P:$P,"",0,1))</f>
        <v>0</v>
      </c>
      <c r="L462" s="4">
        <f t="shared" si="7"/>
        <v>0</v>
      </c>
    </row>
    <row r="463" spans="2:12" ht="23.25" hidden="1" customHeight="1" x14ac:dyDescent="0.25">
      <c r="B463" s="4">
        <v>458</v>
      </c>
      <c r="C463" s="36" t="str">
        <f>IF(Order!$C$129="","",Order!$C$129)</f>
        <v>MP357</v>
      </c>
      <c r="D463" s="36" t="str">
        <f>IF($C463="","",_xlfn.XLOOKUP($C463,Order!$C:$C,Order!$D:$D,"",0,1))</f>
        <v>MP357</v>
      </c>
      <c r="E463" s="4" t="e" vm="317">
        <f>IF($C463="","",_xlfn.XLOOKUP($C463,Order!$C:$C,Order!$E:$E,"",0,1))</f>
        <v>#VALUE!</v>
      </c>
      <c r="F463" s="4">
        <f>IF($C463="","",_xlfn.XLOOKUP($C463,Order!$C:$C,Order!$F:$F,"",0,1))</f>
        <v>6000</v>
      </c>
      <c r="G463" s="4" t="str">
        <f>IF($C463="","",_xlfn.XLOOKUP($C463,Order!$C:$C,Order!$G:$G,"",0,1))</f>
        <v>6063T5</v>
      </c>
      <c r="H463" s="4">
        <f>IF($C463="","",_xlfn.XLOOKUP($C463,Order!$C:$C,Order!$H:$H,"",0,1))</f>
        <v>0.46200000000000002</v>
      </c>
      <c r="I463" s="36">
        <f>IF($C463="","",_xlfn.XLOOKUP($C463,Order!$C:$C,Order!$J:$J,"",0,1))</f>
        <v>0</v>
      </c>
      <c r="J463" s="4" t="str">
        <f>IF(C463="","",Order!$J$16)</f>
        <v>SILVER ANODIZED (FAYP01)</v>
      </c>
      <c r="K463" s="36">
        <f>IF($C463="","",_xlfn.XLOOKUP($C463,Order!$C:$C,Order!$P:$P,"",0,1))</f>
        <v>0</v>
      </c>
      <c r="L463" s="4">
        <f t="shared" si="7"/>
        <v>0</v>
      </c>
    </row>
    <row r="464" spans="2:12" ht="23.25" hidden="1" customHeight="1" x14ac:dyDescent="0.25">
      <c r="B464" s="4">
        <v>459</v>
      </c>
      <c r="C464" s="36" t="str">
        <f>IF(Order!$C$130="","",Order!$C$130)</f>
        <v>MP358</v>
      </c>
      <c r="D464" s="36" t="str">
        <f>IF($C464="","",_xlfn.XLOOKUP($C464,Order!$C:$C,Order!$D:$D,"",0,1))</f>
        <v>MP358</v>
      </c>
      <c r="E464" s="4" t="e" vm="318">
        <f>IF($C464="","",_xlfn.XLOOKUP($C464,Order!$C:$C,Order!$E:$E,"",0,1))</f>
        <v>#VALUE!</v>
      </c>
      <c r="F464" s="4">
        <f>IF($C464="","",_xlfn.XLOOKUP($C464,Order!$C:$C,Order!$F:$F,"",0,1))</f>
        <v>6000</v>
      </c>
      <c r="G464" s="4" t="str">
        <f>IF($C464="","",_xlfn.XLOOKUP($C464,Order!$C:$C,Order!$G:$G,"",0,1))</f>
        <v>6063T5</v>
      </c>
      <c r="H464" s="4">
        <f>IF($C464="","",_xlfn.XLOOKUP($C464,Order!$C:$C,Order!$H:$H,"",0,1))</f>
        <v>0.42799999999999999</v>
      </c>
      <c r="I464" s="36">
        <f>IF($C464="","",_xlfn.XLOOKUP($C464,Order!$C:$C,Order!$J:$J,"",0,1))</f>
        <v>0</v>
      </c>
      <c r="J464" s="4" t="str">
        <f>IF(C464="","",Order!$J$16)</f>
        <v>SILVER ANODIZED (FAYP01)</v>
      </c>
      <c r="K464" s="36">
        <f>IF($C464="","",_xlfn.XLOOKUP($C464,Order!$C:$C,Order!$P:$P,"",0,1))</f>
        <v>0</v>
      </c>
      <c r="L464" s="4">
        <f t="shared" si="7"/>
        <v>0</v>
      </c>
    </row>
    <row r="465" spans="2:12" ht="23.25" hidden="1" customHeight="1" x14ac:dyDescent="0.25">
      <c r="B465" s="4">
        <v>460</v>
      </c>
      <c r="C465" s="36" t="str">
        <f>IF(Order!$C$131="","",Order!$C$131)</f>
        <v>MP359</v>
      </c>
      <c r="D465" s="36" t="str">
        <f>IF($C465="","",_xlfn.XLOOKUP($C465,Order!$C:$C,Order!$D:$D,"",0,1))</f>
        <v>MP359</v>
      </c>
      <c r="E465" s="4" t="e" vm="319">
        <f>IF($C465="","",_xlfn.XLOOKUP($C465,Order!$C:$C,Order!$E:$E,"",0,1))</f>
        <v>#VALUE!</v>
      </c>
      <c r="F465" s="4">
        <f>IF($C465="","",_xlfn.XLOOKUP($C465,Order!$C:$C,Order!$F:$F,"",0,1))</f>
        <v>6000</v>
      </c>
      <c r="G465" s="4" t="str">
        <f>IF($C465="","",_xlfn.XLOOKUP($C465,Order!$C:$C,Order!$G:$G,"",0,1))</f>
        <v>6063T5</v>
      </c>
      <c r="H465" s="4">
        <f>IF($C465="","",_xlfn.XLOOKUP($C465,Order!$C:$C,Order!$H:$H,"",0,1))</f>
        <v>0.38200000000000001</v>
      </c>
      <c r="I465" s="36">
        <f>IF($C465="","",_xlfn.XLOOKUP($C465,Order!$C:$C,Order!$J:$J,"",0,1))</f>
        <v>0</v>
      </c>
      <c r="J465" s="4" t="str">
        <f>IF(C465="","",Order!$J$16)</f>
        <v>SILVER ANODIZED (FAYP01)</v>
      </c>
      <c r="K465" s="36">
        <f>IF($C465="","",_xlfn.XLOOKUP($C465,Order!$C:$C,Order!$P:$P,"",0,1))</f>
        <v>0</v>
      </c>
      <c r="L465" s="4">
        <f t="shared" si="7"/>
        <v>0</v>
      </c>
    </row>
    <row r="466" spans="2:12" ht="23.25" hidden="1" customHeight="1" x14ac:dyDescent="0.25">
      <c r="B466" s="4">
        <v>461</v>
      </c>
      <c r="C466" s="36" t="str">
        <f>IF(Order!$C$132="","",Order!$C$132)</f>
        <v>MP360</v>
      </c>
      <c r="D466" s="36" t="str">
        <f>IF($C466="","",_xlfn.XLOOKUP($C466,Order!$C:$C,Order!$D:$D,"",0,1))</f>
        <v>MP360</v>
      </c>
      <c r="E466" s="4" t="e" vm="320">
        <f>IF($C466="","",_xlfn.XLOOKUP($C466,Order!$C:$C,Order!$E:$E,"",0,1))</f>
        <v>#VALUE!</v>
      </c>
      <c r="F466" s="4">
        <f>IF($C466="","",_xlfn.XLOOKUP($C466,Order!$C:$C,Order!$F:$F,"",0,1))</f>
        <v>6000</v>
      </c>
      <c r="G466" s="4" t="str">
        <f>IF($C466="","",_xlfn.XLOOKUP($C466,Order!$C:$C,Order!$G:$G,"",0,1))</f>
        <v>6063T5</v>
      </c>
      <c r="H466" s="4">
        <f>IF($C466="","",_xlfn.XLOOKUP($C466,Order!$C:$C,Order!$H:$H,"",0,1))</f>
        <v>0.313</v>
      </c>
      <c r="I466" s="36">
        <f>IF($C466="","",_xlfn.XLOOKUP($C466,Order!$C:$C,Order!$J:$J,"",0,1))</f>
        <v>0</v>
      </c>
      <c r="J466" s="4" t="str">
        <f>IF(C466="","",Order!$J$16)</f>
        <v>SILVER ANODIZED (FAYP01)</v>
      </c>
      <c r="K466" s="36">
        <f>IF($C466="","",_xlfn.XLOOKUP($C466,Order!$C:$C,Order!$P:$P,"",0,1))</f>
        <v>0</v>
      </c>
      <c r="L466" s="4">
        <f t="shared" si="7"/>
        <v>0</v>
      </c>
    </row>
    <row r="467" spans="2:12" ht="23.25" hidden="1" customHeight="1" x14ac:dyDescent="0.25">
      <c r="B467" s="4">
        <v>462</v>
      </c>
      <c r="C467" s="36" t="str">
        <f>IF(Order!$C$133="","",Order!$C$133)</f>
        <v>MP361</v>
      </c>
      <c r="D467" s="36" t="str">
        <f>IF($C467="","",_xlfn.XLOOKUP($C467,Order!$C:$C,Order!$D:$D,"",0,1))</f>
        <v>MP361</v>
      </c>
      <c r="E467" s="4" t="e" vm="321">
        <f>IF($C467="","",_xlfn.XLOOKUP($C467,Order!$C:$C,Order!$E:$E,"",0,1))</f>
        <v>#VALUE!</v>
      </c>
      <c r="F467" s="4">
        <f>IF($C467="","",_xlfn.XLOOKUP($C467,Order!$C:$C,Order!$F:$F,"",0,1))</f>
        <v>6000</v>
      </c>
      <c r="G467" s="4" t="str">
        <f>IF($C467="","",_xlfn.XLOOKUP($C467,Order!$C:$C,Order!$G:$G,"",0,1))</f>
        <v>6063T5</v>
      </c>
      <c r="H467" s="4">
        <f>IF($C467="","",_xlfn.XLOOKUP($C467,Order!$C:$C,Order!$H:$H,"",0,1))</f>
        <v>1.06</v>
      </c>
      <c r="I467" s="36">
        <f>IF($C467="","",_xlfn.XLOOKUP($C467,Order!$C:$C,Order!$J:$J,"",0,1))</f>
        <v>0</v>
      </c>
      <c r="J467" s="4" t="str">
        <f>IF(C467="","",Order!$J$16)</f>
        <v>SILVER ANODIZED (FAYP01)</v>
      </c>
      <c r="K467" s="36">
        <f>IF($C467="","",_xlfn.XLOOKUP($C467,Order!$C:$C,Order!$P:$P,"",0,1))</f>
        <v>0</v>
      </c>
      <c r="L467" s="4">
        <f t="shared" si="7"/>
        <v>0</v>
      </c>
    </row>
    <row r="468" spans="2:12" ht="23.25" hidden="1" customHeight="1" x14ac:dyDescent="0.25">
      <c r="B468" s="4">
        <v>463</v>
      </c>
      <c r="C468" s="36" t="str">
        <f>IF(Order!$C$134="","",Order!$C$134)</f>
        <v>MP362</v>
      </c>
      <c r="D468" s="36" t="str">
        <f>IF($C468="","",_xlfn.XLOOKUP($C468,Order!$C:$C,Order!$D:$D,"",0,1))</f>
        <v>MP362</v>
      </c>
      <c r="E468" s="4" t="e" vm="322">
        <f>IF($C468="","",_xlfn.XLOOKUP($C468,Order!$C:$C,Order!$E:$E,"",0,1))</f>
        <v>#VALUE!</v>
      </c>
      <c r="F468" s="4">
        <f>IF($C468="","",_xlfn.XLOOKUP($C468,Order!$C:$C,Order!$F:$F,"",0,1))</f>
        <v>6000</v>
      </c>
      <c r="G468" s="4" t="str">
        <f>IF($C468="","",_xlfn.XLOOKUP($C468,Order!$C:$C,Order!$G:$G,"",0,1))</f>
        <v>6063T5</v>
      </c>
      <c r="H468" s="4">
        <f>IF($C468="","",_xlfn.XLOOKUP($C468,Order!$C:$C,Order!$H:$H,"",0,1))</f>
        <v>0.98199999999999998</v>
      </c>
      <c r="I468" s="36">
        <f>IF($C468="","",_xlfn.XLOOKUP($C468,Order!$C:$C,Order!$J:$J,"",0,1))</f>
        <v>0</v>
      </c>
      <c r="J468" s="4" t="str">
        <f>IF(C468="","",Order!$J$16)</f>
        <v>SILVER ANODIZED (FAYP01)</v>
      </c>
      <c r="K468" s="36">
        <f>IF($C468="","",_xlfn.XLOOKUP($C468,Order!$C:$C,Order!$P:$P,"",0,1))</f>
        <v>0</v>
      </c>
      <c r="L468" s="4">
        <f t="shared" si="7"/>
        <v>0</v>
      </c>
    </row>
    <row r="469" spans="2:12" ht="23.25" hidden="1" customHeight="1" x14ac:dyDescent="0.25">
      <c r="B469" s="4">
        <v>464</v>
      </c>
      <c r="C469" s="36" t="str">
        <f>IF(Order!$C$135="","",Order!$C$135)</f>
        <v>MP363</v>
      </c>
      <c r="D469" s="36" t="str">
        <f>IF($C469="","",_xlfn.XLOOKUP($C469,Order!$C:$C,Order!$D:$D,"",0,1))</f>
        <v>MP363</v>
      </c>
      <c r="E469" s="4" t="e" vm="323">
        <f>IF($C469="","",_xlfn.XLOOKUP($C469,Order!$C:$C,Order!$E:$E,"",0,1))</f>
        <v>#VALUE!</v>
      </c>
      <c r="F469" s="4">
        <f>IF($C469="","",_xlfn.XLOOKUP($C469,Order!$C:$C,Order!$F:$F,"",0,1))</f>
        <v>6000</v>
      </c>
      <c r="G469" s="4" t="str">
        <f>IF($C469="","",_xlfn.XLOOKUP($C469,Order!$C:$C,Order!$G:$G,"",0,1))</f>
        <v>6063T5</v>
      </c>
      <c r="H469" s="4">
        <f>IF($C469="","",_xlfn.XLOOKUP($C469,Order!$C:$C,Order!$H:$H,"",0,1))</f>
        <v>0.49</v>
      </c>
      <c r="I469" s="36">
        <f>IF($C469="","",_xlfn.XLOOKUP($C469,Order!$C:$C,Order!$J:$J,"",0,1))</f>
        <v>0</v>
      </c>
      <c r="J469" s="4" t="str">
        <f>IF(C469="","",Order!$J$16)</f>
        <v>SILVER ANODIZED (FAYP01)</v>
      </c>
      <c r="K469" s="36">
        <f>IF($C469="","",_xlfn.XLOOKUP($C469,Order!$C:$C,Order!$P:$P,"",0,1))</f>
        <v>0</v>
      </c>
      <c r="L469" s="4">
        <f t="shared" si="7"/>
        <v>0</v>
      </c>
    </row>
    <row r="470" spans="2:12" ht="23.25" hidden="1" customHeight="1" x14ac:dyDescent="0.25">
      <c r="B470" s="4">
        <v>465</v>
      </c>
      <c r="C470" s="36" t="str">
        <f>IF(Order!$C$136="","",Order!$C$136)</f>
        <v>MP370</v>
      </c>
      <c r="D470" s="36" t="str">
        <f>IF($C470="","",_xlfn.XLOOKUP($C470,Order!$C:$C,Order!$D:$D,"",0,1))</f>
        <v>MP370</v>
      </c>
      <c r="E470" s="4" t="e" vm="324">
        <f>IF($C470="","",_xlfn.XLOOKUP($C470,Order!$C:$C,Order!$E:$E,"",0,1))</f>
        <v>#VALUE!</v>
      </c>
      <c r="F470" s="4">
        <f>IF($C470="","",_xlfn.XLOOKUP($C470,Order!$C:$C,Order!$F:$F,"",0,1))</f>
        <v>6000</v>
      </c>
      <c r="G470" s="4" t="str">
        <f>IF($C470="","",_xlfn.XLOOKUP($C470,Order!$C:$C,Order!$G:$G,"",0,1))</f>
        <v>6063T5</v>
      </c>
      <c r="H470" s="4">
        <f>IF($C470="","",_xlfn.XLOOKUP($C470,Order!$C:$C,Order!$H:$H,"",0,1))</f>
        <v>0.58099999999999996</v>
      </c>
      <c r="I470" s="36">
        <f>IF($C470="","",_xlfn.XLOOKUP($C470,Order!$C:$C,Order!$J:$J,"",0,1))</f>
        <v>0</v>
      </c>
      <c r="J470" s="4" t="str">
        <f>IF(C470="","",Order!$J$16)</f>
        <v>SILVER ANODIZED (FAYP01)</v>
      </c>
      <c r="K470" s="36">
        <f>IF($C470="","",_xlfn.XLOOKUP($C470,Order!$C:$C,Order!$P:$P,"",0,1))</f>
        <v>0</v>
      </c>
      <c r="L470" s="4">
        <f t="shared" si="7"/>
        <v>0</v>
      </c>
    </row>
    <row r="471" spans="2:12" ht="23.25" hidden="1" customHeight="1" x14ac:dyDescent="0.25">
      <c r="B471" s="4">
        <v>466</v>
      </c>
      <c r="C471" s="36" t="str">
        <f>IF(Order!$C$137="","",Order!$C$137)</f>
        <v>BG001</v>
      </c>
      <c r="D471" s="36" t="str">
        <f>IF($C471="","",_xlfn.XLOOKUP($C471,Order!$C:$C,Order!$D:$D,"",0,1))</f>
        <v>BG001</v>
      </c>
      <c r="E471" s="4" t="e" vm="325">
        <f>IF($C471="","",_xlfn.XLOOKUP($C471,Order!$C:$C,Order!$E:$E,"",0,1))</f>
        <v>#VALUE!</v>
      </c>
      <c r="F471" s="4">
        <f>IF($C471="","",_xlfn.XLOOKUP($C471,Order!$C:$C,Order!$F:$F,"",0,1))</f>
        <v>6000</v>
      </c>
      <c r="G471" s="4" t="str">
        <f>IF($C471="","",_xlfn.XLOOKUP($C471,Order!$C:$C,Order!$G:$G,"",0,1))</f>
        <v>6063T5</v>
      </c>
      <c r="H471" s="4">
        <f>IF($C471="","",_xlfn.XLOOKUP($C471,Order!$C:$C,Order!$H:$H,"",0,1))</f>
        <v>0.10299999999999999</v>
      </c>
      <c r="I471" s="36">
        <f>IF($C471="","",_xlfn.XLOOKUP($C471,Order!$C:$C,Order!$J:$J,"",0,1))</f>
        <v>0</v>
      </c>
      <c r="J471" s="4" t="str">
        <f>IF(C471="","",Order!$J$16)</f>
        <v>SILVER ANODIZED (FAYP01)</v>
      </c>
      <c r="K471" s="36">
        <f>IF($C471="","",_xlfn.XLOOKUP($C471,Order!$C:$C,Order!$P:$P,"",0,1))</f>
        <v>0</v>
      </c>
      <c r="L471" s="4">
        <f t="shared" si="7"/>
        <v>0</v>
      </c>
    </row>
    <row r="472" spans="2:12" ht="23.25" hidden="1" customHeight="1" x14ac:dyDescent="0.25">
      <c r="B472" s="4">
        <v>467</v>
      </c>
      <c r="C472" s="36" t="str">
        <f>IF(Order!$C$138="","",Order!$C$138)</f>
        <v>BG035</v>
      </c>
      <c r="D472" s="36" t="str">
        <f>IF($C472="","",_xlfn.XLOOKUP($C472,Order!$C:$C,Order!$D:$D,"",0,1))</f>
        <v>BG035</v>
      </c>
      <c r="E472" s="4" t="e" vm="326">
        <f>IF($C472="","",_xlfn.XLOOKUP($C472,Order!$C:$C,Order!$E:$E,"",0,1))</f>
        <v>#VALUE!</v>
      </c>
      <c r="F472" s="4">
        <f>IF($C472="","",_xlfn.XLOOKUP($C472,Order!$C:$C,Order!$F:$F,"",0,1))</f>
        <v>6000</v>
      </c>
      <c r="G472" s="4" t="str">
        <f>IF($C472="","",_xlfn.XLOOKUP($C472,Order!$C:$C,Order!$G:$G,"",0,1))</f>
        <v>6063T5</v>
      </c>
      <c r="H472" s="4">
        <f>IF($C472="","",_xlfn.XLOOKUP($C472,Order!$C:$C,Order!$H:$H,"",0,1))</f>
        <v>0.108</v>
      </c>
      <c r="I472" s="36">
        <f>IF($C472="","",_xlfn.XLOOKUP($C472,Order!$C:$C,Order!$J:$J,"",0,1))</f>
        <v>0</v>
      </c>
      <c r="J472" s="4" t="str">
        <f>IF(C472="","",Order!$J$16)</f>
        <v>SILVER ANODIZED (FAYP01)</v>
      </c>
      <c r="K472" s="36">
        <f>IF($C472="","",_xlfn.XLOOKUP($C472,Order!$C:$C,Order!$P:$P,"",0,1))</f>
        <v>0</v>
      </c>
      <c r="L472" s="4">
        <f t="shared" si="7"/>
        <v>0</v>
      </c>
    </row>
    <row r="473" spans="2:12" ht="23.25" hidden="1" customHeight="1" x14ac:dyDescent="0.25">
      <c r="B473" s="4">
        <v>468</v>
      </c>
      <c r="C473" s="36" t="str">
        <f>IF(Order!$C$139="","",Order!$C$139)</f>
        <v>ME056</v>
      </c>
      <c r="D473" s="36" t="str">
        <f>IF($C473="","",_xlfn.XLOOKUP($C473,Order!$C:$C,Order!$D:$D,"",0,1))</f>
        <v>ME056</v>
      </c>
      <c r="E473" s="4" t="e" vm="327">
        <f>IF($C473="","",_xlfn.XLOOKUP($C473,Order!$C:$C,Order!$E:$E,"",0,1))</f>
        <v>#VALUE!</v>
      </c>
      <c r="F473" s="4">
        <f>IF($C473="","",_xlfn.XLOOKUP($C473,Order!$C:$C,Order!$F:$F,"",0,1))</f>
        <v>6000</v>
      </c>
      <c r="G473" s="4" t="str">
        <f>IF($C473="","",_xlfn.XLOOKUP($C473,Order!$C:$C,Order!$G:$G,"",0,1))</f>
        <v>6063T5</v>
      </c>
      <c r="H473" s="4">
        <f>IF($C473="","",_xlfn.XLOOKUP($C473,Order!$C:$C,Order!$H:$H,"",0,1))</f>
        <v>0.16900000000000001</v>
      </c>
      <c r="I473" s="36">
        <f>IF($C473="","",_xlfn.XLOOKUP($C473,Order!$C:$C,Order!$J:$J,"",0,1))</f>
        <v>0</v>
      </c>
      <c r="J473" s="4" t="str">
        <f>IF(C473="","",Order!$J$16)</f>
        <v>SILVER ANODIZED (FAYP01)</v>
      </c>
      <c r="K473" s="36">
        <f>IF($C473="","",_xlfn.XLOOKUP($C473,Order!$C:$C,Order!$P:$P,"",0,1))</f>
        <v>0</v>
      </c>
      <c r="L473" s="4">
        <f t="shared" si="7"/>
        <v>0</v>
      </c>
    </row>
    <row r="474" spans="2:12" ht="23.25" customHeight="1" x14ac:dyDescent="0.25">
      <c r="B474" s="4">
        <v>469</v>
      </c>
      <c r="C474" s="36">
        <f>IF(Order!$C$140="","",Order!$C$140)</f>
        <v>25001</v>
      </c>
      <c r="D474" s="36">
        <f>IF($C474="","",_xlfn.XLOOKUP($C474,Order!$C:$C,Order!$D:$D,"",0,1))</f>
        <v>25001</v>
      </c>
      <c r="E474" s="4" t="e" vm="328">
        <f>IF($C474="","",_xlfn.XLOOKUP($C474,Order!$C:$C,Order!$E:$E,"",0,1))</f>
        <v>#VALUE!</v>
      </c>
      <c r="F474" s="4">
        <f>IF($C474="","",_xlfn.XLOOKUP($C474,Order!$C:$C,Order!$F:$F,"",0,1))</f>
        <v>6000</v>
      </c>
      <c r="G474" s="4" t="str">
        <f>IF($C474="","",_xlfn.XLOOKUP($C474,Order!$C:$C,Order!$G:$G,"",0,1))</f>
        <v>6063T5</v>
      </c>
      <c r="H474" s="4">
        <f>IF($C474="","",_xlfn.XLOOKUP($C474,Order!$C:$C,Order!$H:$H,"",0,1))</f>
        <v>0.28599999999999998</v>
      </c>
      <c r="I474" s="36">
        <f>IF($C474="","",_xlfn.XLOOKUP($C474,Order!$C:$C,Order!$J:$J,"",0,1))</f>
        <v>50</v>
      </c>
      <c r="J474" s="4" t="str">
        <f>IF(C474="","",Order!$J$16)</f>
        <v>SILVER ANODIZED (FAYP01)</v>
      </c>
      <c r="K474" s="36">
        <f>IF($C474="","",_xlfn.XLOOKUP($C474,Order!$C:$C,Order!$P:$P,"",0,1))</f>
        <v>0</v>
      </c>
      <c r="L474" s="4">
        <f t="shared" si="7"/>
        <v>85.799999999999983</v>
      </c>
    </row>
    <row r="475" spans="2:12" ht="23.25" hidden="1" customHeight="1" x14ac:dyDescent="0.25">
      <c r="B475" s="4">
        <v>470</v>
      </c>
      <c r="C475" s="36" t="str">
        <f>IF(Order!$C$141="","",Order!$C$141)</f>
        <v>25002L</v>
      </c>
      <c r="D475" s="36" t="str">
        <f>IF($C475="","",_xlfn.XLOOKUP($C475,Order!$C:$C,Order!$D:$D,"",0,1))</f>
        <v>25002L</v>
      </c>
      <c r="E475" s="4" t="e" vm="329">
        <f>IF($C475="","",_xlfn.XLOOKUP($C475,Order!$C:$C,Order!$E:$E,"",0,1))</f>
        <v>#VALUE!</v>
      </c>
      <c r="F475" s="4">
        <f>IF($C475="","",_xlfn.XLOOKUP($C475,Order!$C:$C,Order!$F:$F,"",0,1))</f>
        <v>6000</v>
      </c>
      <c r="G475" s="4" t="str">
        <f>IF($C475="","",_xlfn.XLOOKUP($C475,Order!$C:$C,Order!$G:$G,"",0,1))</f>
        <v>6063T5</v>
      </c>
      <c r="H475" s="4">
        <f>IF($C475="","",_xlfn.XLOOKUP($C475,Order!$C:$C,Order!$H:$H,"",0,1))</f>
        <v>0.24399999999999999</v>
      </c>
      <c r="I475" s="36">
        <f>IF($C475="","",_xlfn.XLOOKUP($C475,Order!$C:$C,Order!$J:$J,"",0,1))</f>
        <v>0</v>
      </c>
      <c r="J475" s="4" t="str">
        <f>IF(C475="","",Order!$J$16)</f>
        <v>SILVER ANODIZED (FAYP01)</v>
      </c>
      <c r="K475" s="36">
        <f>IF($C475="","",_xlfn.XLOOKUP($C475,Order!$C:$C,Order!$P:$P,"",0,1))</f>
        <v>0</v>
      </c>
      <c r="L475" s="4">
        <f t="shared" si="7"/>
        <v>0</v>
      </c>
    </row>
    <row r="476" spans="2:12" ht="23.25" customHeight="1" x14ac:dyDescent="0.25">
      <c r="B476" s="4">
        <v>471</v>
      </c>
      <c r="C476" s="36">
        <f>IF(Order!$C$142="","",Order!$C$142)</f>
        <v>25016</v>
      </c>
      <c r="D476" s="36">
        <f>IF($C476="","",_xlfn.XLOOKUP($C476,Order!$C:$C,Order!$D:$D,"",0,1))</f>
        <v>25016</v>
      </c>
      <c r="E476" s="4" t="e" vm="330">
        <f>IF($C476="","",_xlfn.XLOOKUP($C476,Order!$C:$C,Order!$E:$E,"",0,1))</f>
        <v>#VALUE!</v>
      </c>
      <c r="F476" s="4">
        <f>IF($C476="","",_xlfn.XLOOKUP($C476,Order!$C:$C,Order!$F:$F,"",0,1))</f>
        <v>6000</v>
      </c>
      <c r="G476" s="4" t="str">
        <f>IF($C476="","",_xlfn.XLOOKUP($C476,Order!$C:$C,Order!$G:$G,"",0,1))</f>
        <v>6063T5</v>
      </c>
      <c r="H476" s="4">
        <f>IF($C476="","",_xlfn.XLOOKUP($C476,Order!$C:$C,Order!$H:$H,"",0,1))</f>
        <v>0.32300000000000001</v>
      </c>
      <c r="I476" s="36">
        <f>IF($C476="","",_xlfn.XLOOKUP($C476,Order!$C:$C,Order!$J:$J,"",0,1))</f>
        <v>200</v>
      </c>
      <c r="J476" s="4" t="str">
        <f>IF(C476="","",Order!$J$16)</f>
        <v>SILVER ANODIZED (FAYP01)</v>
      </c>
      <c r="K476" s="36">
        <f>IF($C476="","",_xlfn.XLOOKUP($C476,Order!$C:$C,Order!$P:$P,"",0,1))</f>
        <v>0</v>
      </c>
      <c r="L476" s="4">
        <f t="shared" si="7"/>
        <v>387.6</v>
      </c>
    </row>
    <row r="477" spans="2:12" ht="23.25" hidden="1" customHeight="1" x14ac:dyDescent="0.25">
      <c r="B477" s="4">
        <v>472</v>
      </c>
      <c r="C477" s="36">
        <f>IF(Order!$C$143="","",Order!$C$143)</f>
        <v>25021</v>
      </c>
      <c r="D477" s="36">
        <f>IF($C477="","",_xlfn.XLOOKUP($C477,Order!$C:$C,Order!$D:$D,"",0,1))</f>
        <v>25021</v>
      </c>
      <c r="E477" s="4" t="e" vm="331">
        <f>IF($C477="","",_xlfn.XLOOKUP($C477,Order!$C:$C,Order!$E:$E,"",0,1))</f>
        <v>#VALUE!</v>
      </c>
      <c r="F477" s="4">
        <f>IF($C477="","",_xlfn.XLOOKUP($C477,Order!$C:$C,Order!$F:$F,"",0,1))</f>
        <v>6000</v>
      </c>
      <c r="G477" s="4" t="str">
        <f>IF($C477="","",_xlfn.XLOOKUP($C477,Order!$C:$C,Order!$G:$G,"",0,1))</f>
        <v>6063T5</v>
      </c>
      <c r="H477" s="4">
        <f>IF($C477="","",_xlfn.XLOOKUP($C477,Order!$C:$C,Order!$H:$H,"",0,1))</f>
        <v>0.21299999999999999</v>
      </c>
      <c r="I477" s="36">
        <f>IF($C477="","",_xlfn.XLOOKUP($C477,Order!$C:$C,Order!$J:$J,"",0,1))</f>
        <v>0</v>
      </c>
      <c r="J477" s="4" t="str">
        <f>IF(C477="","",Order!$J$16)</f>
        <v>SILVER ANODIZED (FAYP01)</v>
      </c>
      <c r="K477" s="36">
        <f>IF($C477="","",_xlfn.XLOOKUP($C477,Order!$C:$C,Order!$P:$P,"",0,1))</f>
        <v>0</v>
      </c>
      <c r="L477" s="4">
        <f t="shared" si="7"/>
        <v>0</v>
      </c>
    </row>
    <row r="478" spans="2:12" ht="23.25" customHeight="1" x14ac:dyDescent="0.25">
      <c r="B478" s="4">
        <v>473</v>
      </c>
      <c r="C478" s="36">
        <f>IF(Order!$C$144="","",Order!$C$144)</f>
        <v>25026</v>
      </c>
      <c r="D478" s="36">
        <f>IF($C478="","",_xlfn.XLOOKUP($C478,Order!$C:$C,Order!$D:$D,"",0,1))</f>
        <v>25026</v>
      </c>
      <c r="E478" s="4" t="e" vm="332">
        <f>IF($C478="","",_xlfn.XLOOKUP($C478,Order!$C:$C,Order!$E:$E,"",0,1))</f>
        <v>#VALUE!</v>
      </c>
      <c r="F478" s="4">
        <f>IF($C478="","",_xlfn.XLOOKUP($C478,Order!$C:$C,Order!$F:$F,"",0,1))</f>
        <v>6000</v>
      </c>
      <c r="G478" s="4" t="str">
        <f>IF($C478="","",_xlfn.XLOOKUP($C478,Order!$C:$C,Order!$G:$G,"",0,1))</f>
        <v>6063T5</v>
      </c>
      <c r="H478" s="4">
        <f>IF($C478="","",_xlfn.XLOOKUP($C478,Order!$C:$C,Order!$H:$H,"",0,1))</f>
        <v>0.47599999999999998</v>
      </c>
      <c r="I478" s="36">
        <f>IF($C478="","",_xlfn.XLOOKUP($C478,Order!$C:$C,Order!$J:$J,"",0,1))</f>
        <v>80</v>
      </c>
      <c r="J478" s="4" t="str">
        <f>IF(C478="","",Order!$J$16)</f>
        <v>SILVER ANODIZED (FAYP01)</v>
      </c>
      <c r="K478" s="36">
        <f>IF($C478="","",_xlfn.XLOOKUP($C478,Order!$C:$C,Order!$P:$P,"",0,1))</f>
        <v>0</v>
      </c>
      <c r="L478" s="4">
        <f t="shared" si="7"/>
        <v>228.48</v>
      </c>
    </row>
    <row r="479" spans="2:12" ht="23.25" hidden="1" customHeight="1" x14ac:dyDescent="0.25">
      <c r="B479" s="4">
        <v>474</v>
      </c>
      <c r="C479" s="36" t="str">
        <f>IF(Order!$C$145="","",Order!$C$145)</f>
        <v>25048 (MM-376)</v>
      </c>
      <c r="D479" s="36">
        <f>IF($C479="","",_xlfn.XLOOKUP($C479,Order!$C:$C,Order!$D:$D,"",0,1))</f>
        <v>25048</v>
      </c>
      <c r="E479" s="4" t="e" vm="333">
        <f>IF($C479="","",_xlfn.XLOOKUP($C479,Order!$C:$C,Order!$E:$E,"",0,1))</f>
        <v>#VALUE!</v>
      </c>
      <c r="F479" s="4">
        <f>IF($C479="","",_xlfn.XLOOKUP($C479,Order!$C:$C,Order!$F:$F,"",0,1))</f>
        <v>6000</v>
      </c>
      <c r="G479" s="4" t="str">
        <f>IF($C479="","",_xlfn.XLOOKUP($C479,Order!$C:$C,Order!$G:$G,"",0,1))</f>
        <v>6063T5</v>
      </c>
      <c r="H479" s="4">
        <f>IF($C479="","",_xlfn.XLOOKUP($C479,Order!$C:$C,Order!$H:$H,"",0,1))</f>
        <v>0.436</v>
      </c>
      <c r="I479" s="36">
        <f>IF($C479="","",_xlfn.XLOOKUP($C479,Order!$C:$C,Order!$J:$J,"",0,1))</f>
        <v>0</v>
      </c>
      <c r="J479" s="4" t="str">
        <f>IF(C479="","",Order!$J$16)</f>
        <v>SILVER ANODIZED (FAYP01)</v>
      </c>
      <c r="K479" s="36">
        <f>IF($C479="","",_xlfn.XLOOKUP($C479,Order!$C:$C,Order!$P:$P,"",0,1))</f>
        <v>0</v>
      </c>
      <c r="L479" s="4">
        <f t="shared" si="7"/>
        <v>0</v>
      </c>
    </row>
    <row r="480" spans="2:12" ht="23.25" hidden="1" customHeight="1" x14ac:dyDescent="0.25">
      <c r="B480" s="4">
        <v>475</v>
      </c>
      <c r="C480" s="36" t="str">
        <f>IF(Order!$C$146="","",Order!$C$146)</f>
        <v>25052 (MM-375)</v>
      </c>
      <c r="D480" s="36">
        <f>IF($C480="","",_xlfn.XLOOKUP($C480,Order!$C:$C,Order!$D:$D,"",0,1))</f>
        <v>25052</v>
      </c>
      <c r="E480" s="4" t="e" vm="334">
        <f>IF($C480="","",_xlfn.XLOOKUP($C480,Order!$C:$C,Order!$E:$E,"",0,1))</f>
        <v>#VALUE!</v>
      </c>
      <c r="F480" s="4">
        <f>IF($C480="","",_xlfn.XLOOKUP($C480,Order!$C:$C,Order!$F:$F,"",0,1))</f>
        <v>6000</v>
      </c>
      <c r="G480" s="4" t="str">
        <f>IF($C480="","",_xlfn.XLOOKUP($C480,Order!$C:$C,Order!$G:$G,"",0,1))</f>
        <v>6063T5</v>
      </c>
      <c r="H480" s="4">
        <f>IF($C480="","",_xlfn.XLOOKUP($C480,Order!$C:$C,Order!$H:$H,"",0,1))</f>
        <v>0.33</v>
      </c>
      <c r="I480" s="36">
        <f>IF($C480="","",_xlfn.XLOOKUP($C480,Order!$C:$C,Order!$J:$J,"",0,1))</f>
        <v>0</v>
      </c>
      <c r="J480" s="4" t="str">
        <f>IF(C480="","",Order!$J$16)</f>
        <v>SILVER ANODIZED (FAYP01)</v>
      </c>
      <c r="K480" s="36">
        <f>IF($C480="","",_xlfn.XLOOKUP($C480,Order!$C:$C,Order!$P:$P,"",0,1))</f>
        <v>0</v>
      </c>
      <c r="L480" s="4">
        <f t="shared" si="7"/>
        <v>0</v>
      </c>
    </row>
    <row r="481" spans="2:12" ht="23.25" hidden="1" customHeight="1" x14ac:dyDescent="0.25">
      <c r="B481" s="4">
        <v>476</v>
      </c>
      <c r="C481" s="36">
        <f>IF(Order!$C$147="","",Order!$C$147)</f>
        <v>25301</v>
      </c>
      <c r="D481" s="36">
        <f>IF($C481="","",_xlfn.XLOOKUP($C481,Order!$C:$C,Order!$D:$D,"",0,1))</f>
        <v>25301</v>
      </c>
      <c r="E481" s="4" t="e" vm="335">
        <f>IF($C481="","",_xlfn.XLOOKUP($C481,Order!$C:$C,Order!$E:$E,"",0,1))</f>
        <v>#VALUE!</v>
      </c>
      <c r="F481" s="4">
        <f>IF($C481="","",_xlfn.XLOOKUP($C481,Order!$C:$C,Order!$F:$F,"",0,1))</f>
        <v>6000</v>
      </c>
      <c r="G481" s="4" t="str">
        <f>IF($C481="","",_xlfn.XLOOKUP($C481,Order!$C:$C,Order!$G:$G,"",0,1))</f>
        <v>6063T5</v>
      </c>
      <c r="H481" s="4">
        <f>IF($C481="","",_xlfn.XLOOKUP($C481,Order!$C:$C,Order!$H:$H,"",0,1))</f>
        <v>0.29299999999999998</v>
      </c>
      <c r="I481" s="36">
        <f>IF($C481="","",_xlfn.XLOOKUP($C481,Order!$C:$C,Order!$J:$J,"",0,1))</f>
        <v>0</v>
      </c>
      <c r="J481" s="4" t="str">
        <f>IF(C481="","",Order!$J$16)</f>
        <v>SILVER ANODIZED (FAYP01)</v>
      </c>
      <c r="K481" s="36">
        <f>IF($C481="","",_xlfn.XLOOKUP($C481,Order!$C:$C,Order!$P:$P,"",0,1))</f>
        <v>0</v>
      </c>
      <c r="L481" s="4">
        <f t="shared" si="7"/>
        <v>0</v>
      </c>
    </row>
    <row r="482" spans="2:12" ht="23.25" hidden="1" customHeight="1" x14ac:dyDescent="0.25">
      <c r="B482" s="4">
        <v>477</v>
      </c>
      <c r="C482" s="36">
        <f>IF(Order!$C$148="","",Order!$C$148)</f>
        <v>25311</v>
      </c>
      <c r="D482" s="36">
        <f>IF($C482="","",_xlfn.XLOOKUP($C482,Order!$C:$C,Order!$D:$D,"",0,1))</f>
        <v>25311</v>
      </c>
      <c r="E482" s="4" t="e" vm="336">
        <f>IF($C482="","",_xlfn.XLOOKUP($C482,Order!$C:$C,Order!$E:$E,"",0,1))</f>
        <v>#VALUE!</v>
      </c>
      <c r="F482" s="4">
        <f>IF($C482="","",_xlfn.XLOOKUP($C482,Order!$C:$C,Order!$F:$F,"",0,1))</f>
        <v>6000</v>
      </c>
      <c r="G482" s="4" t="str">
        <f>IF($C482="","",_xlfn.XLOOKUP($C482,Order!$C:$C,Order!$G:$G,"",0,1))</f>
        <v>6063T5</v>
      </c>
      <c r="H482" s="4">
        <f>IF($C482="","",_xlfn.XLOOKUP($C482,Order!$C:$C,Order!$H:$H,"",0,1))</f>
        <v>0.28899999999999998</v>
      </c>
      <c r="I482" s="36">
        <f>IF($C482="","",_xlfn.XLOOKUP($C482,Order!$C:$C,Order!$J:$J,"",0,1))</f>
        <v>0</v>
      </c>
      <c r="J482" s="4" t="str">
        <f>IF(C482="","",Order!$J$16)</f>
        <v>SILVER ANODIZED (FAYP01)</v>
      </c>
      <c r="K482" s="36">
        <f>IF($C482="","",_xlfn.XLOOKUP($C482,Order!$C:$C,Order!$P:$P,"",0,1))</f>
        <v>0</v>
      </c>
      <c r="L482" s="4">
        <f t="shared" si="7"/>
        <v>0</v>
      </c>
    </row>
    <row r="483" spans="2:12" ht="23.25" hidden="1" customHeight="1" x14ac:dyDescent="0.25">
      <c r="B483" s="4">
        <v>478</v>
      </c>
      <c r="C483" s="36" t="str">
        <f>IF(Order!$C$149="","",Order!$C$149)</f>
        <v>25312(25046)</v>
      </c>
      <c r="D483" s="36">
        <f>IF($C483="","",_xlfn.XLOOKUP($C483,Order!$C:$C,Order!$D:$D,"",0,1))</f>
        <v>25312</v>
      </c>
      <c r="E483" s="4" t="e" vm="337">
        <f>IF($C483="","",_xlfn.XLOOKUP($C483,Order!$C:$C,Order!$E:$E,"",0,1))</f>
        <v>#VALUE!</v>
      </c>
      <c r="F483" s="4">
        <f>IF($C483="","",_xlfn.XLOOKUP($C483,Order!$C:$C,Order!$F:$F,"",0,1))</f>
        <v>6000</v>
      </c>
      <c r="G483" s="4" t="str">
        <f>IF($C483="","",_xlfn.XLOOKUP($C483,Order!$C:$C,Order!$G:$G,"",0,1))</f>
        <v>6063T5</v>
      </c>
      <c r="H483" s="4">
        <f>IF($C483="","",_xlfn.XLOOKUP($C483,Order!$C:$C,Order!$H:$H,"",0,1))</f>
        <v>0.316</v>
      </c>
      <c r="I483" s="36">
        <f>IF($C483="","",_xlfn.XLOOKUP($C483,Order!$C:$C,Order!$J:$J,"",0,1))</f>
        <v>0</v>
      </c>
      <c r="J483" s="4" t="str">
        <f>IF(C483="","",Order!$J$16)</f>
        <v>SILVER ANODIZED (FAYP01)</v>
      </c>
      <c r="K483" s="36">
        <f>IF($C483="","",_xlfn.XLOOKUP($C483,Order!$C:$C,Order!$P:$P,"",0,1))</f>
        <v>0</v>
      </c>
      <c r="L483" s="4">
        <f t="shared" si="7"/>
        <v>0</v>
      </c>
    </row>
    <row r="484" spans="2:12" ht="23.25" hidden="1" customHeight="1" x14ac:dyDescent="0.25">
      <c r="B484" s="4">
        <v>479</v>
      </c>
      <c r="C484" s="36" t="str">
        <f>IF(Order!$C$150="","",Order!$C$150)</f>
        <v>25504L</v>
      </c>
      <c r="D484" s="36" t="str">
        <f>IF($C484="","",_xlfn.XLOOKUP($C484,Order!$C:$C,Order!$D:$D,"",0,1))</f>
        <v>25504L</v>
      </c>
      <c r="E484" s="4" t="e" vm="338">
        <f>IF($C484="","",_xlfn.XLOOKUP($C484,Order!$C:$C,Order!$E:$E,"",0,1))</f>
        <v>#VALUE!</v>
      </c>
      <c r="F484" s="4">
        <f>IF($C484="","",_xlfn.XLOOKUP($C484,Order!$C:$C,Order!$F:$F,"",0,1))</f>
        <v>6000</v>
      </c>
      <c r="G484" s="4" t="str">
        <f>IF($C484="","",_xlfn.XLOOKUP($C484,Order!$C:$C,Order!$G:$G,"",0,1))</f>
        <v>6063T5</v>
      </c>
      <c r="H484" s="4">
        <f>IF($C484="","",_xlfn.XLOOKUP($C484,Order!$C:$C,Order!$H:$H,"",0,1))</f>
        <v>0.39200000000000002</v>
      </c>
      <c r="I484" s="36">
        <f>IF($C484="","",_xlfn.XLOOKUP($C484,Order!$C:$C,Order!$J:$J,"",0,1))</f>
        <v>0</v>
      </c>
      <c r="J484" s="4" t="str">
        <f>IF(C484="","",Order!$J$16)</f>
        <v>SILVER ANODIZED (FAYP01)</v>
      </c>
      <c r="K484" s="36">
        <f>IF($C484="","",_xlfn.XLOOKUP($C484,Order!$C:$C,Order!$P:$P,"",0,1))</f>
        <v>0</v>
      </c>
      <c r="L484" s="4">
        <f t="shared" si="7"/>
        <v>0</v>
      </c>
    </row>
    <row r="485" spans="2:12" ht="23.25" customHeight="1" x14ac:dyDescent="0.25">
      <c r="B485" s="4">
        <v>480</v>
      </c>
      <c r="C485" s="36">
        <f>IF(Order!$C$151="","",Order!$C$151)</f>
        <v>25508</v>
      </c>
      <c r="D485" s="36">
        <f>IF($C485="","",_xlfn.XLOOKUP($C485,Order!$C:$C,Order!$D:$D,"",0,1))</f>
        <v>25508</v>
      </c>
      <c r="E485" s="4" t="e" vm="339">
        <f>IF($C485="","",_xlfn.XLOOKUP($C485,Order!$C:$C,Order!$E:$E,"",0,1))</f>
        <v>#VALUE!</v>
      </c>
      <c r="F485" s="4">
        <f>IF($C485="","",_xlfn.XLOOKUP($C485,Order!$C:$C,Order!$F:$F,"",0,1))</f>
        <v>6000</v>
      </c>
      <c r="G485" s="4" t="str">
        <f>IF($C485="","",_xlfn.XLOOKUP($C485,Order!$C:$C,Order!$G:$G,"",0,1))</f>
        <v>6063T5</v>
      </c>
      <c r="H485" s="4">
        <f>IF($C485="","",_xlfn.XLOOKUP($C485,Order!$C:$C,Order!$H:$H,"",0,1))</f>
        <v>0.53300000000000003</v>
      </c>
      <c r="I485" s="36">
        <f>IF($C485="","",_xlfn.XLOOKUP($C485,Order!$C:$C,Order!$J:$J,"",0,1))</f>
        <v>80</v>
      </c>
      <c r="J485" s="4" t="str">
        <f>IF(C485="","",Order!$J$16)</f>
        <v>SILVER ANODIZED (FAYP01)</v>
      </c>
      <c r="K485" s="36">
        <f>IF($C485="","",_xlfn.XLOOKUP($C485,Order!$C:$C,Order!$P:$P,"",0,1))</f>
        <v>0</v>
      </c>
      <c r="L485" s="4">
        <f t="shared" si="7"/>
        <v>255.84000000000003</v>
      </c>
    </row>
    <row r="486" spans="2:12" ht="23.25" hidden="1" customHeight="1" x14ac:dyDescent="0.25">
      <c r="B486" s="4">
        <v>481</v>
      </c>
      <c r="C486" s="36">
        <f>IF(Order!$C$152="","",Order!$C$152)</f>
        <v>25515</v>
      </c>
      <c r="D486" s="36">
        <f>IF($C486="","",_xlfn.XLOOKUP($C486,Order!$C:$C,Order!$D:$D,"",0,1))</f>
        <v>25515</v>
      </c>
      <c r="E486" s="4" t="e" vm="340">
        <f>IF($C486="","",_xlfn.XLOOKUP($C486,Order!$C:$C,Order!$E:$E,"",0,1))</f>
        <v>#VALUE!</v>
      </c>
      <c r="F486" s="4">
        <f>IF($C486="","",_xlfn.XLOOKUP($C486,Order!$C:$C,Order!$F:$F,"",0,1))</f>
        <v>6000</v>
      </c>
      <c r="G486" s="4" t="str">
        <f>IF($C486="","",_xlfn.XLOOKUP($C486,Order!$C:$C,Order!$G:$G,"",0,1))</f>
        <v>6063T5</v>
      </c>
      <c r="H486" s="4">
        <f>IF($C486="","",_xlfn.XLOOKUP($C486,Order!$C:$C,Order!$H:$H,"",0,1))</f>
        <v>0.48399999999999999</v>
      </c>
      <c r="I486" s="36">
        <f>IF($C486="","",_xlfn.XLOOKUP($C486,Order!$C:$C,Order!$J:$J,"",0,1))</f>
        <v>0</v>
      </c>
      <c r="J486" s="4" t="str">
        <f>IF(C486="","",Order!$J$16)</f>
        <v>SILVER ANODIZED (FAYP01)</v>
      </c>
      <c r="K486" s="36">
        <f>IF($C486="","",_xlfn.XLOOKUP($C486,Order!$C:$C,Order!$P:$P,"",0,1))</f>
        <v>0</v>
      </c>
      <c r="L486" s="4">
        <f t="shared" si="7"/>
        <v>0</v>
      </c>
    </row>
    <row r="487" spans="2:12" ht="23.25" hidden="1" customHeight="1" x14ac:dyDescent="0.25">
      <c r="B487" s="4">
        <v>482</v>
      </c>
      <c r="C487" s="36">
        <f>IF(Order!$C$153="","",Order!$C$153)</f>
        <v>25516</v>
      </c>
      <c r="D487" s="36">
        <f>IF($C487="","",_xlfn.XLOOKUP($C487,Order!$C:$C,Order!$D:$D,"",0,1))</f>
        <v>25516</v>
      </c>
      <c r="E487" s="4" t="e" vm="341">
        <f>IF($C487="","",_xlfn.XLOOKUP($C487,Order!$C:$C,Order!$E:$E,"",0,1))</f>
        <v>#VALUE!</v>
      </c>
      <c r="F487" s="4">
        <f>IF($C487="","",_xlfn.XLOOKUP($C487,Order!$C:$C,Order!$F:$F,"",0,1))</f>
        <v>6000</v>
      </c>
      <c r="G487" s="4" t="str">
        <f>IF($C487="","",_xlfn.XLOOKUP($C487,Order!$C:$C,Order!$G:$G,"",0,1))</f>
        <v>6063T5</v>
      </c>
      <c r="H487" s="4">
        <f>IF($C487="","",_xlfn.XLOOKUP($C487,Order!$C:$C,Order!$H:$H,"",0,1))</f>
        <v>0.56000000000000005</v>
      </c>
      <c r="I487" s="36">
        <f>IF($C487="","",_xlfn.XLOOKUP($C487,Order!$C:$C,Order!$J:$J,"",0,1))</f>
        <v>0</v>
      </c>
      <c r="J487" s="4" t="str">
        <f>IF(C487="","",Order!$J$16)</f>
        <v>SILVER ANODIZED (FAYP01)</v>
      </c>
      <c r="K487" s="36">
        <f>IF($C487="","",_xlfn.XLOOKUP($C487,Order!$C:$C,Order!$P:$P,"",0,1))</f>
        <v>0</v>
      </c>
      <c r="L487" s="4">
        <f t="shared" si="7"/>
        <v>0</v>
      </c>
    </row>
    <row r="488" spans="2:12" ht="23.25" hidden="1" customHeight="1" x14ac:dyDescent="0.25">
      <c r="B488" s="4">
        <v>483</v>
      </c>
      <c r="C488" s="36">
        <f>IF(Order!$C$154="","",Order!$C$154)</f>
        <v>25540</v>
      </c>
      <c r="D488" s="36">
        <f>IF($C488="","",_xlfn.XLOOKUP($C488,Order!$C:$C,Order!$D:$D,"",0,1))</f>
        <v>25540</v>
      </c>
      <c r="E488" s="4" t="e" vm="342">
        <f>IF($C488="","",_xlfn.XLOOKUP($C488,Order!$C:$C,Order!$E:$E,"",0,1))</f>
        <v>#VALUE!</v>
      </c>
      <c r="F488" s="4">
        <f>IF($C488="","",_xlfn.XLOOKUP($C488,Order!$C:$C,Order!$F:$F,"",0,1))</f>
        <v>6000</v>
      </c>
      <c r="G488" s="4" t="str">
        <f>IF($C488="","",_xlfn.XLOOKUP($C488,Order!$C:$C,Order!$G:$G,"",0,1))</f>
        <v>6063T5</v>
      </c>
      <c r="H488" s="4">
        <f>IF($C488="","",_xlfn.XLOOKUP($C488,Order!$C:$C,Order!$H:$H,"",0,1))</f>
        <v>0.45</v>
      </c>
      <c r="I488" s="36">
        <f>IF($C488="","",_xlfn.XLOOKUP($C488,Order!$C:$C,Order!$J:$J,"",0,1))</f>
        <v>0</v>
      </c>
      <c r="J488" s="4" t="str">
        <f>IF(C488="","",Order!$J$16)</f>
        <v>SILVER ANODIZED (FAYP01)</v>
      </c>
      <c r="K488" s="36">
        <f>IF($C488="","",_xlfn.XLOOKUP($C488,Order!$C:$C,Order!$P:$P,"",0,1))</f>
        <v>0</v>
      </c>
      <c r="L488" s="4">
        <f t="shared" si="7"/>
        <v>0</v>
      </c>
    </row>
    <row r="489" spans="2:12" ht="23.25" hidden="1" customHeight="1" x14ac:dyDescent="0.25">
      <c r="B489" s="4">
        <v>484</v>
      </c>
      <c r="C489" s="36">
        <f>IF(Order!$C$155="","",Order!$C$155)</f>
        <v>25542</v>
      </c>
      <c r="D489" s="36">
        <f>IF($C489="","",_xlfn.XLOOKUP($C489,Order!$C:$C,Order!$D:$D,"",0,1))</f>
        <v>25542</v>
      </c>
      <c r="E489" s="4" t="e" vm="343">
        <f>IF($C489="","",_xlfn.XLOOKUP($C489,Order!$C:$C,Order!$E:$E,"",0,1))</f>
        <v>#VALUE!</v>
      </c>
      <c r="F489" s="4">
        <f>IF($C489="","",_xlfn.XLOOKUP($C489,Order!$C:$C,Order!$F:$F,"",0,1))</f>
        <v>6000</v>
      </c>
      <c r="G489" s="4" t="str">
        <f>IF($C489="","",_xlfn.XLOOKUP($C489,Order!$C:$C,Order!$G:$G,"",0,1))</f>
        <v>6063T5</v>
      </c>
      <c r="H489" s="4">
        <f>IF($C489="","",_xlfn.XLOOKUP($C489,Order!$C:$C,Order!$H:$H,"",0,1))</f>
        <v>0.54200000000000004</v>
      </c>
      <c r="I489" s="36">
        <f>IF($C489="","",_xlfn.XLOOKUP($C489,Order!$C:$C,Order!$J:$J,"",0,1))</f>
        <v>0</v>
      </c>
      <c r="J489" s="4" t="str">
        <f>IF(C489="","",Order!$J$16)</f>
        <v>SILVER ANODIZED (FAYP01)</v>
      </c>
      <c r="K489" s="36">
        <f>IF($C489="","",_xlfn.XLOOKUP($C489,Order!$C:$C,Order!$P:$P,"",0,1))</f>
        <v>0</v>
      </c>
      <c r="L489" s="4">
        <f t="shared" si="7"/>
        <v>0</v>
      </c>
    </row>
    <row r="490" spans="2:12" ht="23.25" hidden="1" customHeight="1" x14ac:dyDescent="0.25">
      <c r="B490" s="4">
        <v>485</v>
      </c>
      <c r="C490" s="36" t="str">
        <f>IF(Order!$C$156="","",Order!$C$156)</f>
        <v>VZ024L</v>
      </c>
      <c r="D490" s="36" t="str">
        <f>IF($C490="","",_xlfn.XLOOKUP($C490,Order!$C:$C,Order!$D:$D,"",0,1))</f>
        <v>VZ024L</v>
      </c>
      <c r="E490" s="4" t="e" vm="344">
        <f>IF($C490="","",_xlfn.XLOOKUP($C490,Order!$C:$C,Order!$E:$E,"",0,1))</f>
        <v>#VALUE!</v>
      </c>
      <c r="F490" s="4">
        <f>IF($C490="","",_xlfn.XLOOKUP($C490,Order!$C:$C,Order!$F:$F,"",0,1))</f>
        <v>6000</v>
      </c>
      <c r="G490" s="4" t="str">
        <f>IF($C490="","",_xlfn.XLOOKUP($C490,Order!$C:$C,Order!$G:$G,"",0,1))</f>
        <v>6063T5</v>
      </c>
      <c r="H490" s="4">
        <f>IF($C490="","",_xlfn.XLOOKUP($C490,Order!$C:$C,Order!$H:$H,"",0,1))</f>
        <v>0.19800000000000001</v>
      </c>
      <c r="I490" s="36">
        <f>IF($C490="","",_xlfn.XLOOKUP($C490,Order!$C:$C,Order!$J:$J,"",0,1))</f>
        <v>0</v>
      </c>
      <c r="J490" s="4" t="str">
        <f>IF(C490="","",Order!$J$16)</f>
        <v>SILVER ANODIZED (FAYP01)</v>
      </c>
      <c r="K490" s="36">
        <f>IF($C490="","",_xlfn.XLOOKUP($C490,Order!$C:$C,Order!$P:$P,"",0,1))</f>
        <v>0</v>
      </c>
      <c r="L490" s="4">
        <f t="shared" si="7"/>
        <v>0</v>
      </c>
    </row>
    <row r="491" spans="2:12" ht="23.25" hidden="1" customHeight="1" x14ac:dyDescent="0.25">
      <c r="B491" s="4">
        <v>486</v>
      </c>
      <c r="C491" s="36" t="str">
        <f>IF(Order!$C$157="","",Order!$C$157)</f>
        <v/>
      </c>
      <c r="D491" s="36" t="str">
        <f>IF($C491="","",_xlfn.XLOOKUP($C491,Order!$C:$C,Order!$D:$D,"",0,1))</f>
        <v/>
      </c>
      <c r="E491" s="4" t="str">
        <f>IF($C491="","",_xlfn.XLOOKUP($C491,Order!$C:$C,Order!$E:$E,"",0,1))</f>
        <v/>
      </c>
      <c r="F491" s="4" t="str">
        <f>IF($C491="","",_xlfn.XLOOKUP($C491,Order!$C:$C,Order!$F:$F,"",0,1))</f>
        <v/>
      </c>
      <c r="G491" s="4" t="str">
        <f>IF($C491="","",_xlfn.XLOOKUP($C491,Order!$C:$C,Order!$G:$G,"",0,1))</f>
        <v/>
      </c>
      <c r="H491" s="4" t="str">
        <f>IF($C491="","",_xlfn.XLOOKUP($C491,Order!$C:$C,Order!$H:$H,"",0,1))</f>
        <v/>
      </c>
      <c r="I491" s="36" t="str">
        <f>IF($C491="","",_xlfn.XLOOKUP($C491,Order!$C:$C,Order!$J:$J,"",0,1))</f>
        <v/>
      </c>
      <c r="J491" s="4" t="str">
        <f>IF(C491="","",Order!$J$16)</f>
        <v/>
      </c>
      <c r="K491" s="36" t="str">
        <f>IF($C491="","",_xlfn.XLOOKUP($C491,Order!$C:$C,Order!$P:$P,"",0,1))</f>
        <v/>
      </c>
      <c r="L491" s="4" t="str">
        <f t="shared" si="7"/>
        <v/>
      </c>
    </row>
    <row r="492" spans="2:12" ht="23.25" hidden="1" customHeight="1" x14ac:dyDescent="0.25">
      <c r="B492" s="4">
        <v>487</v>
      </c>
      <c r="C492" s="36" t="str">
        <f>IF(Order!$C$158="","",Order!$C$158)</f>
        <v>VZ060L</v>
      </c>
      <c r="D492" s="36" t="str">
        <f>IF($C492="","",_xlfn.XLOOKUP($C492,Order!$C:$C,Order!$D:$D,"",0,1))</f>
        <v>VZ060L</v>
      </c>
      <c r="E492" s="4" t="e" vm="345">
        <f>IF($C492="","",_xlfn.XLOOKUP($C492,Order!$C:$C,Order!$E:$E,"",0,1))</f>
        <v>#VALUE!</v>
      </c>
      <c r="F492" s="4">
        <f>IF($C492="","",_xlfn.XLOOKUP($C492,Order!$C:$C,Order!$F:$F,"",0,1))</f>
        <v>6000</v>
      </c>
      <c r="G492" s="4" t="str">
        <f>IF($C492="","",_xlfn.XLOOKUP($C492,Order!$C:$C,Order!$G:$G,"",0,1))</f>
        <v>6063T5</v>
      </c>
      <c r="H492" s="4">
        <f>IF($C492="","",_xlfn.XLOOKUP($C492,Order!$C:$C,Order!$H:$H,"",0,1))</f>
        <v>0.28799999999999998</v>
      </c>
      <c r="I492" s="36">
        <f>IF($C492="","",_xlfn.XLOOKUP($C492,Order!$C:$C,Order!$J:$J,"",0,1))</f>
        <v>0</v>
      </c>
      <c r="J492" s="4" t="str">
        <f>IF(C492="","",Order!$J$16)</f>
        <v>SILVER ANODIZED (FAYP01)</v>
      </c>
      <c r="K492" s="36">
        <f>IF($C492="","",_xlfn.XLOOKUP($C492,Order!$C:$C,Order!$P:$P,"",0,1))</f>
        <v>0</v>
      </c>
      <c r="L492" s="4">
        <f t="shared" si="7"/>
        <v>0</v>
      </c>
    </row>
    <row r="493" spans="2:12" ht="23.25" hidden="1" customHeight="1" x14ac:dyDescent="0.25">
      <c r="B493" s="4">
        <v>488</v>
      </c>
      <c r="C493" s="36" t="str">
        <f>IF(Order!$C$159="","",Order!$C$159)</f>
        <v>VZ201</v>
      </c>
      <c r="D493" s="36" t="str">
        <f>IF($C493="","",_xlfn.XLOOKUP($C493,Order!$C:$C,Order!$D:$D,"",0,1))</f>
        <v>VZ201</v>
      </c>
      <c r="E493" s="4" t="e" vm="346">
        <f>IF($C493="","",_xlfn.XLOOKUP($C493,Order!$C:$C,Order!$E:$E,"",0,1))</f>
        <v>#VALUE!</v>
      </c>
      <c r="F493" s="4">
        <f>IF($C493="","",_xlfn.XLOOKUP($C493,Order!$C:$C,Order!$F:$F,"",0,1))</f>
        <v>6000</v>
      </c>
      <c r="G493" s="4" t="str">
        <f>IF($C493="","",_xlfn.XLOOKUP($C493,Order!$C:$C,Order!$G:$G,"",0,1))</f>
        <v>6063T5</v>
      </c>
      <c r="H493" s="4">
        <f>IF($C493="","",_xlfn.XLOOKUP($C493,Order!$C:$C,Order!$H:$H,"",0,1))</f>
        <v>0.21</v>
      </c>
      <c r="I493" s="36">
        <f>IF($C493="","",_xlfn.XLOOKUP($C493,Order!$C:$C,Order!$J:$J,"",0,1))</f>
        <v>0</v>
      </c>
      <c r="J493" s="4" t="str">
        <f>IF(C493="","",Order!$J$16)</f>
        <v>SILVER ANODIZED (FAYP01)</v>
      </c>
      <c r="K493" s="36">
        <f>IF($C493="","",_xlfn.XLOOKUP($C493,Order!$C:$C,Order!$P:$P,"",0,1))</f>
        <v>0</v>
      </c>
      <c r="L493" s="4">
        <f t="shared" si="7"/>
        <v>0</v>
      </c>
    </row>
    <row r="494" spans="2:12" ht="23.25" hidden="1" customHeight="1" x14ac:dyDescent="0.25">
      <c r="B494" s="4">
        <v>489</v>
      </c>
      <c r="C494" s="36" t="str">
        <f>IF(Order!$C$160="","",Order!$C$160)</f>
        <v/>
      </c>
      <c r="D494" s="36" t="str">
        <f>IF($C494="","",_xlfn.XLOOKUP($C494,Order!$C:$C,Order!$D:$D,"",0,1))</f>
        <v/>
      </c>
      <c r="E494" s="4" t="str">
        <f>IF($C494="","",_xlfn.XLOOKUP($C494,Order!$C:$C,Order!$E:$E,"",0,1))</f>
        <v/>
      </c>
      <c r="F494" s="4" t="str">
        <f>IF($C494="","",_xlfn.XLOOKUP($C494,Order!$C:$C,Order!$F:$F,"",0,1))</f>
        <v/>
      </c>
      <c r="G494" s="4" t="str">
        <f>IF($C494="","",_xlfn.XLOOKUP($C494,Order!$C:$C,Order!$G:$G,"",0,1))</f>
        <v/>
      </c>
      <c r="H494" s="4" t="str">
        <f>IF($C494="","",_xlfn.XLOOKUP($C494,Order!$C:$C,Order!$H:$H,"",0,1))</f>
        <v/>
      </c>
      <c r="I494" s="36" t="str">
        <f>IF($C494="","",_xlfn.XLOOKUP($C494,Order!$C:$C,Order!$J:$J,"",0,1))</f>
        <v/>
      </c>
      <c r="J494" s="4" t="str">
        <f>IF(C494="","",Order!$J$16)</f>
        <v/>
      </c>
      <c r="K494" s="36" t="str">
        <f>IF($C494="","",_xlfn.XLOOKUP($C494,Order!$C:$C,Order!$P:$P,"",0,1))</f>
        <v/>
      </c>
      <c r="L494" s="4" t="str">
        <f t="shared" si="7"/>
        <v/>
      </c>
    </row>
    <row r="495" spans="2:12" ht="23.25" hidden="1" customHeight="1" x14ac:dyDescent="0.25">
      <c r="B495" s="4">
        <v>490</v>
      </c>
      <c r="C495" s="36" t="str">
        <f>IF(Order!$C$161="","",Order!$C$161)</f>
        <v xml:space="preserve">BX828 </v>
      </c>
      <c r="D495" s="36" t="str">
        <f>IF($C495="","",_xlfn.XLOOKUP($C495,Order!$C:$C,Order!$D:$D,"",0,1))</f>
        <v>BX828</v>
      </c>
      <c r="E495" s="4" t="e" vm="347">
        <f>IF($C495="","",_xlfn.XLOOKUP($C495,Order!$C:$C,Order!$E:$E,"",0,1))</f>
        <v>#VALUE!</v>
      </c>
      <c r="F495" s="4">
        <f>IF($C495="","",_xlfn.XLOOKUP($C495,Order!$C:$C,Order!$F:$F,"",0,1))</f>
        <v>6000</v>
      </c>
      <c r="G495" s="4" t="str">
        <f>IF($C495="","",_xlfn.XLOOKUP($C495,Order!$C:$C,Order!$G:$G,"",0,1))</f>
        <v>6063T5</v>
      </c>
      <c r="H495" s="4">
        <f>IF($C495="","",_xlfn.XLOOKUP($C495,Order!$C:$C,Order!$H:$H,"",0,1))</f>
        <v>0</v>
      </c>
      <c r="I495" s="36">
        <f>IF($C495="","",_xlfn.XLOOKUP($C495,Order!$C:$C,Order!$J:$J,"",0,1))</f>
        <v>0</v>
      </c>
      <c r="J495" s="4" t="str">
        <f>IF(C495="","",Order!$J$16)</f>
        <v>SILVER ANODIZED (FAYP01)</v>
      </c>
      <c r="K495" s="36">
        <f>IF($C495="","",_xlfn.XLOOKUP($C495,Order!$C:$C,Order!$P:$P,"",0,1))</f>
        <v>0</v>
      </c>
      <c r="L495" s="4">
        <f t="shared" si="7"/>
        <v>0</v>
      </c>
    </row>
    <row r="496" spans="2:12" ht="23.25" hidden="1" customHeight="1" x14ac:dyDescent="0.25">
      <c r="B496" s="4">
        <v>491</v>
      </c>
      <c r="C496" s="36">
        <f>IF(Order!$C$162="","",Order!$C$162)</f>
        <v>30044</v>
      </c>
      <c r="D496" s="36">
        <f>IF($C496="","",_xlfn.XLOOKUP($C496,Order!$C:$C,Order!$D:$D,"",0,1))</f>
        <v>30044</v>
      </c>
      <c r="E496" s="4" t="e" vm="348">
        <f>IF($C496="","",_xlfn.XLOOKUP($C496,Order!$C:$C,Order!$E:$E,"",0,1))</f>
        <v>#VALUE!</v>
      </c>
      <c r="F496" s="4">
        <f>IF($C496="","",_xlfn.XLOOKUP($C496,Order!$C:$C,Order!$F:$F,"",0,1))</f>
        <v>6000</v>
      </c>
      <c r="G496" s="4" t="str">
        <f>IF($C496="","",_xlfn.XLOOKUP($C496,Order!$C:$C,Order!$G:$G,"",0,1))</f>
        <v>6063T5</v>
      </c>
      <c r="H496" s="4">
        <f>IF($C496="","",_xlfn.XLOOKUP($C496,Order!$C:$C,Order!$H:$H,"",0,1))</f>
        <v>0.22600000000000001</v>
      </c>
      <c r="I496" s="36">
        <f>IF($C496="","",_xlfn.XLOOKUP($C496,Order!$C:$C,Order!$J:$J,"",0,1))</f>
        <v>0</v>
      </c>
      <c r="J496" s="4" t="str">
        <f>IF(C496="","",Order!$J$16)</f>
        <v>SILVER ANODIZED (FAYP01)</v>
      </c>
      <c r="K496" s="36">
        <f>IF($C496="","",_xlfn.XLOOKUP($C496,Order!$C:$C,Order!$P:$P,"",0,1))</f>
        <v>0</v>
      </c>
      <c r="L496" s="4">
        <f t="shared" si="7"/>
        <v>0</v>
      </c>
    </row>
    <row r="497" spans="2:12" ht="23.25" customHeight="1" x14ac:dyDescent="0.25">
      <c r="B497" s="4">
        <v>492</v>
      </c>
      <c r="C497" s="36" t="str">
        <f>IF(Order!$C$163="","",Order!$C$163)</f>
        <v>AF180U</v>
      </c>
      <c r="D497" s="36" t="str">
        <f>IF($C497="","",_xlfn.XLOOKUP($C497,Order!$C:$C,Order!$D:$D,"",0,1))</f>
        <v>AF180U</v>
      </c>
      <c r="E497" s="4" t="e" vm="349">
        <f>IF($C497="","",_xlfn.XLOOKUP($C497,Order!$C:$C,Order!$E:$E,"",0,1))</f>
        <v>#VALUE!</v>
      </c>
      <c r="F497" s="4">
        <f>IF($C497="","",_xlfn.XLOOKUP($C497,Order!$C:$C,Order!$F:$F,"",0,1))</f>
        <v>6000</v>
      </c>
      <c r="G497" s="4" t="str">
        <f>IF($C497="","",_xlfn.XLOOKUP($C497,Order!$C:$C,Order!$G:$G,"",0,1))</f>
        <v>6063T5</v>
      </c>
      <c r="H497" s="4">
        <f>IF($C497="","",_xlfn.XLOOKUP($C497,Order!$C:$C,Order!$H:$H,"",0,1))</f>
        <v>0.64200000000000002</v>
      </c>
      <c r="I497" s="36">
        <f>IF($C497="","",_xlfn.XLOOKUP($C497,Order!$C:$C,Order!$J:$J,"",0,1))</f>
        <v>50</v>
      </c>
      <c r="J497" s="4" t="str">
        <f>IF(C497="","",Order!$J$16)</f>
        <v>SILVER ANODIZED (FAYP01)</v>
      </c>
      <c r="K497" s="36">
        <f>IF($C497="","",_xlfn.XLOOKUP($C497,Order!$C:$C,Order!$P:$P,"",0,1))</f>
        <v>0</v>
      </c>
      <c r="L497" s="4">
        <f t="shared" si="7"/>
        <v>192.60000000000002</v>
      </c>
    </row>
    <row r="498" spans="2:12" ht="23.25" hidden="1" customHeight="1" x14ac:dyDescent="0.25">
      <c r="B498" s="4">
        <v>493</v>
      </c>
      <c r="C498" s="36" t="str">
        <f>IF(Order!$C$164="","",Order!$C$164)</f>
        <v>BX627</v>
      </c>
      <c r="D498" s="36" t="str">
        <f>IF($C498="","",_xlfn.XLOOKUP($C498,Order!$C:$C,Order!$D:$D,"",0,1))</f>
        <v>BX627</v>
      </c>
      <c r="E498" s="4" t="e" vm="350">
        <f>IF($C498="","",_xlfn.XLOOKUP($C498,Order!$C:$C,Order!$E:$E,"",0,1))</f>
        <v>#VALUE!</v>
      </c>
      <c r="F498" s="4">
        <f>IF($C498="","",_xlfn.XLOOKUP($C498,Order!$C:$C,Order!$F:$F,"",0,1))</f>
        <v>6000</v>
      </c>
      <c r="G498" s="4" t="str">
        <f>IF($C498="","",_xlfn.XLOOKUP($C498,Order!$C:$C,Order!$G:$G,"",0,1))</f>
        <v>6063T5</v>
      </c>
      <c r="H498" s="4">
        <f>IF($C498="","",_xlfn.XLOOKUP($C498,Order!$C:$C,Order!$H:$H,"",0,1))</f>
        <v>0.44800000000000001</v>
      </c>
      <c r="I498" s="36">
        <f>IF($C498="","",_xlfn.XLOOKUP($C498,Order!$C:$C,Order!$J:$J,"",0,1))</f>
        <v>0</v>
      </c>
      <c r="J498" s="4" t="str">
        <f>IF(C498="","",Order!$J$16)</f>
        <v>SILVER ANODIZED (FAYP01)</v>
      </c>
      <c r="K498" s="36">
        <f>IF($C498="","",_xlfn.XLOOKUP($C498,Order!$C:$C,Order!$P:$P,"",0,1))</f>
        <v>0</v>
      </c>
      <c r="L498" s="4">
        <f t="shared" si="7"/>
        <v>0</v>
      </c>
    </row>
    <row r="499" spans="2:12" ht="23.25" hidden="1" customHeight="1" x14ac:dyDescent="0.25">
      <c r="B499" s="4">
        <v>494</v>
      </c>
      <c r="C499" s="36" t="str">
        <f>IF(Order!$C$165="","",Order!$C$165)</f>
        <v>BX812</v>
      </c>
      <c r="D499" s="36" t="str">
        <f>IF($C499="","",_xlfn.XLOOKUP($C499,Order!$C:$C,Order!$D:$D,"",0,1))</f>
        <v>BX812</v>
      </c>
      <c r="E499" s="4" t="e" vm="351">
        <f>IF($C499="","",_xlfn.XLOOKUP($C499,Order!$C:$C,Order!$E:$E,"",0,1))</f>
        <v>#VALUE!</v>
      </c>
      <c r="F499" s="4">
        <f>IF($C499="","",_xlfn.XLOOKUP($C499,Order!$C:$C,Order!$F:$F,"",0,1))</f>
        <v>6000</v>
      </c>
      <c r="G499" s="4" t="str">
        <f>IF($C499="","",_xlfn.XLOOKUP($C499,Order!$C:$C,Order!$G:$G,"",0,1))</f>
        <v>6063T5</v>
      </c>
      <c r="H499" s="4">
        <f>IF($C499="","",_xlfn.XLOOKUP($C499,Order!$C:$C,Order!$H:$H,"",0,1))</f>
        <v>1.373</v>
      </c>
      <c r="I499" s="36">
        <f>IF($C499="","",_xlfn.XLOOKUP($C499,Order!$C:$C,Order!$J:$J,"",0,1))</f>
        <v>0</v>
      </c>
      <c r="J499" s="4" t="str">
        <f>IF(C499="","",Order!$J$16)</f>
        <v>SILVER ANODIZED (FAYP01)</v>
      </c>
      <c r="K499" s="36">
        <f>IF($C499="","",_xlfn.XLOOKUP($C499,Order!$C:$C,Order!$P:$P,"",0,1))</f>
        <v>0</v>
      </c>
      <c r="L499" s="4">
        <f t="shared" si="7"/>
        <v>0</v>
      </c>
    </row>
    <row r="500" spans="2:12" ht="23.25" hidden="1" customHeight="1" x14ac:dyDescent="0.25">
      <c r="B500" s="4">
        <v>495</v>
      </c>
      <c r="C500" s="36">
        <f>IF(Order!$C$166="","",Order!$C$166)</f>
        <v>25517</v>
      </c>
      <c r="D500" s="36">
        <f>IF($C500="","",_xlfn.XLOOKUP($C500,Order!$C:$C,Order!$D:$D,"",0,1))</f>
        <v>25517</v>
      </c>
      <c r="E500" s="4" t="e" vm="352">
        <f>IF($C500="","",_xlfn.XLOOKUP($C500,Order!$C:$C,Order!$E:$E,"",0,1))</f>
        <v>#VALUE!</v>
      </c>
      <c r="F500" s="4">
        <f>IF($C500="","",_xlfn.XLOOKUP($C500,Order!$C:$C,Order!$F:$F,"",0,1))</f>
        <v>6000</v>
      </c>
      <c r="G500" s="4" t="str">
        <f>IF($C500="","",_xlfn.XLOOKUP($C500,Order!$C:$C,Order!$G:$G,"",0,1))</f>
        <v>6063T5</v>
      </c>
      <c r="H500" s="4">
        <f>IF($C500="","",_xlfn.XLOOKUP($C500,Order!$C:$C,Order!$H:$H,"",0,1))</f>
        <v>0.39200000000000002</v>
      </c>
      <c r="I500" s="36">
        <f>IF($C500="","",_xlfn.XLOOKUP($C500,Order!$C:$C,Order!$J:$J,"",0,1))</f>
        <v>0</v>
      </c>
      <c r="J500" s="4" t="str">
        <f>IF(C500="","",Order!$J$16)</f>
        <v>SILVER ANODIZED (FAYP01)</v>
      </c>
      <c r="K500" s="36">
        <f>IF($C500="","",_xlfn.XLOOKUP($C500,Order!$C:$C,Order!$P:$P,"",0,1))</f>
        <v>0</v>
      </c>
      <c r="L500" s="4">
        <f t="shared" si="7"/>
        <v>0</v>
      </c>
    </row>
    <row r="501" spans="2:12" ht="23.25" hidden="1" customHeight="1" x14ac:dyDescent="0.25">
      <c r="B501" s="4">
        <v>496</v>
      </c>
      <c r="C501" s="36" t="str">
        <f>IF(Order!$C$167="","",Order!$C$167)</f>
        <v>25517A</v>
      </c>
      <c r="D501" s="36" t="str">
        <f>IF($C501="","",_xlfn.XLOOKUP($C501,Order!$C:$C,Order!$D:$D,"",0,1))</f>
        <v>25517A</v>
      </c>
      <c r="E501" s="4" t="e" vm="352">
        <f>IF($C501="","",_xlfn.XLOOKUP($C501,Order!$C:$C,Order!$E:$E,"",0,1))</f>
        <v>#VALUE!</v>
      </c>
      <c r="F501" s="4">
        <f>IF($C501="","",_xlfn.XLOOKUP($C501,Order!$C:$C,Order!$F:$F,"",0,1))</f>
        <v>6000</v>
      </c>
      <c r="G501" s="4" t="str">
        <f>IF($C501="","",_xlfn.XLOOKUP($C501,Order!$C:$C,Order!$G:$G,"",0,1))</f>
        <v>6063T5</v>
      </c>
      <c r="H501" s="4">
        <f>IF($C501="","",_xlfn.XLOOKUP($C501,Order!$C:$C,Order!$H:$H,"",0,1))</f>
        <v>0.36</v>
      </c>
      <c r="I501" s="36">
        <f>IF($C501="","",_xlfn.XLOOKUP($C501,Order!$C:$C,Order!$J:$J,"",0,1))</f>
        <v>0</v>
      </c>
      <c r="J501" s="4" t="str">
        <f>IF(C501="","",Order!$J$16)</f>
        <v>SILVER ANODIZED (FAYP01)</v>
      </c>
      <c r="K501" s="36">
        <f>IF($C501="","",_xlfn.XLOOKUP($C501,Order!$C:$C,Order!$P:$P,"",0,1))</f>
        <v>0</v>
      </c>
      <c r="L501" s="4">
        <f t="shared" si="7"/>
        <v>0</v>
      </c>
    </row>
    <row r="502" spans="2:12" ht="23.25" hidden="1" customHeight="1" x14ac:dyDescent="0.25">
      <c r="B502" s="4">
        <v>497</v>
      </c>
      <c r="C502" s="36">
        <f>IF(Order!$C$168="","",Order!$C$168)</f>
        <v>25518</v>
      </c>
      <c r="D502" s="36">
        <f>IF($C502="","",_xlfn.XLOOKUP($C502,Order!$C:$C,Order!$D:$D,"",0,1))</f>
        <v>25518</v>
      </c>
      <c r="E502" s="4" t="e" vm="353">
        <f>IF($C502="","",_xlfn.XLOOKUP($C502,Order!$C:$C,Order!$E:$E,"",0,1))</f>
        <v>#VALUE!</v>
      </c>
      <c r="F502" s="4">
        <f>IF($C502="","",_xlfn.XLOOKUP($C502,Order!$C:$C,Order!$F:$F,"",0,1))</f>
        <v>6000</v>
      </c>
      <c r="G502" s="4" t="str">
        <f>IF($C502="","",_xlfn.XLOOKUP($C502,Order!$C:$C,Order!$G:$G,"",0,1))</f>
        <v>6063T5</v>
      </c>
      <c r="H502" s="4">
        <f>IF($C502="","",_xlfn.XLOOKUP($C502,Order!$C:$C,Order!$H:$H,"",0,1))</f>
        <v>0.36299999999999999</v>
      </c>
      <c r="I502" s="36">
        <f>IF($C502="","",_xlfn.XLOOKUP($C502,Order!$C:$C,Order!$J:$J,"",0,1))</f>
        <v>0</v>
      </c>
      <c r="J502" s="4" t="str">
        <f>IF(C502="","",Order!$J$16)</f>
        <v>SILVER ANODIZED (FAYP01)</v>
      </c>
      <c r="K502" s="36">
        <f>IF($C502="","",_xlfn.XLOOKUP($C502,Order!$C:$C,Order!$P:$P,"",0,1))</f>
        <v>0</v>
      </c>
      <c r="L502" s="4">
        <f t="shared" si="7"/>
        <v>0</v>
      </c>
    </row>
    <row r="503" spans="2:12" ht="23.25" hidden="1" customHeight="1" x14ac:dyDescent="0.25">
      <c r="B503" s="4">
        <v>498</v>
      </c>
      <c r="C503" s="36">
        <f>IF(Order!$C$169="","",Order!$C$169)</f>
        <v>25520</v>
      </c>
      <c r="D503" s="36">
        <f>IF($C503="","",_xlfn.XLOOKUP($C503,Order!$C:$C,Order!$D:$D,"",0,1))</f>
        <v>25520</v>
      </c>
      <c r="E503" s="4" t="e" vm="354">
        <f>IF($C503="","",_xlfn.XLOOKUP($C503,Order!$C:$C,Order!$E:$E,"",0,1))</f>
        <v>#VALUE!</v>
      </c>
      <c r="F503" s="4">
        <f>IF($C503="","",_xlfn.XLOOKUP($C503,Order!$C:$C,Order!$F:$F,"",0,1))</f>
        <v>6000</v>
      </c>
      <c r="G503" s="4" t="str">
        <f>IF($C503="","",_xlfn.XLOOKUP($C503,Order!$C:$C,Order!$G:$G,"",0,1))</f>
        <v>6063T5</v>
      </c>
      <c r="H503" s="4">
        <f>IF($C503="","",_xlfn.XLOOKUP($C503,Order!$C:$C,Order!$H:$H,"",0,1))</f>
        <v>0.373</v>
      </c>
      <c r="I503" s="36">
        <f>IF($C503="","",_xlfn.XLOOKUP($C503,Order!$C:$C,Order!$J:$J,"",0,1))</f>
        <v>0</v>
      </c>
      <c r="J503" s="4" t="str">
        <f>IF(C503="","",Order!$J$16)</f>
        <v>SILVER ANODIZED (FAYP01)</v>
      </c>
      <c r="K503" s="36">
        <f>IF($C503="","",_xlfn.XLOOKUP($C503,Order!$C:$C,Order!$P:$P,"",0,1))</f>
        <v>0</v>
      </c>
      <c r="L503" s="4">
        <f t="shared" si="7"/>
        <v>0</v>
      </c>
    </row>
    <row r="504" spans="2:12" ht="23.25" hidden="1" customHeight="1" x14ac:dyDescent="0.25">
      <c r="B504" s="4">
        <v>499</v>
      </c>
      <c r="C504" s="36">
        <f>IF(Order!$C$170="","",Order!$C$170)</f>
        <v>25617</v>
      </c>
      <c r="D504" s="36">
        <f>IF($C504="","",_xlfn.XLOOKUP($C504,Order!$C:$C,Order!$D:$D,"",0,1))</f>
        <v>25617</v>
      </c>
      <c r="E504" s="4" t="e" vm="355">
        <f>IF($C504="","",_xlfn.XLOOKUP($C504,Order!$C:$C,Order!$E:$E,"",0,1))</f>
        <v>#VALUE!</v>
      </c>
      <c r="F504" s="4">
        <f>IF($C504="","",_xlfn.XLOOKUP($C504,Order!$C:$C,Order!$F:$F,"",0,1))</f>
        <v>6000</v>
      </c>
      <c r="G504" s="4" t="str">
        <f>IF($C504="","",_xlfn.XLOOKUP($C504,Order!$C:$C,Order!$G:$G,"",0,1))</f>
        <v>6063T5</v>
      </c>
      <c r="H504" s="4">
        <f>IF($C504="","",_xlfn.XLOOKUP($C504,Order!$C:$C,Order!$H:$H,"",0,1))</f>
        <v>0.373</v>
      </c>
      <c r="I504" s="36">
        <f>IF($C504="","",_xlfn.XLOOKUP($C504,Order!$C:$C,Order!$J:$J,"",0,1))</f>
        <v>0</v>
      </c>
      <c r="J504" s="4" t="str">
        <f>IF(C504="","",Order!$J$16)</f>
        <v>SILVER ANODIZED (FAYP01)</v>
      </c>
      <c r="K504" s="36">
        <f>IF($C504="","",_xlfn.XLOOKUP($C504,Order!$C:$C,Order!$P:$P,"",0,1))</f>
        <v>0</v>
      </c>
      <c r="L504" s="4">
        <f t="shared" si="7"/>
        <v>0</v>
      </c>
    </row>
    <row r="505" spans="2:12" ht="23.25" hidden="1" customHeight="1" x14ac:dyDescent="0.25">
      <c r="B505" s="4">
        <v>500</v>
      </c>
      <c r="C505" s="36" t="str">
        <f>IF(Order!$C$171="","",Order!$C$171)</f>
        <v>TB600</v>
      </c>
      <c r="D505" s="36" t="str">
        <f>IF($C505="","",_xlfn.XLOOKUP($C505,Order!$C:$C,Order!$D:$D,"",0,1))</f>
        <v>TB600</v>
      </c>
      <c r="E505" s="4" t="e" vm="356">
        <f>IF($C505="","",_xlfn.XLOOKUP($C505,Order!$C:$C,Order!$E:$E,"",0,1))</f>
        <v>#VALUE!</v>
      </c>
      <c r="F505" s="4">
        <f>IF($C505="","",_xlfn.XLOOKUP($C505,Order!$C:$C,Order!$F:$F,"",0,1))</f>
        <v>6000</v>
      </c>
      <c r="G505" s="4" t="str">
        <f>IF($C505="","",_xlfn.XLOOKUP($C505,Order!$C:$C,Order!$G:$G,"",0,1))</f>
        <v>6063T5</v>
      </c>
      <c r="H505" s="4">
        <f>IF($C505="","",_xlfn.XLOOKUP($C505,Order!$C:$C,Order!$H:$H,"",0,1))</f>
        <v>0.73099999999999998</v>
      </c>
      <c r="I505" s="36">
        <f>IF($C505="","",_xlfn.XLOOKUP($C505,Order!$C:$C,Order!$J:$J,"",0,1))</f>
        <v>0</v>
      </c>
      <c r="J505" s="4" t="str">
        <f>IF(C505="","",Order!$J$16)</f>
        <v>SILVER ANODIZED (FAYP01)</v>
      </c>
      <c r="K505" s="36">
        <f>IF($C505="","",_xlfn.XLOOKUP($C505,Order!$C:$C,Order!$P:$P,"",0,1))</f>
        <v>0</v>
      </c>
      <c r="L505" s="4">
        <f t="shared" si="7"/>
        <v>0</v>
      </c>
    </row>
    <row r="506" spans="2:12" ht="23.25" customHeight="1" x14ac:dyDescent="0.25">
      <c r="B506" s="4">
        <v>501</v>
      </c>
      <c r="C506" s="36" t="str">
        <f>IF(Order!$C$172="","",Order!$C$172)</f>
        <v>TB650</v>
      </c>
      <c r="D506" s="36" t="str">
        <f>IF($C506="","",_xlfn.XLOOKUP($C506,Order!$C:$C,Order!$D:$D,"",0,1))</f>
        <v>TB650</v>
      </c>
      <c r="E506" s="4" t="e" vm="357">
        <f>IF($C506="","",_xlfn.XLOOKUP($C506,Order!$C:$C,Order!$E:$E,"",0,1))</f>
        <v>#VALUE!</v>
      </c>
      <c r="F506" s="4">
        <f>IF($C506="","",_xlfn.XLOOKUP($C506,Order!$C:$C,Order!$F:$F,"",0,1))</f>
        <v>6000</v>
      </c>
      <c r="G506" s="4" t="str">
        <f>IF($C506="","",_xlfn.XLOOKUP($C506,Order!$C:$C,Order!$G:$G,"",0,1))</f>
        <v>6063T5</v>
      </c>
      <c r="H506" s="4">
        <f>IF($C506="","",_xlfn.XLOOKUP($C506,Order!$C:$C,Order!$H:$H,"",0,1))</f>
        <v>0.77500000000000002</v>
      </c>
      <c r="I506" s="36">
        <f>IF($C506="","",_xlfn.XLOOKUP($C506,Order!$C:$C,Order!$J:$J,"",0,1))</f>
        <v>50</v>
      </c>
      <c r="J506" s="4" t="str">
        <f>IF(C506="","",Order!$J$16)</f>
        <v>SILVER ANODIZED (FAYP01)</v>
      </c>
      <c r="K506" s="36">
        <f>IF($C506="","",_xlfn.XLOOKUP($C506,Order!$C:$C,Order!$P:$P,"",0,1))</f>
        <v>0</v>
      </c>
      <c r="L506" s="4">
        <f t="shared" si="7"/>
        <v>232.50000000000003</v>
      </c>
    </row>
    <row r="507" spans="2:12" ht="23.25" hidden="1" customHeight="1" x14ac:dyDescent="0.25">
      <c r="B507" s="4">
        <v>502</v>
      </c>
      <c r="C507" s="36" t="str">
        <f>IF(Order!$C$173="","",Order!$C$173)</f>
        <v>PC0276</v>
      </c>
      <c r="D507" s="36" t="str">
        <f>IF($C507="","",_xlfn.XLOOKUP($C507,Order!$C:$C,Order!$D:$D,"",0,1))</f>
        <v>PC027 6</v>
      </c>
      <c r="E507" s="4" t="e" vm="358">
        <f>IF($C507="","",_xlfn.XLOOKUP($C507,Order!$C:$C,Order!$E:$E,"",0,1))</f>
        <v>#VALUE!</v>
      </c>
      <c r="F507" s="4">
        <f>IF($C507="","",_xlfn.XLOOKUP($C507,Order!$C:$C,Order!$F:$F,"",0,1))</f>
        <v>6000</v>
      </c>
      <c r="G507" s="4" t="str">
        <f>IF($C507="","",_xlfn.XLOOKUP($C507,Order!$C:$C,Order!$G:$G,"",0,1))</f>
        <v>6063T5</v>
      </c>
      <c r="H507" s="4">
        <f>IF($C507="","",_xlfn.XLOOKUP($C507,Order!$C:$C,Order!$H:$H,"",0,1))</f>
        <v>0.53500000000000003</v>
      </c>
      <c r="I507" s="36">
        <f>IF($C507="","",_xlfn.XLOOKUP($C507,Order!$C:$C,Order!$J:$J,"",0,1))</f>
        <v>0</v>
      </c>
      <c r="J507" s="4" t="str">
        <f>IF(C507="","",Order!$J$16)</f>
        <v>SILVER ANODIZED (FAYP01)</v>
      </c>
      <c r="K507" s="36">
        <f>IF($C507="","",_xlfn.XLOOKUP($C507,Order!$C:$C,Order!$P:$P,"",0,1))</f>
        <v>0</v>
      </c>
      <c r="L507" s="4">
        <f t="shared" si="7"/>
        <v>0</v>
      </c>
    </row>
    <row r="508" spans="2:12" ht="23.25" customHeight="1" x14ac:dyDescent="0.25">
      <c r="B508" s="4">
        <v>503</v>
      </c>
      <c r="C508" s="36" t="str">
        <f>IF(Order!$C$174="","",Order!$C$174)</f>
        <v>PC0276.5A</v>
      </c>
      <c r="D508" s="36" t="str">
        <f>IF($C508="","",_xlfn.XLOOKUP($C508,Order!$C:$C,Order!$D:$D,"",0,1))</f>
        <v>PC027 6.5A</v>
      </c>
      <c r="E508" s="4" t="e" vm="359">
        <f>IF($C508="","",_xlfn.XLOOKUP($C508,Order!$C:$C,Order!$E:$E,"",0,1))</f>
        <v>#VALUE!</v>
      </c>
      <c r="F508" s="4">
        <f>IF($C508="","",_xlfn.XLOOKUP($C508,Order!$C:$C,Order!$F:$F,"",0,1))</f>
        <v>6000</v>
      </c>
      <c r="G508" s="4" t="str">
        <f>IF($C508="","",_xlfn.XLOOKUP($C508,Order!$C:$C,Order!$G:$G,"",0,1))</f>
        <v>6063T5</v>
      </c>
      <c r="H508" s="4">
        <f>IF($C508="","",_xlfn.XLOOKUP($C508,Order!$C:$C,Order!$H:$H,"",0,1))</f>
        <v>0.61899999999999999</v>
      </c>
      <c r="I508" s="36">
        <f>IF($C508="","",_xlfn.XLOOKUP($C508,Order!$C:$C,Order!$J:$J,"",0,1))</f>
        <v>200</v>
      </c>
      <c r="J508" s="4" t="str">
        <f>IF(C508="","",Order!$J$16)</f>
        <v>SILVER ANODIZED (FAYP01)</v>
      </c>
      <c r="K508" s="36">
        <f>IF($C508="","",_xlfn.XLOOKUP($C508,Order!$C:$C,Order!$P:$P,"",0,1))</f>
        <v>0</v>
      </c>
      <c r="L508" s="4">
        <f t="shared" si="7"/>
        <v>742.8</v>
      </c>
    </row>
    <row r="509" spans="2:12" ht="23.25" hidden="1" customHeight="1" x14ac:dyDescent="0.25">
      <c r="B509" s="4">
        <v>504</v>
      </c>
      <c r="C509" s="36" t="str">
        <f>IF(Order!$C$175="","",Order!$C$175)</f>
        <v>E77</v>
      </c>
      <c r="D509" s="36" t="str">
        <f>IF($C509="","",_xlfn.XLOOKUP($C509,Order!$C:$C,Order!$D:$D,"",0,1))</f>
        <v>E77</v>
      </c>
      <c r="E509" s="4" t="e" vm="360">
        <f>IF($C509="","",_xlfn.XLOOKUP($C509,Order!$C:$C,Order!$E:$E,"",0,1))</f>
        <v>#VALUE!</v>
      </c>
      <c r="F509" s="4">
        <f>IF($C509="","",_xlfn.XLOOKUP($C509,Order!$C:$C,Order!$F:$F,"",0,1))</f>
        <v>6000</v>
      </c>
      <c r="G509" s="4" t="str">
        <f>IF($C509="","",_xlfn.XLOOKUP($C509,Order!$C:$C,Order!$G:$G,"",0,1))</f>
        <v>6063T5</v>
      </c>
      <c r="H509" s="4">
        <f>IF($C509="","",_xlfn.XLOOKUP($C509,Order!$C:$C,Order!$H:$H,"",0,1))</f>
        <v>0.6</v>
      </c>
      <c r="I509" s="36">
        <f>IF($C509="","",_xlfn.XLOOKUP($C509,Order!$C:$C,Order!$J:$J,"",0,1))</f>
        <v>0</v>
      </c>
      <c r="J509" s="4" t="str">
        <f>IF(C509="","",Order!$J$16)</f>
        <v>SILVER ANODIZED (FAYP01)</v>
      </c>
      <c r="K509" s="36">
        <f>IF($C509="","",_xlfn.XLOOKUP($C509,Order!$C:$C,Order!$P:$P,"",0,1))</f>
        <v>0</v>
      </c>
      <c r="L509" s="4">
        <f t="shared" si="7"/>
        <v>0</v>
      </c>
    </row>
    <row r="510" spans="2:12" ht="23.25" hidden="1" customHeight="1" x14ac:dyDescent="0.25">
      <c r="B510" s="4">
        <v>505</v>
      </c>
      <c r="C510" s="36" t="str">
        <f>IF(Order!$C$176="","",Order!$C$176)</f>
        <v>ALB099 1.1</v>
      </c>
      <c r="D510" s="36" t="str">
        <f>IF($C510="","",_xlfn.XLOOKUP($C510,Order!$C:$C,Order!$D:$D,"",0,1))</f>
        <v>ALB099</v>
      </c>
      <c r="E510" s="4" t="e" vm="361">
        <f>IF($C510="","",_xlfn.XLOOKUP($C510,Order!$C:$C,Order!$E:$E,"",0,1))</f>
        <v>#VALUE!</v>
      </c>
      <c r="F510" s="4">
        <f>IF($C510="","",_xlfn.XLOOKUP($C510,Order!$C:$C,Order!$F:$F,"",0,1))</f>
        <v>6000</v>
      </c>
      <c r="G510" s="4" t="str">
        <f>IF($C510="","",_xlfn.XLOOKUP($C510,Order!$C:$C,Order!$G:$G,"",0,1))</f>
        <v>6063T5</v>
      </c>
      <c r="H510" s="4">
        <f>IF($C510="","",_xlfn.XLOOKUP($C510,Order!$C:$C,Order!$H:$H,"",0,1))</f>
        <v>0.74299999999999999</v>
      </c>
      <c r="I510" s="36">
        <f>IF($C510="","",_xlfn.XLOOKUP($C510,Order!$C:$C,Order!$J:$J,"",0,1))</f>
        <v>0</v>
      </c>
      <c r="J510" s="4" t="str">
        <f>IF(C510="","",Order!$J$16)</f>
        <v>SILVER ANODIZED (FAYP01)</v>
      </c>
      <c r="K510" s="36">
        <f>IF($C510="","",_xlfn.XLOOKUP($C510,Order!$C:$C,Order!$P:$P,"",0,1))</f>
        <v>0</v>
      </c>
      <c r="L510" s="4">
        <f t="shared" si="7"/>
        <v>0</v>
      </c>
    </row>
    <row r="511" spans="2:12" ht="23.25" hidden="1" customHeight="1" x14ac:dyDescent="0.25">
      <c r="B511" s="4">
        <v>506</v>
      </c>
      <c r="C511" s="36" t="str">
        <f>IF(Order!$C$177="","",Order!$C$177)</f>
        <v>ALB099 1.2</v>
      </c>
      <c r="D511" s="36" t="str">
        <f>IF($C511="","",_xlfn.XLOOKUP($C511,Order!$C:$C,Order!$D:$D,"",0,1))</f>
        <v>ALB099 1.2</v>
      </c>
      <c r="E511" s="4" t="e" vm="362">
        <f>IF($C511="","",_xlfn.XLOOKUP($C511,Order!$C:$C,Order!$E:$E,"",0,1))</f>
        <v>#VALUE!</v>
      </c>
      <c r="F511" s="4">
        <f>IF($C511="","",_xlfn.XLOOKUP($C511,Order!$C:$C,Order!$F:$F,"",0,1))</f>
        <v>6000</v>
      </c>
      <c r="G511" s="4" t="str">
        <f>IF($C511="","",_xlfn.XLOOKUP($C511,Order!$C:$C,Order!$G:$G,"",0,1))</f>
        <v>6063T5</v>
      </c>
      <c r="H511" s="4">
        <f>IF($C511="","",_xlfn.XLOOKUP($C511,Order!$C:$C,Order!$H:$H,"",0,1))</f>
        <v>0.81499999999999995</v>
      </c>
      <c r="I511" s="36">
        <f>IF($C511="","",_xlfn.XLOOKUP($C511,Order!$C:$C,Order!$J:$J,"",0,1))</f>
        <v>0</v>
      </c>
      <c r="J511" s="4" t="str">
        <f>IF(C511="","",Order!$J$16)</f>
        <v>SILVER ANODIZED (FAYP01)</v>
      </c>
      <c r="K511" s="36">
        <f>IF($C511="","",_xlfn.XLOOKUP($C511,Order!$C:$C,Order!$P:$P,"",0,1))</f>
        <v>0</v>
      </c>
      <c r="L511" s="4">
        <f t="shared" si="7"/>
        <v>0</v>
      </c>
    </row>
    <row r="512" spans="2:12" ht="23.25" hidden="1" customHeight="1" x14ac:dyDescent="0.25">
      <c r="B512" s="4">
        <v>507</v>
      </c>
      <c r="C512" s="36" t="str">
        <f>IF(Order!$C$178="","",Order!$C$178)</f>
        <v>LB005</v>
      </c>
      <c r="D512" s="36" t="str">
        <f>IF($C512="","",_xlfn.XLOOKUP($C512,Order!$C:$C,Order!$D:$D,"",0,1))</f>
        <v>LB005</v>
      </c>
      <c r="E512" s="4" t="e" vm="363">
        <f>IF($C512="","",_xlfn.XLOOKUP($C512,Order!$C:$C,Order!$E:$E,"",0,1))</f>
        <v>#VALUE!</v>
      </c>
      <c r="F512" s="4">
        <f>IF($C512="","",_xlfn.XLOOKUP($C512,Order!$C:$C,Order!$F:$F,"",0,1))</f>
        <v>6000</v>
      </c>
      <c r="G512" s="4" t="str">
        <f>IF($C512="","",_xlfn.XLOOKUP($C512,Order!$C:$C,Order!$G:$G,"",0,1))</f>
        <v>6063T5</v>
      </c>
      <c r="H512" s="4">
        <f>IF($C512="","",_xlfn.XLOOKUP($C512,Order!$C:$C,Order!$H:$H,"",0,1))</f>
        <v>0</v>
      </c>
      <c r="I512" s="36">
        <f>IF($C512="","",_xlfn.XLOOKUP($C512,Order!$C:$C,Order!$J:$J,"",0,1))</f>
        <v>0</v>
      </c>
      <c r="J512" s="4" t="str">
        <f>IF(C512="","",Order!$J$16)</f>
        <v>SILVER ANODIZED (FAYP01)</v>
      </c>
      <c r="K512" s="36">
        <f>IF($C512="","",_xlfn.XLOOKUP($C512,Order!$C:$C,Order!$P:$P,"",0,1))</f>
        <v>0</v>
      </c>
      <c r="L512" s="4">
        <f t="shared" si="7"/>
        <v>0</v>
      </c>
    </row>
    <row r="513" spans="2:12" ht="23.25" hidden="1" customHeight="1" x14ac:dyDescent="0.25">
      <c r="B513" s="4">
        <v>508</v>
      </c>
      <c r="C513" s="36" t="str">
        <f>IF(Order!$C$179="","",Order!$C$179)</f>
        <v>LB007</v>
      </c>
      <c r="D513" s="36" t="str">
        <f>IF($C513="","",_xlfn.XLOOKUP($C513,Order!$C:$C,Order!$D:$D,"",0,1))</f>
        <v>LB007</v>
      </c>
      <c r="E513" s="4" t="e" vm="364">
        <f>IF($C513="","",_xlfn.XLOOKUP($C513,Order!$C:$C,Order!$E:$E,"",0,1))</f>
        <v>#VALUE!</v>
      </c>
      <c r="F513" s="4">
        <f>IF($C513="","",_xlfn.XLOOKUP($C513,Order!$C:$C,Order!$F:$F,"",0,1))</f>
        <v>6000</v>
      </c>
      <c r="G513" s="4" t="str">
        <f>IF($C513="","",_xlfn.XLOOKUP($C513,Order!$C:$C,Order!$G:$G,"",0,1))</f>
        <v>6063T5</v>
      </c>
      <c r="H513" s="4">
        <f>IF($C513="","",_xlfn.XLOOKUP($C513,Order!$C:$C,Order!$H:$H,"",0,1))</f>
        <v>0.61</v>
      </c>
      <c r="I513" s="36">
        <f>IF($C513="","",_xlfn.XLOOKUP($C513,Order!$C:$C,Order!$J:$J,"",0,1))</f>
        <v>0</v>
      </c>
      <c r="J513" s="4" t="str">
        <f>IF(C513="","",Order!$J$16)</f>
        <v>SILVER ANODIZED (FAYP01)</v>
      </c>
      <c r="K513" s="36">
        <f>IF($C513="","",_xlfn.XLOOKUP($C513,Order!$C:$C,Order!$P:$P,"",0,1))</f>
        <v>0</v>
      </c>
      <c r="L513" s="4">
        <f t="shared" si="7"/>
        <v>0</v>
      </c>
    </row>
    <row r="514" spans="2:12" ht="23.25" customHeight="1" x14ac:dyDescent="0.25">
      <c r="B514" s="4">
        <v>509</v>
      </c>
      <c r="C514" s="36" t="str">
        <f>IF(Order!$C$180="","",Order!$C$180)</f>
        <v>LB008</v>
      </c>
      <c r="D514" s="36" t="str">
        <f>IF($C514="","",_xlfn.XLOOKUP($C514,Order!$C:$C,Order!$D:$D,"",0,1))</f>
        <v>LB008</v>
      </c>
      <c r="E514" s="4" t="e" vm="365">
        <f>IF($C514="","",_xlfn.XLOOKUP($C514,Order!$C:$C,Order!$E:$E,"",0,1))</f>
        <v>#VALUE!</v>
      </c>
      <c r="F514" s="4">
        <f>IF($C514="","",_xlfn.XLOOKUP($C514,Order!$C:$C,Order!$F:$F,"",0,1))</f>
        <v>6000</v>
      </c>
      <c r="G514" s="4" t="str">
        <f>IF($C514="","",_xlfn.XLOOKUP($C514,Order!$C:$C,Order!$G:$G,"",0,1))</f>
        <v>6063T5</v>
      </c>
      <c r="H514" s="4">
        <f>IF($C514="","",_xlfn.XLOOKUP($C514,Order!$C:$C,Order!$H:$H,"",0,1))</f>
        <v>0.50600000000000001</v>
      </c>
      <c r="I514" s="36">
        <f>IF($C514="","",_xlfn.XLOOKUP($C514,Order!$C:$C,Order!$J:$J,"",0,1))</f>
        <v>300</v>
      </c>
      <c r="J514" s="4" t="str">
        <f>IF(C514="","",Order!$J$16)</f>
        <v>SILVER ANODIZED (FAYP01)</v>
      </c>
      <c r="K514" s="36">
        <f>IF($C514="","",_xlfn.XLOOKUP($C514,Order!$C:$C,Order!$P:$P,"",0,1))</f>
        <v>0</v>
      </c>
      <c r="L514" s="4">
        <f t="shared" si="7"/>
        <v>910.8</v>
      </c>
    </row>
    <row r="515" spans="2:12" ht="23.25" hidden="1" customHeight="1" x14ac:dyDescent="0.25">
      <c r="B515" s="4">
        <v>510</v>
      </c>
      <c r="C515" s="36" t="str">
        <f>IF(Order!$C$181="","",Order!$C$181)</f>
        <v>LB010</v>
      </c>
      <c r="D515" s="36" t="str">
        <f>IF($C515="","",_xlfn.XLOOKUP($C515,Order!$C:$C,Order!$D:$D,"",0,1))</f>
        <v>LB010</v>
      </c>
      <c r="E515" s="4" t="e" vm="366">
        <f>IF($C515="","",_xlfn.XLOOKUP($C515,Order!$C:$C,Order!$E:$E,"",0,1))</f>
        <v>#VALUE!</v>
      </c>
      <c r="F515" s="4">
        <f>IF($C515="","",_xlfn.XLOOKUP($C515,Order!$C:$C,Order!$F:$F,"",0,1))</f>
        <v>6000</v>
      </c>
      <c r="G515" s="4" t="str">
        <f>IF($C515="","",_xlfn.XLOOKUP($C515,Order!$C:$C,Order!$G:$G,"",0,1))</f>
        <v>6063T5</v>
      </c>
      <c r="H515" s="4">
        <f>IF($C515="","",_xlfn.XLOOKUP($C515,Order!$C:$C,Order!$H:$H,"",0,1))</f>
        <v>0</v>
      </c>
      <c r="I515" s="36">
        <f>IF($C515="","",_xlfn.XLOOKUP($C515,Order!$C:$C,Order!$J:$J,"",0,1))</f>
        <v>0</v>
      </c>
      <c r="J515" s="4" t="str">
        <f>IF(C515="","",Order!$J$16)</f>
        <v>SILVER ANODIZED (FAYP01)</v>
      </c>
      <c r="K515" s="36">
        <f>IF($C515="","",_xlfn.XLOOKUP($C515,Order!$C:$C,Order!$P:$P,"",0,1))</f>
        <v>0</v>
      </c>
      <c r="L515" s="4">
        <f t="shared" si="7"/>
        <v>0</v>
      </c>
    </row>
    <row r="516" spans="2:12" ht="23.25" hidden="1" customHeight="1" x14ac:dyDescent="0.25">
      <c r="B516" s="4">
        <v>511</v>
      </c>
      <c r="C516" s="36" t="str">
        <f>IF(Order!$C$182="","",Order!$C$182)</f>
        <v>LB020</v>
      </c>
      <c r="D516" s="36" t="str">
        <f>IF($C516="","",_xlfn.XLOOKUP($C516,Order!$C:$C,Order!$D:$D,"",0,1))</f>
        <v>LB020</v>
      </c>
      <c r="E516" s="4" t="e" vm="367">
        <f>IF($C516="","",_xlfn.XLOOKUP($C516,Order!$C:$C,Order!$E:$E,"",0,1))</f>
        <v>#VALUE!</v>
      </c>
      <c r="F516" s="4">
        <f>IF($C516="","",_xlfn.XLOOKUP($C516,Order!$C:$C,Order!$F:$F,"",0,1))</f>
        <v>6000</v>
      </c>
      <c r="G516" s="4" t="str">
        <f>IF($C516="","",_xlfn.XLOOKUP($C516,Order!$C:$C,Order!$G:$G,"",0,1))</f>
        <v>6063T5</v>
      </c>
      <c r="H516" s="4">
        <f>IF($C516="","",_xlfn.XLOOKUP($C516,Order!$C:$C,Order!$H:$H,"",0,1))</f>
        <v>0.67300000000000004</v>
      </c>
      <c r="I516" s="36">
        <f>IF($C516="","",_xlfn.XLOOKUP($C516,Order!$C:$C,Order!$J:$J,"",0,1))</f>
        <v>0</v>
      </c>
      <c r="J516" s="4" t="str">
        <f>IF(C516="","",Order!$J$16)</f>
        <v>SILVER ANODIZED (FAYP01)</v>
      </c>
      <c r="K516" s="36">
        <f>IF($C516="","",_xlfn.XLOOKUP($C516,Order!$C:$C,Order!$P:$P,"",0,1))</f>
        <v>0</v>
      </c>
      <c r="L516" s="4">
        <f t="shared" si="7"/>
        <v>0</v>
      </c>
    </row>
    <row r="517" spans="2:12" ht="23.25" hidden="1" customHeight="1" x14ac:dyDescent="0.25">
      <c r="B517" s="4">
        <v>512</v>
      </c>
      <c r="C517" s="36" t="str">
        <f>IF(Order!$C$183="","",Order!$C$183)</f>
        <v>PLB036</v>
      </c>
      <c r="D517" s="36" t="str">
        <f>IF($C517="","",_xlfn.XLOOKUP($C517,Order!$C:$C,Order!$D:$D,"",0,1))</f>
        <v>PLB036</v>
      </c>
      <c r="E517" s="4" t="e" vm="368">
        <f>IF($C517="","",_xlfn.XLOOKUP($C517,Order!$C:$C,Order!$E:$E,"",0,1))</f>
        <v>#VALUE!</v>
      </c>
      <c r="F517" s="4">
        <f>IF($C517="","",_xlfn.XLOOKUP($C517,Order!$C:$C,Order!$F:$F,"",0,1))</f>
        <v>6000</v>
      </c>
      <c r="G517" s="4" t="str">
        <f>IF($C517="","",_xlfn.XLOOKUP($C517,Order!$C:$C,Order!$G:$G,"",0,1))</f>
        <v>6063T5</v>
      </c>
      <c r="H517" s="4">
        <f>IF($C517="","",_xlfn.XLOOKUP($C517,Order!$C:$C,Order!$H:$H,"",0,1))</f>
        <v>0.51400000000000001</v>
      </c>
      <c r="I517" s="36">
        <f>IF($C517="","",_xlfn.XLOOKUP($C517,Order!$C:$C,Order!$J:$J,"",0,1))</f>
        <v>0</v>
      </c>
      <c r="J517" s="4" t="str">
        <f>IF(C517="","",Order!$J$16)</f>
        <v>SILVER ANODIZED (FAYP01)</v>
      </c>
      <c r="K517" s="36">
        <f>IF($C517="","",_xlfn.XLOOKUP($C517,Order!$C:$C,Order!$P:$P,"",0,1))</f>
        <v>0</v>
      </c>
      <c r="L517" s="4">
        <f t="shared" si="7"/>
        <v>0</v>
      </c>
    </row>
    <row r="518" spans="2:12" ht="23.25" hidden="1" customHeight="1" x14ac:dyDescent="0.25">
      <c r="B518" s="4">
        <v>513</v>
      </c>
      <c r="C518" s="36" t="str">
        <f>IF(Order!$C$184="","",Order!$C$184)</f>
        <v>PLB036P</v>
      </c>
      <c r="D518" s="36" t="str">
        <f>IF($C518="","",_xlfn.XLOOKUP($C518,Order!$C:$C,Order!$D:$D,"",0,1))</f>
        <v>PLB036P</v>
      </c>
      <c r="E518" s="4" t="e" vm="369">
        <f>IF($C518="","",_xlfn.XLOOKUP($C518,Order!$C:$C,Order!$E:$E,"",0,1))</f>
        <v>#VALUE!</v>
      </c>
      <c r="F518" s="4">
        <f>IF($C518="","",_xlfn.XLOOKUP($C518,Order!$C:$C,Order!$F:$F,"",0,1))</f>
        <v>6000</v>
      </c>
      <c r="G518" s="4" t="str">
        <f>IF($C518="","",_xlfn.XLOOKUP($C518,Order!$C:$C,Order!$G:$G,"",0,1))</f>
        <v>6063T5</v>
      </c>
      <c r="H518" s="4">
        <f>IF($C518="","",_xlfn.XLOOKUP($C518,Order!$C:$C,Order!$H:$H,"",0,1))</f>
        <v>0.46600000000000003</v>
      </c>
      <c r="I518" s="36">
        <f>IF($C518="","",_xlfn.XLOOKUP($C518,Order!$C:$C,Order!$J:$J,"",0,1))</f>
        <v>0</v>
      </c>
      <c r="J518" s="4" t="str">
        <f>IF(C518="","",Order!$J$16)</f>
        <v>SILVER ANODIZED (FAYP01)</v>
      </c>
      <c r="K518" s="36">
        <f>IF($C518="","",_xlfn.XLOOKUP($C518,Order!$C:$C,Order!$P:$P,"",0,1))</f>
        <v>0</v>
      </c>
      <c r="L518" s="4">
        <f t="shared" si="7"/>
        <v>0</v>
      </c>
    </row>
    <row r="519" spans="2:12" ht="23.25" hidden="1" customHeight="1" x14ac:dyDescent="0.25">
      <c r="B519" s="4">
        <v>514</v>
      </c>
      <c r="C519" s="36" t="str">
        <f>IF(Order!$C$185="","",Order!$C$185)</f>
        <v>LB037</v>
      </c>
      <c r="D519" s="36" t="str">
        <f>IF($C519="","",_xlfn.XLOOKUP($C519,Order!$C:$C,Order!$D:$D,"",0,1))</f>
        <v>LB037</v>
      </c>
      <c r="E519" s="4" t="e" vm="370">
        <f>IF($C519="","",_xlfn.XLOOKUP($C519,Order!$C:$C,Order!$E:$E,"",0,1))</f>
        <v>#VALUE!</v>
      </c>
      <c r="F519" s="4">
        <f>IF($C519="","",_xlfn.XLOOKUP($C519,Order!$C:$C,Order!$F:$F,"",0,1))</f>
        <v>6000</v>
      </c>
      <c r="G519" s="4" t="str">
        <f>IF($C519="","",_xlfn.XLOOKUP($C519,Order!$C:$C,Order!$G:$G,"",0,1))</f>
        <v>6063T5</v>
      </c>
      <c r="H519" s="4">
        <f>IF($C519="","",_xlfn.XLOOKUP($C519,Order!$C:$C,Order!$H:$H,"",0,1))</f>
        <v>0.68100000000000005</v>
      </c>
      <c r="I519" s="36">
        <f>IF($C519="","",_xlfn.XLOOKUP($C519,Order!$C:$C,Order!$J:$J,"",0,1))</f>
        <v>0</v>
      </c>
      <c r="J519" s="4" t="str">
        <f>IF(C519="","",Order!$J$16)</f>
        <v>SILVER ANODIZED (FAYP01)</v>
      </c>
      <c r="K519" s="36">
        <f>IF($C519="","",_xlfn.XLOOKUP($C519,Order!$C:$C,Order!$P:$P,"",0,1))</f>
        <v>0</v>
      </c>
      <c r="L519" s="4">
        <f t="shared" ref="L519:L582" si="8">IF(C519="","",F519/1000*H519*I519)</f>
        <v>0</v>
      </c>
    </row>
    <row r="520" spans="2:12" ht="23.25" hidden="1" customHeight="1" x14ac:dyDescent="0.25">
      <c r="B520" s="4">
        <v>515</v>
      </c>
      <c r="C520" s="36" t="str">
        <f>IF(Order!$C$186="","",Order!$C$186)</f>
        <v>LB038</v>
      </c>
      <c r="D520" s="36" t="str">
        <f>IF($C520="","",_xlfn.XLOOKUP($C520,Order!$C:$C,Order!$D:$D,"",0,1))</f>
        <v>LB038</v>
      </c>
      <c r="E520" s="4" t="e" vm="371">
        <f>IF($C520="","",_xlfn.XLOOKUP($C520,Order!$C:$C,Order!$E:$E,"",0,1))</f>
        <v>#VALUE!</v>
      </c>
      <c r="F520" s="4">
        <f>IF($C520="","",_xlfn.XLOOKUP($C520,Order!$C:$C,Order!$F:$F,"",0,1))</f>
        <v>6000</v>
      </c>
      <c r="G520" s="4" t="str">
        <f>IF($C520="","",_xlfn.XLOOKUP($C520,Order!$C:$C,Order!$G:$G,"",0,1))</f>
        <v>6063T5</v>
      </c>
      <c r="H520" s="4">
        <f>IF($C520="","",_xlfn.XLOOKUP($C520,Order!$C:$C,Order!$H:$H,"",0,1))</f>
        <v>0</v>
      </c>
      <c r="I520" s="36">
        <f>IF($C520="","",_xlfn.XLOOKUP($C520,Order!$C:$C,Order!$J:$J,"",0,1))</f>
        <v>0</v>
      </c>
      <c r="J520" s="4" t="str">
        <f>IF(C520="","",Order!$J$16)</f>
        <v>SILVER ANODIZED (FAYP01)</v>
      </c>
      <c r="K520" s="36">
        <f>IF($C520="","",_xlfn.XLOOKUP($C520,Order!$C:$C,Order!$P:$P,"",0,1))</f>
        <v>0</v>
      </c>
      <c r="L520" s="4">
        <f t="shared" si="8"/>
        <v>0</v>
      </c>
    </row>
    <row r="521" spans="2:12" ht="23.25" hidden="1" customHeight="1" x14ac:dyDescent="0.25">
      <c r="B521" s="4">
        <v>516</v>
      </c>
      <c r="C521" s="36" t="str">
        <f>IF(Order!$C$187="","",Order!$C$187)</f>
        <v>LB050</v>
      </c>
      <c r="D521" s="36" t="str">
        <f>IF($C521="","",_xlfn.XLOOKUP($C521,Order!$C:$C,Order!$D:$D,"",0,1))</f>
        <v>LB050</v>
      </c>
      <c r="E521" s="4" t="e" vm="372">
        <f>IF($C521="","",_xlfn.XLOOKUP($C521,Order!$C:$C,Order!$E:$E,"",0,1))</f>
        <v>#VALUE!</v>
      </c>
      <c r="F521" s="4">
        <f>IF($C521="","",_xlfn.XLOOKUP($C521,Order!$C:$C,Order!$F:$F,"",0,1))</f>
        <v>6000</v>
      </c>
      <c r="G521" s="4" t="str">
        <f>IF($C521="","",_xlfn.XLOOKUP($C521,Order!$C:$C,Order!$G:$G,"",0,1))</f>
        <v>6063T5</v>
      </c>
      <c r="H521" s="4">
        <f>IF($C521="","",_xlfn.XLOOKUP($C521,Order!$C:$C,Order!$H:$H,"",0,1))</f>
        <v>0.61699999999999999</v>
      </c>
      <c r="I521" s="36">
        <f>IF($C521="","",_xlfn.XLOOKUP($C521,Order!$C:$C,Order!$J:$J,"",0,1))</f>
        <v>0</v>
      </c>
      <c r="J521" s="4" t="str">
        <f>IF(C521="","",Order!$J$16)</f>
        <v>SILVER ANODIZED (FAYP01)</v>
      </c>
      <c r="K521" s="36">
        <f>IF($C521="","",_xlfn.XLOOKUP($C521,Order!$C:$C,Order!$P:$P,"",0,1))</f>
        <v>0</v>
      </c>
      <c r="L521" s="4">
        <f t="shared" si="8"/>
        <v>0</v>
      </c>
    </row>
    <row r="522" spans="2:12" ht="23.25" hidden="1" customHeight="1" x14ac:dyDescent="0.25">
      <c r="B522" s="4">
        <v>517</v>
      </c>
      <c r="C522" s="36" t="str">
        <f>IF(Order!$C$188="","",Order!$C$188)</f>
        <v>LB070</v>
      </c>
      <c r="D522" s="36" t="str">
        <f>IF($C522="","",_xlfn.XLOOKUP($C522,Order!$C:$C,Order!$D:$D,"",0,1))</f>
        <v>LB070</v>
      </c>
      <c r="E522" s="4" t="e" vm="373">
        <f>IF($C522="","",_xlfn.XLOOKUP($C522,Order!$C:$C,Order!$E:$E,"",0,1))</f>
        <v>#VALUE!</v>
      </c>
      <c r="F522" s="4">
        <f>IF($C522="","",_xlfn.XLOOKUP($C522,Order!$C:$C,Order!$F:$F,"",0,1))</f>
        <v>6000</v>
      </c>
      <c r="G522" s="4" t="str">
        <f>IF($C522="","",_xlfn.XLOOKUP($C522,Order!$C:$C,Order!$G:$G,"",0,1))</f>
        <v>6063T5</v>
      </c>
      <c r="H522" s="4">
        <f>IF($C522="","",_xlfn.XLOOKUP($C522,Order!$C:$C,Order!$H:$H,"",0,1))</f>
        <v>0.71699999999999997</v>
      </c>
      <c r="I522" s="36">
        <f>IF($C522="","",_xlfn.XLOOKUP($C522,Order!$C:$C,Order!$J:$J,"",0,1))</f>
        <v>0</v>
      </c>
      <c r="J522" s="4" t="str">
        <f>IF(C522="","",Order!$J$16)</f>
        <v>SILVER ANODIZED (FAYP01)</v>
      </c>
      <c r="K522" s="36">
        <f>IF($C522="","",_xlfn.XLOOKUP($C522,Order!$C:$C,Order!$P:$P,"",0,1))</f>
        <v>0</v>
      </c>
      <c r="L522" s="4">
        <f t="shared" si="8"/>
        <v>0</v>
      </c>
    </row>
    <row r="523" spans="2:12" ht="23.25" hidden="1" customHeight="1" x14ac:dyDescent="0.25">
      <c r="B523" s="4">
        <v>518</v>
      </c>
      <c r="C523" s="36" t="str">
        <f>IF(Order!$C$189="","",Order!$C$189)</f>
        <v>LB081</v>
      </c>
      <c r="D523" s="36" t="str">
        <f>IF($C523="","",_xlfn.XLOOKUP($C523,Order!$C:$C,Order!$D:$D,"",0,1))</f>
        <v>LB081</v>
      </c>
      <c r="E523" s="4" t="e" vm="374">
        <f>IF($C523="","",_xlfn.XLOOKUP($C523,Order!$C:$C,Order!$E:$E,"",0,1))</f>
        <v>#VALUE!</v>
      </c>
      <c r="F523" s="4">
        <f>IF($C523="","",_xlfn.XLOOKUP($C523,Order!$C:$C,Order!$F:$F,"",0,1))</f>
        <v>6000</v>
      </c>
      <c r="G523" s="4" t="str">
        <f>IF($C523="","",_xlfn.XLOOKUP($C523,Order!$C:$C,Order!$G:$G,"",0,1))</f>
        <v>6063T5</v>
      </c>
      <c r="H523" s="4">
        <f>IF($C523="","",_xlfn.XLOOKUP($C523,Order!$C:$C,Order!$H:$H,"",0,1))</f>
        <v>0.52800000000000002</v>
      </c>
      <c r="I523" s="36">
        <f>IF($C523="","",_xlfn.XLOOKUP($C523,Order!$C:$C,Order!$J:$J,"",0,1))</f>
        <v>0</v>
      </c>
      <c r="J523" s="4" t="str">
        <f>IF(C523="","",Order!$J$16)</f>
        <v>SILVER ANODIZED (FAYP01)</v>
      </c>
      <c r="K523" s="36">
        <f>IF($C523="","",_xlfn.XLOOKUP($C523,Order!$C:$C,Order!$P:$P,"",0,1))</f>
        <v>0</v>
      </c>
      <c r="L523" s="4">
        <f t="shared" si="8"/>
        <v>0</v>
      </c>
    </row>
    <row r="524" spans="2:12" ht="23.25" hidden="1" customHeight="1" x14ac:dyDescent="0.25">
      <c r="B524" s="4">
        <v>519</v>
      </c>
      <c r="C524" s="36" t="str">
        <f>IF(Order!$C$190="","",Order!$C$190)</f>
        <v>BX816</v>
      </c>
      <c r="D524" s="36" t="str">
        <f>IF($C524="","",_xlfn.XLOOKUP($C524,Order!$C:$C,Order!$D:$D,"",0,1))</f>
        <v>BX816</v>
      </c>
      <c r="E524" s="4" t="e" vm="375">
        <f>IF($C524="","",_xlfn.XLOOKUP($C524,Order!$C:$C,Order!$E:$E,"",0,1))</f>
        <v>#VALUE!</v>
      </c>
      <c r="F524" s="4">
        <f>IF($C524="","",_xlfn.XLOOKUP($C524,Order!$C:$C,Order!$F:$F,"",0,1))</f>
        <v>6000</v>
      </c>
      <c r="G524" s="4" t="str">
        <f>IF($C524="","",_xlfn.XLOOKUP($C524,Order!$C:$C,Order!$G:$G,"",0,1))</f>
        <v>6063T5</v>
      </c>
      <c r="H524" s="4">
        <f>IF($C524="","",_xlfn.XLOOKUP($C524,Order!$C:$C,Order!$H:$H,"",0,1))</f>
        <v>0.67</v>
      </c>
      <c r="I524" s="36">
        <f>IF($C524="","",_xlfn.XLOOKUP($C524,Order!$C:$C,Order!$J:$J,"",0,1))</f>
        <v>0</v>
      </c>
      <c r="J524" s="4" t="str">
        <f>IF(C524="","",Order!$J$16)</f>
        <v>SILVER ANODIZED (FAYP01)</v>
      </c>
      <c r="K524" s="36">
        <f>IF($C524="","",_xlfn.XLOOKUP($C524,Order!$C:$C,Order!$P:$P,"",0,1))</f>
        <v>0</v>
      </c>
      <c r="L524" s="4">
        <f t="shared" si="8"/>
        <v>0</v>
      </c>
    </row>
    <row r="525" spans="2:12" ht="23.25" hidden="1" customHeight="1" x14ac:dyDescent="0.25">
      <c r="B525" s="4">
        <v>520</v>
      </c>
      <c r="C525" s="36" t="str">
        <f>IF(Order!$C$191="","",Order!$C$191)</f>
        <v>BX841</v>
      </c>
      <c r="D525" s="36" t="str">
        <f>IF($C525="","",_xlfn.XLOOKUP($C525,Order!$C:$C,Order!$D:$D,"",0,1))</f>
        <v>BX841</v>
      </c>
      <c r="E525" s="4" t="e" vm="376">
        <f>IF($C525="","",_xlfn.XLOOKUP($C525,Order!$C:$C,Order!$E:$E,"",0,1))</f>
        <v>#VALUE!</v>
      </c>
      <c r="F525" s="4">
        <f>IF($C525="","",_xlfn.XLOOKUP($C525,Order!$C:$C,Order!$F:$F,"",0,1))</f>
        <v>6000</v>
      </c>
      <c r="G525" s="4" t="str">
        <f>IF($C525="","",_xlfn.XLOOKUP($C525,Order!$C:$C,Order!$G:$G,"",0,1))</f>
        <v>6063T5</v>
      </c>
      <c r="H525" s="4">
        <f>IF($C525="","",_xlfn.XLOOKUP($C525,Order!$C:$C,Order!$H:$H,"",0,1))</f>
        <v>0.54500000000000004</v>
      </c>
      <c r="I525" s="36">
        <f>IF($C525="","",_xlfn.XLOOKUP($C525,Order!$C:$C,Order!$J:$J,"",0,1))</f>
        <v>0</v>
      </c>
      <c r="J525" s="4" t="str">
        <f>IF(C525="","",Order!$J$16)</f>
        <v>SILVER ANODIZED (FAYP01)</v>
      </c>
      <c r="K525" s="36">
        <f>IF($C525="","",_xlfn.XLOOKUP($C525,Order!$C:$C,Order!$P:$P,"",0,1))</f>
        <v>0</v>
      </c>
      <c r="L525" s="4">
        <f t="shared" si="8"/>
        <v>0</v>
      </c>
    </row>
    <row r="526" spans="2:12" ht="23.25" hidden="1" customHeight="1" x14ac:dyDescent="0.25">
      <c r="B526" s="4">
        <v>521</v>
      </c>
      <c r="C526" s="36" t="str">
        <f>IF(Order!$C$192="","",Order!$C$192)</f>
        <v>BX842</v>
      </c>
      <c r="D526" s="36" t="str">
        <f>IF($C526="","",_xlfn.XLOOKUP($C526,Order!$C:$C,Order!$D:$D,"",0,1))</f>
        <v>BX842</v>
      </c>
      <c r="E526" s="4" t="e" vm="377">
        <f>IF($C526="","",_xlfn.XLOOKUP($C526,Order!$C:$C,Order!$E:$E,"",0,1))</f>
        <v>#VALUE!</v>
      </c>
      <c r="F526" s="4">
        <f>IF($C526="","",_xlfn.XLOOKUP($C526,Order!$C:$C,Order!$F:$F,"",0,1))</f>
        <v>6000</v>
      </c>
      <c r="G526" s="4" t="str">
        <f>IF($C526="","",_xlfn.XLOOKUP($C526,Order!$C:$C,Order!$G:$G,"",0,1))</f>
        <v>6063T5</v>
      </c>
      <c r="H526" s="4">
        <f>IF($C526="","",_xlfn.XLOOKUP($C526,Order!$C:$C,Order!$H:$H,"",0,1))</f>
        <v>0</v>
      </c>
      <c r="I526" s="36">
        <f>IF($C526="","",_xlfn.XLOOKUP($C526,Order!$C:$C,Order!$J:$J,"",0,1))</f>
        <v>0</v>
      </c>
      <c r="J526" s="4" t="str">
        <f>IF(C526="","",Order!$J$16)</f>
        <v>SILVER ANODIZED (FAYP01)</v>
      </c>
      <c r="K526" s="36">
        <f>IF($C526="","",_xlfn.XLOOKUP($C526,Order!$C:$C,Order!$P:$P,"",0,1))</f>
        <v>0</v>
      </c>
      <c r="L526" s="4">
        <f t="shared" si="8"/>
        <v>0</v>
      </c>
    </row>
    <row r="527" spans="2:12" ht="23.25" hidden="1" customHeight="1" x14ac:dyDescent="0.25">
      <c r="B527" s="4">
        <v>522</v>
      </c>
      <c r="C527" s="36" t="str">
        <f>IF(Order!$C$193="","",Order!$C$193)</f>
        <v>BX1041</v>
      </c>
      <c r="D527" s="36" t="str">
        <f>IF($C527="","",_xlfn.XLOOKUP($C527,Order!$C:$C,Order!$D:$D,"",0,1))</f>
        <v>BX1041</v>
      </c>
      <c r="E527" s="4" t="e" vm="378">
        <f>IF($C527="","",_xlfn.XLOOKUP($C527,Order!$C:$C,Order!$E:$E,"",0,1))</f>
        <v>#VALUE!</v>
      </c>
      <c r="F527" s="4">
        <f>IF($C527="","",_xlfn.XLOOKUP($C527,Order!$C:$C,Order!$F:$F,"",0,1))</f>
        <v>6000</v>
      </c>
      <c r="G527" s="4" t="str">
        <f>IF($C527="","",_xlfn.XLOOKUP($C527,Order!$C:$C,Order!$G:$G,"",0,1))</f>
        <v>6063T5</v>
      </c>
      <c r="H527" s="4">
        <f>IF($C527="","",_xlfn.XLOOKUP($C527,Order!$C:$C,Order!$H:$H,"",0,1))</f>
        <v>0.72499999999999998</v>
      </c>
      <c r="I527" s="36">
        <f>IF($C527="","",_xlfn.XLOOKUP($C527,Order!$C:$C,Order!$J:$J,"",0,1))</f>
        <v>0</v>
      </c>
      <c r="J527" s="4" t="str">
        <f>IF(C527="","",Order!$J$16)</f>
        <v>SILVER ANODIZED (FAYP01)</v>
      </c>
      <c r="K527" s="36">
        <f>IF($C527="","",_xlfn.XLOOKUP($C527,Order!$C:$C,Order!$P:$P,"",0,1))</f>
        <v>0</v>
      </c>
      <c r="L527" s="4">
        <f t="shared" si="8"/>
        <v>0</v>
      </c>
    </row>
    <row r="528" spans="2:12" ht="23.25" hidden="1" customHeight="1" x14ac:dyDescent="0.25">
      <c r="B528" s="4">
        <v>523</v>
      </c>
      <c r="C528" s="36" t="str">
        <f>IF(Order!$C$194="","",Order!$C$194)</f>
        <v/>
      </c>
      <c r="D528" s="36" t="str">
        <f>IF($C528="","",_xlfn.XLOOKUP($C528,Order!$C:$C,Order!$D:$D,"",0,1))</f>
        <v/>
      </c>
      <c r="E528" s="4" t="str">
        <f>IF($C528="","",_xlfn.XLOOKUP($C528,Order!$C:$C,Order!$E:$E,"",0,1))</f>
        <v/>
      </c>
      <c r="F528" s="4" t="str">
        <f>IF($C528="","",_xlfn.XLOOKUP($C528,Order!$C:$C,Order!$F:$F,"",0,1))</f>
        <v/>
      </c>
      <c r="G528" s="4" t="str">
        <f>IF($C528="","",_xlfn.XLOOKUP($C528,Order!$C:$C,Order!$G:$G,"",0,1))</f>
        <v/>
      </c>
      <c r="H528" s="4" t="str">
        <f>IF($C528="","",_xlfn.XLOOKUP($C528,Order!$C:$C,Order!$H:$H,"",0,1))</f>
        <v/>
      </c>
      <c r="I528" s="36" t="str">
        <f>IF($C528="","",_xlfn.XLOOKUP($C528,Order!$C:$C,Order!$J:$J,"",0,1))</f>
        <v/>
      </c>
      <c r="J528" s="4" t="str">
        <f>IF(C528="","",Order!$J$16)</f>
        <v/>
      </c>
      <c r="K528" s="36" t="str">
        <f>IF($C528="","",_xlfn.XLOOKUP($C528,Order!$C:$C,Order!$P:$P,"",0,1))</f>
        <v/>
      </c>
      <c r="L528" s="4" t="str">
        <f t="shared" si="8"/>
        <v/>
      </c>
    </row>
    <row r="529" spans="2:12" ht="23.25" hidden="1" customHeight="1" x14ac:dyDescent="0.25">
      <c r="B529" s="4">
        <v>524</v>
      </c>
      <c r="C529" s="36" t="str">
        <f>IF(Order!$C$195="","",Order!$C$195)</f>
        <v>TGR2X1 (Rectangular tube 2"X1" with 0.90 mm thickness c/reforco)</v>
      </c>
      <c r="D529" s="36" t="str">
        <f>IF($C529="","",_xlfn.XLOOKUP($C529,Order!$C:$C,Order!$D:$D,"",0,1))</f>
        <v>TGR2X1</v>
      </c>
      <c r="E529" s="4" t="e" vm="379">
        <f>IF($C529="","",_xlfn.XLOOKUP($C529,Order!$C:$C,Order!$E:$E,"",0,1))</f>
        <v>#VALUE!</v>
      </c>
      <c r="F529" s="4">
        <f>IF($C529="","",_xlfn.XLOOKUP($C529,Order!$C:$C,Order!$F:$F,"",0,1))</f>
        <v>6000</v>
      </c>
      <c r="G529" s="4" t="str">
        <f>IF($C529="","",_xlfn.XLOOKUP($C529,Order!$C:$C,Order!$G:$G,"",0,1))</f>
        <v>6063T5</v>
      </c>
      <c r="H529" s="4">
        <f>IF($C529="","",_xlfn.XLOOKUP($C529,Order!$C:$C,Order!$H:$H,"",0,1))</f>
        <v>0.39500000000000002</v>
      </c>
      <c r="I529" s="36">
        <f>IF($C529="","",_xlfn.XLOOKUP($C529,Order!$C:$C,Order!$J:$J,"",0,1))</f>
        <v>0</v>
      </c>
      <c r="J529" s="4" t="str">
        <f>IF(C529="","",Order!$J$16)</f>
        <v>SILVER ANODIZED (FAYP01)</v>
      </c>
      <c r="K529" s="36">
        <f>IF($C529="","",_xlfn.XLOOKUP($C529,Order!$C:$C,Order!$P:$P,"",0,1))</f>
        <v>0</v>
      </c>
      <c r="L529" s="4">
        <f t="shared" si="8"/>
        <v>0</v>
      </c>
    </row>
    <row r="530" spans="2:12" ht="23.25" hidden="1" customHeight="1" x14ac:dyDescent="0.25">
      <c r="B530" s="4">
        <v>525</v>
      </c>
      <c r="C530" s="36" t="str">
        <f>IF(Order!$C$196="","",Order!$C$196)</f>
        <v>TGR3X1.1/2L (Rectangular tube 3"x1.1 /2" with 1.00 mm tickness c/reforço)</v>
      </c>
      <c r="D530" s="36" t="str">
        <f>IF($C530="","",_xlfn.XLOOKUP($C530,Order!$C:$C,Order!$D:$D,"",0,1))</f>
        <v>TGR3X1.1-2L</v>
      </c>
      <c r="E530" s="4" t="e" vm="380">
        <f>IF($C530="","",_xlfn.XLOOKUP($C530,Order!$C:$C,Order!$E:$E,"",0,1))</f>
        <v>#VALUE!</v>
      </c>
      <c r="F530" s="4">
        <f>IF($C530="","",_xlfn.XLOOKUP($C530,Order!$C:$C,Order!$F:$F,"",0,1))</f>
        <v>6000</v>
      </c>
      <c r="G530" s="4" t="str">
        <f>IF($C530="","",_xlfn.XLOOKUP($C530,Order!$C:$C,Order!$G:$G,"",0,1))</f>
        <v>6063T5</v>
      </c>
      <c r="H530" s="4">
        <f>IF($C530="","",_xlfn.XLOOKUP($C530,Order!$C:$C,Order!$H:$H,"",0,1))</f>
        <v>0.65200000000000002</v>
      </c>
      <c r="I530" s="36">
        <f>IF($C530="","",_xlfn.XLOOKUP($C530,Order!$C:$C,Order!$J:$J,"",0,1))</f>
        <v>0</v>
      </c>
      <c r="J530" s="4" t="str">
        <f>IF(C530="","",Order!$J$16)</f>
        <v>SILVER ANODIZED (FAYP01)</v>
      </c>
      <c r="K530" s="36">
        <f>IF($C530="","",_xlfn.XLOOKUP($C530,Order!$C:$C,Order!$P:$P,"",0,1))</f>
        <v>0</v>
      </c>
      <c r="L530" s="4">
        <f t="shared" si="8"/>
        <v>0</v>
      </c>
    </row>
    <row r="531" spans="2:12" ht="23.25" hidden="1" customHeight="1" x14ac:dyDescent="0.25">
      <c r="B531" s="4">
        <v>526</v>
      </c>
      <c r="C531" s="36" t="str">
        <f>IF(Order!$C$197="","",Order!$C$197)</f>
        <v>TGR3X1.1/2 (Rectangular tube 3"x1.1 /2" with 1.98 mm tickness c/reforço)</v>
      </c>
      <c r="D531" s="36" t="str">
        <f>IF($C531="","",_xlfn.XLOOKUP($C531,Order!$C:$C,Order!$D:$D,"",0,1))</f>
        <v>TGR3X1.1-2</v>
      </c>
      <c r="E531" s="4" t="e" vm="381">
        <f>IF($C531="","",_xlfn.XLOOKUP($C531,Order!$C:$C,Order!$E:$E,"",0,1))</f>
        <v>#VALUE!</v>
      </c>
      <c r="F531" s="4">
        <f>IF($C531="","",_xlfn.XLOOKUP($C531,Order!$C:$C,Order!$F:$F,"",0,1))</f>
        <v>6000</v>
      </c>
      <c r="G531" s="4" t="str">
        <f>IF($C531="","",_xlfn.XLOOKUP($C531,Order!$C:$C,Order!$G:$G,"",0,1))</f>
        <v>6063T5</v>
      </c>
      <c r="H531" s="4">
        <f>IF($C531="","",_xlfn.XLOOKUP($C531,Order!$C:$C,Order!$H:$H,"",0,1))</f>
        <v>0.94799999999999995</v>
      </c>
      <c r="I531" s="36">
        <f>IF($C531="","",_xlfn.XLOOKUP($C531,Order!$C:$C,Order!$J:$J,"",0,1))</f>
        <v>0</v>
      </c>
      <c r="J531" s="4" t="str">
        <f>IF(C531="","",Order!$J$16)</f>
        <v>SILVER ANODIZED (FAYP01)</v>
      </c>
      <c r="K531" s="36">
        <f>IF($C531="","",_xlfn.XLOOKUP($C531,Order!$C:$C,Order!$P:$P,"",0,1))</f>
        <v>0</v>
      </c>
      <c r="L531" s="4">
        <f t="shared" si="8"/>
        <v>0</v>
      </c>
    </row>
    <row r="532" spans="2:12" ht="23.25" hidden="1" customHeight="1" x14ac:dyDescent="0.25">
      <c r="B532" s="4">
        <v>527</v>
      </c>
      <c r="C532" s="36" t="str">
        <f>IF(Order!$C$198="","",Order!$C$198)</f>
        <v>TGR4X2 (Rectangular Tube 4" X 2" with 1.50 mm tickness c/reforço)</v>
      </c>
      <c r="D532" s="36" t="str">
        <f>IF($C532="","",_xlfn.XLOOKUP($C532,Order!$C:$C,Order!$D:$D,"",0,1))</f>
        <v>TGR4X2</v>
      </c>
      <c r="E532" s="4" t="e" vm="382">
        <f>IF($C532="","",_xlfn.XLOOKUP($C532,Order!$C:$C,Order!$E:$E,"",0,1))</f>
        <v>#VALUE!</v>
      </c>
      <c r="F532" s="4">
        <f>IF($C532="","",_xlfn.XLOOKUP($C532,Order!$C:$C,Order!$F:$F,"",0,1))</f>
        <v>6000</v>
      </c>
      <c r="G532" s="4" t="str">
        <f>IF($C532="","",_xlfn.XLOOKUP($C532,Order!$C:$C,Order!$G:$G,"",0,1))</f>
        <v>6063T5</v>
      </c>
      <c r="H532" s="4">
        <f>IF($C532="","",_xlfn.XLOOKUP($C532,Order!$C:$C,Order!$H:$H,"",0,1))</f>
        <v>1.268</v>
      </c>
      <c r="I532" s="36">
        <f>IF($C532="","",_xlfn.XLOOKUP($C532,Order!$C:$C,Order!$J:$J,"",0,1))</f>
        <v>0</v>
      </c>
      <c r="J532" s="4" t="str">
        <f>IF(C532="","",Order!$J$16)</f>
        <v>SILVER ANODIZED (FAYP01)</v>
      </c>
      <c r="K532" s="36">
        <f>IF($C532="","",_xlfn.XLOOKUP($C532,Order!$C:$C,Order!$P:$P,"",0,1))</f>
        <v>0</v>
      </c>
      <c r="L532" s="4">
        <f t="shared" si="8"/>
        <v>0</v>
      </c>
    </row>
    <row r="533" spans="2:12" ht="23.25" hidden="1" customHeight="1" x14ac:dyDescent="0.25">
      <c r="B533" s="4">
        <v>528</v>
      </c>
      <c r="C533" s="36" t="str">
        <f>IF(Order!$C$199="","",Order!$C$199)</f>
        <v>MT 0045 (Retangular Tube 3x1.1/2 com raia)</v>
      </c>
      <c r="D533" s="36" t="str">
        <f>IF($C533="","",_xlfn.XLOOKUP($C533,Order!$C:$C,Order!$D:$D,"",0,1))</f>
        <v>MT0045</v>
      </c>
      <c r="E533" s="4" t="e" vm="383">
        <f>IF($C533="","",_xlfn.XLOOKUP($C533,Order!$C:$C,Order!$E:$E,"",0,1))</f>
        <v>#VALUE!</v>
      </c>
      <c r="F533" s="4">
        <f>IF($C533="","",_xlfn.XLOOKUP($C533,Order!$C:$C,Order!$F:$F,"",0,1))</f>
        <v>6000</v>
      </c>
      <c r="G533" s="4" t="str">
        <f>IF($C533="","",_xlfn.XLOOKUP($C533,Order!$C:$C,Order!$G:$G,"",0,1))</f>
        <v>6063T5</v>
      </c>
      <c r="H533" s="4">
        <f>IF($C533="","",_xlfn.XLOOKUP($C533,Order!$C:$C,Order!$H:$H,"",0,1))</f>
        <v>0.66400000000000003</v>
      </c>
      <c r="I533" s="36">
        <f>IF($C533="","",_xlfn.XLOOKUP($C533,Order!$C:$C,Order!$J:$J,"",0,1))</f>
        <v>0</v>
      </c>
      <c r="J533" s="4" t="str">
        <f>IF(C533="","",Order!$J$16)</f>
        <v>SILVER ANODIZED (FAYP01)</v>
      </c>
      <c r="K533" s="36">
        <f>IF($C533="","",_xlfn.XLOOKUP($C533,Order!$C:$C,Order!$P:$P,"",0,1))</f>
        <v>0</v>
      </c>
      <c r="L533" s="4">
        <f t="shared" si="8"/>
        <v>0</v>
      </c>
    </row>
    <row r="534" spans="2:12" ht="23.25" hidden="1" customHeight="1" x14ac:dyDescent="0.25">
      <c r="B534" s="4">
        <v>529</v>
      </c>
      <c r="C534" s="36" t="str">
        <f>IF(Order!$C$200="","",Order!$C$200)</f>
        <v>MT0008</v>
      </c>
      <c r="D534" s="36" t="str">
        <f>IF($C534="","",_xlfn.XLOOKUP($C534,Order!$C:$C,Order!$D:$D,"",0,1))</f>
        <v>MT0008</v>
      </c>
      <c r="E534" s="4" t="e" vm="384">
        <f>IF($C534="","",_xlfn.XLOOKUP($C534,Order!$C:$C,Order!$E:$E,"",0,1))</f>
        <v>#VALUE!</v>
      </c>
      <c r="F534" s="4">
        <f>IF($C534="","",_xlfn.XLOOKUP($C534,Order!$C:$C,Order!$F:$F,"",0,1))</f>
        <v>6000</v>
      </c>
      <c r="G534" s="4" t="str">
        <f>IF($C534="","",_xlfn.XLOOKUP($C534,Order!$C:$C,Order!$G:$G,"",0,1))</f>
        <v>6063T5</v>
      </c>
      <c r="H534" s="4">
        <f>IF($C534="","",_xlfn.XLOOKUP($C534,Order!$C:$C,Order!$H:$H,"",0,1))</f>
        <v>0.44400000000000001</v>
      </c>
      <c r="I534" s="36">
        <f>IF($C534="","",_xlfn.XLOOKUP($C534,Order!$C:$C,Order!$J:$J,"",0,1))</f>
        <v>0</v>
      </c>
      <c r="J534" s="4" t="str">
        <f>IF(C534="","",Order!$J$16)</f>
        <v>SILVER ANODIZED (FAYP01)</v>
      </c>
      <c r="K534" s="36">
        <f>IF($C534="","",_xlfn.XLOOKUP($C534,Order!$C:$C,Order!$P:$P,"",0,1))</f>
        <v>0</v>
      </c>
      <c r="L534" s="4">
        <f t="shared" si="8"/>
        <v>0</v>
      </c>
    </row>
    <row r="535" spans="2:12" ht="23.25" hidden="1" customHeight="1" x14ac:dyDescent="0.25">
      <c r="B535" s="4">
        <v>530</v>
      </c>
      <c r="C535" s="36" t="str">
        <f>IF(Order!$C$201="","",Order!$C$201)</f>
        <v>MT0010</v>
      </c>
      <c r="D535" s="36" t="str">
        <f>IF($C535="","",_xlfn.XLOOKUP($C535,Order!$C:$C,Order!$D:$D,"",0,1))</f>
        <v>MT0010</v>
      </c>
      <c r="E535" s="4" t="e" vm="385">
        <f>IF($C535="","",_xlfn.XLOOKUP($C535,Order!$C:$C,Order!$E:$E,"",0,1))</f>
        <v>#VALUE!</v>
      </c>
      <c r="F535" s="4">
        <f>IF($C535="","",_xlfn.XLOOKUP($C535,Order!$C:$C,Order!$F:$F,"",0,1))</f>
        <v>6000</v>
      </c>
      <c r="G535" s="4" t="str">
        <f>IF($C535="","",_xlfn.XLOOKUP($C535,Order!$C:$C,Order!$G:$G,"",0,1))</f>
        <v>6063T5</v>
      </c>
      <c r="H535" s="4">
        <f>IF($C535="","",_xlfn.XLOOKUP($C535,Order!$C:$C,Order!$H:$H,"",0,1))</f>
        <v>0.49299999999999999</v>
      </c>
      <c r="I535" s="36">
        <f>IF($C535="","",_xlfn.XLOOKUP($C535,Order!$C:$C,Order!$J:$J,"",0,1))</f>
        <v>0</v>
      </c>
      <c r="J535" s="4" t="str">
        <f>IF(C535="","",Order!$J$16)</f>
        <v>SILVER ANODIZED (FAYP01)</v>
      </c>
      <c r="K535" s="36">
        <f>IF($C535="","",_xlfn.XLOOKUP($C535,Order!$C:$C,Order!$P:$P,"",0,1))</f>
        <v>0</v>
      </c>
      <c r="L535" s="4">
        <f t="shared" si="8"/>
        <v>0</v>
      </c>
    </row>
    <row r="536" spans="2:12" ht="23.25" hidden="1" customHeight="1" x14ac:dyDescent="0.25">
      <c r="B536" s="4">
        <v>531</v>
      </c>
      <c r="C536" s="36" t="str">
        <f>IF(Order!$C$202="","",Order!$C$202)</f>
        <v>CG072</v>
      </c>
      <c r="D536" s="36" t="str">
        <f>IF($C536="","",_xlfn.XLOOKUP($C536,Order!$C:$C,Order!$D:$D,"",0,1))</f>
        <v>CG072</v>
      </c>
      <c r="E536" s="4" t="e" vm="386">
        <f>IF($C536="","",_xlfn.XLOOKUP($C536,Order!$C:$C,Order!$E:$E,"",0,1))</f>
        <v>#VALUE!</v>
      </c>
      <c r="F536" s="4">
        <f>IF($C536="","",_xlfn.XLOOKUP($C536,Order!$C:$C,Order!$F:$F,"",0,1))</f>
        <v>6000</v>
      </c>
      <c r="G536" s="4" t="str">
        <f>IF($C536="","",_xlfn.XLOOKUP($C536,Order!$C:$C,Order!$G:$G,"",0,1))</f>
        <v>6063T5</v>
      </c>
      <c r="H536" s="4">
        <f>IF($C536="","",_xlfn.XLOOKUP($C536,Order!$C:$C,Order!$H:$H,"",0,1))</f>
        <v>0.96299999999999997</v>
      </c>
      <c r="I536" s="36">
        <f>IF($C536="","",_xlfn.XLOOKUP($C536,Order!$C:$C,Order!$J:$J,"",0,1))</f>
        <v>0</v>
      </c>
      <c r="J536" s="4" t="str">
        <f>IF(C536="","",Order!$J$16)</f>
        <v>SILVER ANODIZED (FAYP01)</v>
      </c>
      <c r="K536" s="36">
        <f>IF($C536="","",_xlfn.XLOOKUP($C536,Order!$C:$C,Order!$P:$P,"",0,1))</f>
        <v>0</v>
      </c>
      <c r="L536" s="4">
        <f t="shared" si="8"/>
        <v>0</v>
      </c>
    </row>
    <row r="537" spans="2:12" ht="23.25" hidden="1" customHeight="1" x14ac:dyDescent="0.25">
      <c r="B537" s="4">
        <v>532</v>
      </c>
      <c r="C537" s="36" t="str">
        <f>IF(Order!$C$203="","",Order!$C$203)</f>
        <v>MT0046</v>
      </c>
      <c r="D537" s="36" t="str">
        <f>IF($C537="","",_xlfn.XLOOKUP($C537,Order!$C:$C,Order!$D:$D,"",0,1))</f>
        <v>MT0046</v>
      </c>
      <c r="E537" s="4" t="e" vm="387">
        <f>IF($C537="","",_xlfn.XLOOKUP($C537,Order!$C:$C,Order!$E:$E,"",0,1))</f>
        <v>#VALUE!</v>
      </c>
      <c r="F537" s="4">
        <f>IF($C537="","",_xlfn.XLOOKUP($C537,Order!$C:$C,Order!$F:$F,"",0,1))</f>
        <v>6000</v>
      </c>
      <c r="G537" s="4" t="str">
        <f>IF($C537="","",_xlfn.XLOOKUP($C537,Order!$C:$C,Order!$G:$G,"",0,1))</f>
        <v>6063T5</v>
      </c>
      <c r="H537" s="4">
        <f>IF($C537="","",_xlfn.XLOOKUP($C537,Order!$C:$C,Order!$H:$H,"",0,1))</f>
        <v>1.2410000000000001</v>
      </c>
      <c r="I537" s="36">
        <f>IF($C537="","",_xlfn.XLOOKUP($C537,Order!$C:$C,Order!$J:$J,"",0,1))</f>
        <v>0</v>
      </c>
      <c r="J537" s="4" t="str">
        <f>IF(C537="","",Order!$J$16)</f>
        <v>SILVER ANODIZED (FAYP01)</v>
      </c>
      <c r="K537" s="36">
        <f>IF($C537="","",_xlfn.XLOOKUP($C537,Order!$C:$C,Order!$P:$P,"",0,1))</f>
        <v>0</v>
      </c>
      <c r="L537" s="4">
        <f t="shared" si="8"/>
        <v>0</v>
      </c>
    </row>
    <row r="538" spans="2:12" ht="23.25" hidden="1" customHeight="1" x14ac:dyDescent="0.25">
      <c r="B538" s="4">
        <v>533</v>
      </c>
      <c r="C538" s="36" t="str">
        <f>IF(Order!$C$204="","",Order!$C$204)</f>
        <v>MT0047</v>
      </c>
      <c r="D538" s="36" t="str">
        <f>IF($C538="","",_xlfn.XLOOKUP($C538,Order!$C:$C,Order!$D:$D,"",0,1))</f>
        <v>MT0047</v>
      </c>
      <c r="E538" s="4" t="e" vm="388">
        <f>IF($C538="","",_xlfn.XLOOKUP($C538,Order!$C:$C,Order!$E:$E,"",0,1))</f>
        <v>#VALUE!</v>
      </c>
      <c r="F538" s="4">
        <f>IF($C538="","",_xlfn.XLOOKUP($C538,Order!$C:$C,Order!$F:$F,"",0,1))</f>
        <v>6000</v>
      </c>
      <c r="G538" s="4" t="str">
        <f>IF($C538="","",_xlfn.XLOOKUP($C538,Order!$C:$C,Order!$G:$G,"",0,1))</f>
        <v>6063T5</v>
      </c>
      <c r="H538" s="4">
        <f>IF($C538="","",_xlfn.XLOOKUP($C538,Order!$C:$C,Order!$H:$H,"",0,1))</f>
        <v>0.23599999999999999</v>
      </c>
      <c r="I538" s="36">
        <f>IF($C538="","",_xlfn.XLOOKUP($C538,Order!$C:$C,Order!$J:$J,"",0,1))</f>
        <v>0</v>
      </c>
      <c r="J538" s="4" t="str">
        <f>IF(C538="","",Order!$J$16)</f>
        <v>SILVER ANODIZED (FAYP01)</v>
      </c>
      <c r="K538" s="36">
        <f>IF($C538="","",_xlfn.XLOOKUP($C538,Order!$C:$C,Order!$P:$P,"",0,1))</f>
        <v>0</v>
      </c>
      <c r="L538" s="4">
        <f t="shared" si="8"/>
        <v>0</v>
      </c>
    </row>
    <row r="539" spans="2:12" ht="23.25" hidden="1" customHeight="1" x14ac:dyDescent="0.25">
      <c r="B539" s="4">
        <v>534</v>
      </c>
      <c r="C539" s="36" t="str">
        <f>IF(Order!$C$205="","",Order!$C$205)</f>
        <v>MT0048</v>
      </c>
      <c r="D539" s="36" t="str">
        <f>IF($C539="","",_xlfn.XLOOKUP($C539,Order!$C:$C,Order!$D:$D,"",0,1))</f>
        <v>MT0048</v>
      </c>
      <c r="E539" s="4" t="e" vm="389">
        <f>IF($C539="","",_xlfn.XLOOKUP($C539,Order!$C:$C,Order!$E:$E,"",0,1))</f>
        <v>#VALUE!</v>
      </c>
      <c r="F539" s="4">
        <f>IF($C539="","",_xlfn.XLOOKUP($C539,Order!$C:$C,Order!$F:$F,"",0,1))</f>
        <v>6000</v>
      </c>
      <c r="G539" s="4" t="str">
        <f>IF($C539="","",_xlfn.XLOOKUP($C539,Order!$C:$C,Order!$G:$G,"",0,1))</f>
        <v>6063T5</v>
      </c>
      <c r="H539" s="4">
        <f>IF($C539="","",_xlfn.XLOOKUP($C539,Order!$C:$C,Order!$H:$H,"",0,1))</f>
        <v>0.79300000000000004</v>
      </c>
      <c r="I539" s="36">
        <f>IF($C539="","",_xlfn.XLOOKUP($C539,Order!$C:$C,Order!$J:$J,"",0,1))</f>
        <v>0</v>
      </c>
      <c r="J539" s="4" t="str">
        <f>IF(C539="","",Order!$J$16)</f>
        <v>SILVER ANODIZED (FAYP01)</v>
      </c>
      <c r="K539" s="36">
        <f>IF($C539="","",_xlfn.XLOOKUP($C539,Order!$C:$C,Order!$P:$P,"",0,1))</f>
        <v>0</v>
      </c>
      <c r="L539" s="4">
        <f t="shared" si="8"/>
        <v>0</v>
      </c>
    </row>
    <row r="540" spans="2:12" ht="23.25" customHeight="1" x14ac:dyDescent="0.25">
      <c r="B540" s="4">
        <v>535</v>
      </c>
      <c r="C540" s="36" t="str">
        <f>IF(Order!$C$206="","",Order!$C$206)</f>
        <v>CG075 (MT0049)</v>
      </c>
      <c r="D540" s="36" t="str">
        <f>IF($C540="","",_xlfn.XLOOKUP($C540,Order!$C:$C,Order!$D:$D,"",0,1))</f>
        <v>MT0049</v>
      </c>
      <c r="E540" s="4" t="e" vm="390">
        <f>IF($C540="","",_xlfn.XLOOKUP($C540,Order!$C:$C,Order!$E:$E,"",0,1))</f>
        <v>#VALUE!</v>
      </c>
      <c r="F540" s="4">
        <f>IF($C540="","",_xlfn.XLOOKUP($C540,Order!$C:$C,Order!$F:$F,"",0,1))</f>
        <v>6000</v>
      </c>
      <c r="G540" s="4" t="str">
        <f>IF($C540="","",_xlfn.XLOOKUP($C540,Order!$C:$C,Order!$G:$G,"",0,1))</f>
        <v>6063T5</v>
      </c>
      <c r="H540" s="4">
        <f>IF($C540="","",_xlfn.XLOOKUP($C540,Order!$C:$C,Order!$H:$H,"",0,1))</f>
        <v>0.46300000000000002</v>
      </c>
      <c r="I540" s="36">
        <f>IF($C540="","",_xlfn.XLOOKUP($C540,Order!$C:$C,Order!$J:$J,"",0,1))</f>
        <v>50</v>
      </c>
      <c r="J540" s="4" t="str">
        <f>IF(C540="","",Order!$J$16)</f>
        <v>SILVER ANODIZED (FAYP01)</v>
      </c>
      <c r="K540" s="36">
        <f>IF($C540="","",_xlfn.XLOOKUP($C540,Order!$C:$C,Order!$P:$P,"",0,1))</f>
        <v>0</v>
      </c>
      <c r="L540" s="4">
        <f t="shared" si="8"/>
        <v>138.9</v>
      </c>
    </row>
    <row r="541" spans="2:12" ht="23.25" hidden="1" customHeight="1" x14ac:dyDescent="0.25">
      <c r="B541" s="4">
        <v>536</v>
      </c>
      <c r="C541" s="36" t="str">
        <f>IF(Order!$C$207="","",Order!$C$207)</f>
        <v>CG2535</v>
      </c>
      <c r="D541" s="36" t="str">
        <f>IF($C541="","",_xlfn.XLOOKUP($C541,Order!$C:$C,Order!$D:$D,"",0,1))</f>
        <v>CG2535</v>
      </c>
      <c r="E541" s="4" t="e" vm="391">
        <f>IF($C541="","",_xlfn.XLOOKUP($C541,Order!$C:$C,Order!$E:$E,"",0,1))</f>
        <v>#VALUE!</v>
      </c>
      <c r="F541" s="4">
        <f>IF($C541="","",_xlfn.XLOOKUP($C541,Order!$C:$C,Order!$F:$F,"",0,1))</f>
        <v>6000</v>
      </c>
      <c r="G541" s="4" t="str">
        <f>IF($C541="","",_xlfn.XLOOKUP($C541,Order!$C:$C,Order!$G:$G,"",0,1))</f>
        <v>6063T5</v>
      </c>
      <c r="H541" s="4">
        <f>IF($C541="","",_xlfn.XLOOKUP($C541,Order!$C:$C,Order!$H:$H,"",0,1))</f>
        <v>0.39400000000000002</v>
      </c>
      <c r="I541" s="36">
        <f>IF($C541="","",_xlfn.XLOOKUP($C541,Order!$C:$C,Order!$J:$J,"",0,1))</f>
        <v>0</v>
      </c>
      <c r="J541" s="4" t="str">
        <f>IF(C541="","",Order!$J$16)</f>
        <v>SILVER ANODIZED (FAYP01)</v>
      </c>
      <c r="K541" s="36">
        <f>IF($C541="","",_xlfn.XLOOKUP($C541,Order!$C:$C,Order!$P:$P,"",0,1))</f>
        <v>0</v>
      </c>
      <c r="L541" s="4">
        <f t="shared" si="8"/>
        <v>0</v>
      </c>
    </row>
    <row r="542" spans="2:12" ht="23.25" hidden="1" customHeight="1" x14ac:dyDescent="0.25">
      <c r="B542" s="4">
        <v>537</v>
      </c>
      <c r="C542" s="36" t="str">
        <f>IF(Order!$C$208="","",Order!$C$208)</f>
        <v>BX706</v>
      </c>
      <c r="D542" s="36" t="str">
        <f>IF($C542="","",_xlfn.XLOOKUP($C542,Order!$C:$C,Order!$D:$D,"",0,1))</f>
        <v>BX706</v>
      </c>
      <c r="E542" s="4" t="e" vm="392">
        <f>IF($C542="","",_xlfn.XLOOKUP($C542,Order!$C:$C,Order!$E:$E,"",0,1))</f>
        <v>#VALUE!</v>
      </c>
      <c r="F542" s="4">
        <f>IF($C542="","",_xlfn.XLOOKUP($C542,Order!$C:$C,Order!$F:$F,"",0,1))</f>
        <v>6000</v>
      </c>
      <c r="G542" s="4" t="str">
        <f>IF($C542="","",_xlfn.XLOOKUP($C542,Order!$C:$C,Order!$G:$G,"",0,1))</f>
        <v>6063T5</v>
      </c>
      <c r="H542" s="4">
        <f>IF($C542="","",_xlfn.XLOOKUP($C542,Order!$C:$C,Order!$H:$H,"",0,1))</f>
        <v>0.84799999999999998</v>
      </c>
      <c r="I542" s="36">
        <f>IF($C542="","",_xlfn.XLOOKUP($C542,Order!$C:$C,Order!$J:$J,"",0,1))</f>
        <v>0</v>
      </c>
      <c r="J542" s="4" t="str">
        <f>IF(C542="","",Order!$J$16)</f>
        <v>SILVER ANODIZED (FAYP01)</v>
      </c>
      <c r="K542" s="36">
        <f>IF($C542="","",_xlfn.XLOOKUP($C542,Order!$C:$C,Order!$P:$P,"",0,1))</f>
        <v>0</v>
      </c>
      <c r="L542" s="4">
        <f t="shared" si="8"/>
        <v>0</v>
      </c>
    </row>
    <row r="543" spans="2:12" ht="23.25" hidden="1" customHeight="1" x14ac:dyDescent="0.25">
      <c r="B543" s="4">
        <v>538</v>
      </c>
      <c r="C543" s="36" t="str">
        <f>IF(Order!$C$209="","",Order!$C$209)</f>
        <v>GR001</v>
      </c>
      <c r="D543" s="36" t="str">
        <f>IF($C543="","",_xlfn.XLOOKUP($C543,Order!$C:$C,Order!$D:$D,"",0,1))</f>
        <v>GR001</v>
      </c>
      <c r="E543" s="4" t="e" vm="393">
        <f>IF($C543="","",_xlfn.XLOOKUP($C543,Order!$C:$C,Order!$E:$E,"",0,1))</f>
        <v>#VALUE!</v>
      </c>
      <c r="F543" s="4">
        <f>IF($C543="","",_xlfn.XLOOKUP($C543,Order!$C:$C,Order!$F:$F,"",0,1))</f>
        <v>6000</v>
      </c>
      <c r="G543" s="4" t="str">
        <f>IF($C543="","",_xlfn.XLOOKUP($C543,Order!$C:$C,Order!$G:$G,"",0,1))</f>
        <v>6063T5</v>
      </c>
      <c r="H543" s="4">
        <f>IF($C543="","",_xlfn.XLOOKUP($C543,Order!$C:$C,Order!$H:$H,"",0,1))</f>
        <v>1.0089999999999999</v>
      </c>
      <c r="I543" s="36">
        <f>IF($C543="","",_xlfn.XLOOKUP($C543,Order!$C:$C,Order!$J:$J,"",0,1))</f>
        <v>0</v>
      </c>
      <c r="J543" s="4" t="str">
        <f>IF(C543="","",Order!$J$16)</f>
        <v>SILVER ANODIZED (FAYP01)</v>
      </c>
      <c r="K543" s="36">
        <f>IF($C543="","",_xlfn.XLOOKUP($C543,Order!$C:$C,Order!$P:$P,"",0,1))</f>
        <v>0</v>
      </c>
      <c r="L543" s="4">
        <f t="shared" si="8"/>
        <v>0</v>
      </c>
    </row>
    <row r="544" spans="2:12" ht="23.25" hidden="1" customHeight="1" x14ac:dyDescent="0.25">
      <c r="B544" s="4">
        <v>539</v>
      </c>
      <c r="C544" s="36" t="str">
        <f>IF(Order!$C$210="","",Order!$C$210)</f>
        <v>GR002</v>
      </c>
      <c r="D544" s="36" t="str">
        <f>IF($C544="","",_xlfn.XLOOKUP($C544,Order!$C:$C,Order!$D:$D,"",0,1))</f>
        <v>GR002</v>
      </c>
      <c r="E544" s="4" t="e" vm="394">
        <f>IF($C544="","",_xlfn.XLOOKUP($C544,Order!$C:$C,Order!$E:$E,"",0,1))</f>
        <v>#VALUE!</v>
      </c>
      <c r="F544" s="4">
        <f>IF($C544="","",_xlfn.XLOOKUP($C544,Order!$C:$C,Order!$F:$F,"",0,1))</f>
        <v>6000</v>
      </c>
      <c r="G544" s="4" t="str">
        <f>IF($C544="","",_xlfn.XLOOKUP($C544,Order!$C:$C,Order!$G:$G,"",0,1))</f>
        <v>6063T5</v>
      </c>
      <c r="H544" s="4">
        <f>IF($C544="","",_xlfn.XLOOKUP($C544,Order!$C:$C,Order!$H:$H,"",0,1))</f>
        <v>0.95599999999999996</v>
      </c>
      <c r="I544" s="36">
        <f>IF($C544="","",_xlfn.XLOOKUP($C544,Order!$C:$C,Order!$J:$J,"",0,1))</f>
        <v>0</v>
      </c>
      <c r="J544" s="4" t="str">
        <f>IF(C544="","",Order!$J$16)</f>
        <v>SILVER ANODIZED (FAYP01)</v>
      </c>
      <c r="K544" s="36">
        <f>IF($C544="","",_xlfn.XLOOKUP($C544,Order!$C:$C,Order!$P:$P,"",0,1))</f>
        <v>0</v>
      </c>
      <c r="L544" s="4">
        <f t="shared" si="8"/>
        <v>0</v>
      </c>
    </row>
    <row r="545" spans="2:12" ht="23.25" hidden="1" customHeight="1" x14ac:dyDescent="0.25">
      <c r="B545" s="4">
        <v>540</v>
      </c>
      <c r="C545" s="36" t="str">
        <f>IF(Order!$C$211="","",Order!$C$211)</f>
        <v>BX062</v>
      </c>
      <c r="D545" s="36" t="str">
        <f>IF($C545="","",_xlfn.XLOOKUP($C545,Order!$C:$C,Order!$D:$D,"",0,1))</f>
        <v>BX062</v>
      </c>
      <c r="E545" s="4" t="e" vm="395">
        <f>IF($C545="","",_xlfn.XLOOKUP($C545,Order!$C:$C,Order!$E:$E,"",0,1))</f>
        <v>#VALUE!</v>
      </c>
      <c r="F545" s="4">
        <f>IF($C545="","",_xlfn.XLOOKUP($C545,Order!$C:$C,Order!$F:$F,"",0,1))</f>
        <v>6000</v>
      </c>
      <c r="G545" s="4" t="str">
        <f>IF($C545="","",_xlfn.XLOOKUP($C545,Order!$C:$C,Order!$G:$G,"",0,1))</f>
        <v>6063T5</v>
      </c>
      <c r="H545" s="4">
        <f>IF($C545="","",_xlfn.XLOOKUP($C545,Order!$C:$C,Order!$H:$H,"",0,1))</f>
        <v>0.23599999999999999</v>
      </c>
      <c r="I545" s="36">
        <f>IF($C545="","",_xlfn.XLOOKUP($C545,Order!$C:$C,Order!$J:$J,"",0,1))</f>
        <v>0</v>
      </c>
      <c r="J545" s="4" t="str">
        <f>IF(C545="","",Order!$J$16)</f>
        <v>SILVER ANODIZED (FAYP01)</v>
      </c>
      <c r="K545" s="36">
        <f>IF($C545="","",_xlfn.XLOOKUP($C545,Order!$C:$C,Order!$P:$P,"",0,1))</f>
        <v>0</v>
      </c>
      <c r="L545" s="4">
        <f t="shared" si="8"/>
        <v>0</v>
      </c>
    </row>
    <row r="546" spans="2:12" ht="23.25" hidden="1" customHeight="1" x14ac:dyDescent="0.25">
      <c r="B546" s="4">
        <v>541</v>
      </c>
      <c r="C546" s="36" t="str">
        <f>IF(Order!$C$212="","",Order!$C$212)</f>
        <v>BX101</v>
      </c>
      <c r="D546" s="36" t="str">
        <f>IF($C546="","",_xlfn.XLOOKUP($C546,Order!$C:$C,Order!$D:$D,"",0,1))</f>
        <v>BX101</v>
      </c>
      <c r="E546" s="4" t="e" vm="396">
        <f>IF($C546="","",_xlfn.XLOOKUP($C546,Order!$C:$C,Order!$E:$E,"",0,1))</f>
        <v>#VALUE!</v>
      </c>
      <c r="F546" s="4">
        <f>IF($C546="","",_xlfn.XLOOKUP($C546,Order!$C:$C,Order!$F:$F,"",0,1))</f>
        <v>6000</v>
      </c>
      <c r="G546" s="4" t="str">
        <f>IF($C546="","",_xlfn.XLOOKUP($C546,Order!$C:$C,Order!$G:$G,"",0,1))</f>
        <v>6063T5</v>
      </c>
      <c r="H546" s="4">
        <f>IF($C546="","",_xlfn.XLOOKUP($C546,Order!$C:$C,Order!$H:$H,"",0,1))</f>
        <v>0.42599999999999999</v>
      </c>
      <c r="I546" s="36">
        <f>IF($C546="","",_xlfn.XLOOKUP($C546,Order!$C:$C,Order!$J:$J,"",0,1))</f>
        <v>0</v>
      </c>
      <c r="J546" s="4" t="str">
        <f>IF(C546="","",Order!$J$16)</f>
        <v>SILVER ANODIZED (FAYP01)</v>
      </c>
      <c r="K546" s="36">
        <f>IF($C546="","",_xlfn.XLOOKUP($C546,Order!$C:$C,Order!$P:$P,"",0,1))</f>
        <v>0</v>
      </c>
      <c r="L546" s="4">
        <f t="shared" si="8"/>
        <v>0</v>
      </c>
    </row>
    <row r="547" spans="2:12" ht="23.25" hidden="1" customHeight="1" x14ac:dyDescent="0.25">
      <c r="B547" s="4">
        <v>542</v>
      </c>
      <c r="C547" s="36" t="str">
        <f>IF(Order!$C$213="","",Order!$C$213)</f>
        <v>BX060</v>
      </c>
      <c r="D547" s="36" t="str">
        <f>IF($C547="","",_xlfn.XLOOKUP($C547,Order!$C:$C,Order!$D:$D,"",0,1))</f>
        <v>BX060</v>
      </c>
      <c r="E547" s="4" t="e" vm="397">
        <f>IF($C547="","",_xlfn.XLOOKUP($C547,Order!$C:$C,Order!$E:$E,"",0,1))</f>
        <v>#VALUE!</v>
      </c>
      <c r="F547" s="4">
        <f>IF($C547="","",_xlfn.XLOOKUP($C547,Order!$C:$C,Order!$F:$F,"",0,1))</f>
        <v>6000</v>
      </c>
      <c r="G547" s="4" t="str">
        <f>IF($C547="","",_xlfn.XLOOKUP($C547,Order!$C:$C,Order!$G:$G,"",0,1))</f>
        <v>6063T5</v>
      </c>
      <c r="H547" s="4">
        <f>IF($C547="","",_xlfn.XLOOKUP($C547,Order!$C:$C,Order!$H:$H,"",0,1))</f>
        <v>0.17499999999999999</v>
      </c>
      <c r="I547" s="36">
        <f>IF($C547="","",_xlfn.XLOOKUP($C547,Order!$C:$C,Order!$J:$J,"",0,1))</f>
        <v>0</v>
      </c>
      <c r="J547" s="4" t="str">
        <f>IF(C547="","",Order!$J$16)</f>
        <v>SILVER ANODIZED (FAYP01)</v>
      </c>
      <c r="K547" s="36">
        <f>IF($C547="","",_xlfn.XLOOKUP($C547,Order!$C:$C,Order!$P:$P,"",0,1))</f>
        <v>0</v>
      </c>
      <c r="L547" s="4">
        <f t="shared" si="8"/>
        <v>0</v>
      </c>
    </row>
    <row r="548" spans="2:12" ht="23.25" hidden="1" customHeight="1" x14ac:dyDescent="0.25">
      <c r="B548" s="4">
        <v>543</v>
      </c>
      <c r="C548" s="36" t="str">
        <f>IF(Order!$C$214="","",Order!$C$214)</f>
        <v>BX061</v>
      </c>
      <c r="D548" s="36" t="str">
        <f>IF($C548="","",_xlfn.XLOOKUP($C548,Order!$C:$C,Order!$D:$D,"",0,1))</f>
        <v>BX061</v>
      </c>
      <c r="E548" s="4" t="e" vm="398">
        <f>IF($C548="","",_xlfn.XLOOKUP($C548,Order!$C:$C,Order!$E:$E,"",0,1))</f>
        <v>#VALUE!</v>
      </c>
      <c r="F548" s="4">
        <f>IF($C548="","",_xlfn.XLOOKUP($C548,Order!$C:$C,Order!$F:$F,"",0,1))</f>
        <v>6000</v>
      </c>
      <c r="G548" s="4" t="str">
        <f>IF($C548="","",_xlfn.XLOOKUP($C548,Order!$C:$C,Order!$G:$G,"",0,1))</f>
        <v>6063T5</v>
      </c>
      <c r="H548" s="4">
        <f>IF($C548="","",_xlfn.XLOOKUP($C548,Order!$C:$C,Order!$H:$H,"",0,1))</f>
        <v>0.161</v>
      </c>
      <c r="I548" s="36">
        <f>IF($C548="","",_xlfn.XLOOKUP($C548,Order!$C:$C,Order!$J:$J,"",0,1))</f>
        <v>0</v>
      </c>
      <c r="J548" s="4" t="str">
        <f>IF(C548="","",Order!$J$16)</f>
        <v>SILVER ANODIZED (FAYP01)</v>
      </c>
      <c r="K548" s="36">
        <f>IF($C548="","",_xlfn.XLOOKUP($C548,Order!$C:$C,Order!$P:$P,"",0,1))</f>
        <v>0</v>
      </c>
      <c r="L548" s="4">
        <f t="shared" si="8"/>
        <v>0</v>
      </c>
    </row>
    <row r="549" spans="2:12" ht="23.25" hidden="1" customHeight="1" x14ac:dyDescent="0.25">
      <c r="B549" s="4">
        <v>544</v>
      </c>
      <c r="C549" s="36" t="str">
        <f>IF(Order!$C$215="","",Order!$C$215)</f>
        <v>BX063</v>
      </c>
      <c r="D549" s="36" t="str">
        <f>IF($C549="","",_xlfn.XLOOKUP($C549,Order!$C:$C,Order!$D:$D,"",0,1))</f>
        <v>BX063</v>
      </c>
      <c r="E549" s="4" t="e" vm="399">
        <f>IF($C549="","",_xlfn.XLOOKUP($C549,Order!$C:$C,Order!$E:$E,"",0,1))</f>
        <v>#VALUE!</v>
      </c>
      <c r="F549" s="4">
        <f>IF($C549="","",_xlfn.XLOOKUP($C549,Order!$C:$C,Order!$F:$F,"",0,1))</f>
        <v>6000</v>
      </c>
      <c r="G549" s="4" t="str">
        <f>IF($C549="","",_xlfn.XLOOKUP($C549,Order!$C:$C,Order!$G:$G,"",0,1))</f>
        <v>6063T5</v>
      </c>
      <c r="H549" s="4">
        <f>IF($C549="","",_xlfn.XLOOKUP($C549,Order!$C:$C,Order!$H:$H,"",0,1))</f>
        <v>0.20699999999999999</v>
      </c>
      <c r="I549" s="36">
        <f>IF($C549="","",_xlfn.XLOOKUP($C549,Order!$C:$C,Order!$J:$J,"",0,1))</f>
        <v>0</v>
      </c>
      <c r="J549" s="4" t="str">
        <f>IF(C549="","",Order!$J$16)</f>
        <v>SILVER ANODIZED (FAYP01)</v>
      </c>
      <c r="K549" s="36">
        <f>IF($C549="","",_xlfn.XLOOKUP($C549,Order!$C:$C,Order!$P:$P,"",0,1))</f>
        <v>0</v>
      </c>
      <c r="L549" s="4">
        <f t="shared" si="8"/>
        <v>0</v>
      </c>
    </row>
    <row r="550" spans="2:12" ht="23.25" customHeight="1" x14ac:dyDescent="0.25">
      <c r="B550" s="4">
        <v>545</v>
      </c>
      <c r="C550" s="36" t="str">
        <f>IF(Order!$C$216="","",Order!$C$216)</f>
        <v>BX116</v>
      </c>
      <c r="D550" s="36" t="str">
        <f>IF($C550="","",_xlfn.XLOOKUP($C550,Order!$C:$C,Order!$D:$D,"",0,1))</f>
        <v>BX116</v>
      </c>
      <c r="E550" s="4" t="e" vm="400">
        <f>IF($C550="","",_xlfn.XLOOKUP($C550,Order!$C:$C,Order!$E:$E,"",0,1))</f>
        <v>#VALUE!</v>
      </c>
      <c r="F550" s="4">
        <f>IF($C550="","",_xlfn.XLOOKUP($C550,Order!$C:$C,Order!$F:$F,"",0,1))</f>
        <v>6000</v>
      </c>
      <c r="G550" s="4" t="str">
        <f>IF($C550="","",_xlfn.XLOOKUP($C550,Order!$C:$C,Order!$G:$G,"",0,1))</f>
        <v>6063T5</v>
      </c>
      <c r="H550" s="4">
        <f>IF($C550="","",_xlfn.XLOOKUP($C550,Order!$C:$C,Order!$H:$H,"",0,1))</f>
        <v>0.26400000000000001</v>
      </c>
      <c r="I550" s="36">
        <f>IF($C550="","",_xlfn.XLOOKUP($C550,Order!$C:$C,Order!$J:$J,"",0,1))</f>
        <v>80</v>
      </c>
      <c r="J550" s="4" t="str">
        <f>IF(C550="","",Order!$J$16)</f>
        <v>SILVER ANODIZED (FAYP01)</v>
      </c>
      <c r="K550" s="36">
        <f>IF($C550="","",_xlfn.XLOOKUP($C550,Order!$C:$C,Order!$P:$P,"",0,1))</f>
        <v>0</v>
      </c>
      <c r="L550" s="4">
        <f t="shared" si="8"/>
        <v>126.72</v>
      </c>
    </row>
    <row r="551" spans="2:12" ht="23.25" customHeight="1" x14ac:dyDescent="0.25">
      <c r="B551" s="4">
        <v>546</v>
      </c>
      <c r="C551" s="36" t="str">
        <f>IF(Order!$C$217="","",Order!$C$217)</f>
        <v>BX156</v>
      </c>
      <c r="D551" s="36" t="str">
        <f>IF($C551="","",_xlfn.XLOOKUP($C551,Order!$C:$C,Order!$D:$D,"",0,1))</f>
        <v>BX156</v>
      </c>
      <c r="E551" s="4" t="e" vm="401">
        <f>IF($C551="","",_xlfn.XLOOKUP($C551,Order!$C:$C,Order!$E:$E,"",0,1))</f>
        <v>#VALUE!</v>
      </c>
      <c r="F551" s="4">
        <f>IF($C551="","",_xlfn.XLOOKUP($C551,Order!$C:$C,Order!$F:$F,"",0,1))</f>
        <v>6000</v>
      </c>
      <c r="G551" s="4" t="str">
        <f>IF($C551="","",_xlfn.XLOOKUP($C551,Order!$C:$C,Order!$G:$G,"",0,1))</f>
        <v>6063T5</v>
      </c>
      <c r="H551" s="4">
        <f>IF($C551="","",_xlfn.XLOOKUP($C551,Order!$C:$C,Order!$H:$H,"",0,1))</f>
        <v>0.2</v>
      </c>
      <c r="I551" s="36">
        <f>IF($C551="","",_xlfn.XLOOKUP($C551,Order!$C:$C,Order!$J:$J,"",0,1))</f>
        <v>150</v>
      </c>
      <c r="J551" s="4" t="str">
        <f>IF(C551="","",Order!$J$16)</f>
        <v>SILVER ANODIZED (FAYP01)</v>
      </c>
      <c r="K551" s="36">
        <f>IF($C551="","",_xlfn.XLOOKUP($C551,Order!$C:$C,Order!$P:$P,"",0,1))</f>
        <v>0</v>
      </c>
      <c r="L551" s="4">
        <f t="shared" si="8"/>
        <v>180.00000000000003</v>
      </c>
    </row>
    <row r="552" spans="2:12" ht="23.25" customHeight="1" x14ac:dyDescent="0.25">
      <c r="B552" s="4">
        <v>547</v>
      </c>
      <c r="C552" s="36" t="str">
        <f>IF(Order!$C$218="","",Order!$C$218)</f>
        <v>BX157</v>
      </c>
      <c r="D552" s="36" t="str">
        <f>IF($C552="","",_xlfn.XLOOKUP($C552,Order!$C:$C,Order!$D:$D,"",0,1))</f>
        <v>BX157</v>
      </c>
      <c r="E552" s="4" t="e" vm="402">
        <f>IF($C552="","",_xlfn.XLOOKUP($C552,Order!$C:$C,Order!$E:$E,"",0,1))</f>
        <v>#VALUE!</v>
      </c>
      <c r="F552" s="4">
        <f>IF($C552="","",_xlfn.XLOOKUP($C552,Order!$C:$C,Order!$F:$F,"",0,1))</f>
        <v>6000</v>
      </c>
      <c r="G552" s="4" t="str">
        <f>IF($C552="","",_xlfn.XLOOKUP($C552,Order!$C:$C,Order!$G:$G,"",0,1))</f>
        <v>6063T5</v>
      </c>
      <c r="H552" s="4">
        <f>IF($C552="","",_xlfn.XLOOKUP($C552,Order!$C:$C,Order!$H:$H,"",0,1))</f>
        <v>0.50800000000000001</v>
      </c>
      <c r="I552" s="36">
        <f>IF($C552="","",_xlfn.XLOOKUP($C552,Order!$C:$C,Order!$J:$J,"",0,1))</f>
        <v>80</v>
      </c>
      <c r="J552" s="4" t="str">
        <f>IF(C552="","",Order!$J$16)</f>
        <v>SILVER ANODIZED (FAYP01)</v>
      </c>
      <c r="K552" s="36">
        <f>IF($C552="","",_xlfn.XLOOKUP($C552,Order!$C:$C,Order!$P:$P,"",0,1))</f>
        <v>0</v>
      </c>
      <c r="L552" s="4">
        <f t="shared" si="8"/>
        <v>243.84</v>
      </c>
    </row>
    <row r="553" spans="2:12" ht="23.25" customHeight="1" x14ac:dyDescent="0.25">
      <c r="B553" s="4">
        <v>548</v>
      </c>
      <c r="C553" s="36" t="str">
        <f>IF(Order!$C$219="","",Order!$C$219)</f>
        <v>BX158</v>
      </c>
      <c r="D553" s="36" t="str">
        <f>IF($C553="","",_xlfn.XLOOKUP($C553,Order!$C:$C,Order!$D:$D,"",0,1))</f>
        <v>BX158</v>
      </c>
      <c r="E553" s="4" t="e" vm="403">
        <f>IF($C553="","",_xlfn.XLOOKUP($C553,Order!$C:$C,Order!$E:$E,"",0,1))</f>
        <v>#VALUE!</v>
      </c>
      <c r="F553" s="4">
        <f>IF($C553="","",_xlfn.XLOOKUP($C553,Order!$C:$C,Order!$F:$F,"",0,1))</f>
        <v>6000</v>
      </c>
      <c r="G553" s="4" t="str">
        <f>IF($C553="","",_xlfn.XLOOKUP($C553,Order!$C:$C,Order!$G:$G,"",0,1))</f>
        <v>6063T5</v>
      </c>
      <c r="H553" s="4">
        <f>IF($C553="","",_xlfn.XLOOKUP($C553,Order!$C:$C,Order!$H:$H,"",0,1))</f>
        <v>0.188</v>
      </c>
      <c r="I553" s="36">
        <f>IF($C553="","",_xlfn.XLOOKUP($C553,Order!$C:$C,Order!$J:$J,"",0,1))</f>
        <v>200</v>
      </c>
      <c r="J553" s="4" t="str">
        <f>IF(C553="","",Order!$J$16)</f>
        <v>SILVER ANODIZED (FAYP01)</v>
      </c>
      <c r="K553" s="36">
        <f>IF($C553="","",_xlfn.XLOOKUP($C553,Order!$C:$C,Order!$P:$P,"",0,1))</f>
        <v>0</v>
      </c>
      <c r="L553" s="4">
        <f t="shared" si="8"/>
        <v>225.60000000000002</v>
      </c>
    </row>
    <row r="554" spans="2:12" ht="23.25" hidden="1" customHeight="1" x14ac:dyDescent="0.25">
      <c r="B554" s="4">
        <v>549</v>
      </c>
      <c r="C554" s="36" t="str">
        <f>IF(Order!$C$220="","",Order!$C$220)</f>
        <v>BX159</v>
      </c>
      <c r="D554" s="36" t="str">
        <f>IF($C554="","",_xlfn.XLOOKUP($C554,Order!$C:$C,Order!$D:$D,"",0,1))</f>
        <v>BX159</v>
      </c>
      <c r="E554" s="4" t="e" vm="404">
        <f>IF($C554="","",_xlfn.XLOOKUP($C554,Order!$C:$C,Order!$E:$E,"",0,1))</f>
        <v>#VALUE!</v>
      </c>
      <c r="F554" s="4">
        <f>IF($C554="","",_xlfn.XLOOKUP($C554,Order!$C:$C,Order!$F:$F,"",0,1))</f>
        <v>6000</v>
      </c>
      <c r="G554" s="4" t="str">
        <f>IF($C554="","",_xlfn.XLOOKUP($C554,Order!$C:$C,Order!$G:$G,"",0,1))</f>
        <v>6063T5</v>
      </c>
      <c r="H554" s="4">
        <f>IF($C554="","",_xlfn.XLOOKUP($C554,Order!$C:$C,Order!$H:$H,"",0,1))</f>
        <v>0.19700000000000001</v>
      </c>
      <c r="I554" s="36">
        <f>IF($C554="","",_xlfn.XLOOKUP($C554,Order!$C:$C,Order!$J:$J,"",0,1))</f>
        <v>0</v>
      </c>
      <c r="J554" s="4" t="str">
        <f>IF(C554="","",Order!$J$16)</f>
        <v>SILVER ANODIZED (FAYP01)</v>
      </c>
      <c r="K554" s="36">
        <f>IF($C554="","",_xlfn.XLOOKUP($C554,Order!$C:$C,Order!$P:$P,"",0,1))</f>
        <v>0</v>
      </c>
      <c r="L554" s="4">
        <f t="shared" si="8"/>
        <v>0</v>
      </c>
    </row>
    <row r="555" spans="2:12" ht="23.25" hidden="1" customHeight="1" x14ac:dyDescent="0.25">
      <c r="B555" s="4">
        <v>550</v>
      </c>
      <c r="C555" s="36" t="str">
        <f>IF(Order!$C$221="","",Order!$C$221)</f>
        <v>BX092</v>
      </c>
      <c r="D555" s="36" t="str">
        <f>IF($C555="","",_xlfn.XLOOKUP($C555,Order!$C:$C,Order!$D:$D,"",0,1))</f>
        <v>BX092</v>
      </c>
      <c r="E555" s="4" t="e" vm="405">
        <f>IF($C555="","",_xlfn.XLOOKUP($C555,Order!$C:$C,Order!$E:$E,"",0,1))</f>
        <v>#VALUE!</v>
      </c>
      <c r="F555" s="4">
        <f>IF($C555="","",_xlfn.XLOOKUP($C555,Order!$C:$C,Order!$F:$F,"",0,1))</f>
        <v>6000</v>
      </c>
      <c r="G555" s="4" t="str">
        <f>IF($C555="","",_xlfn.XLOOKUP($C555,Order!$C:$C,Order!$G:$G,"",0,1))</f>
        <v>6063T5</v>
      </c>
      <c r="H555" s="4">
        <f>IF($C555="","",_xlfn.XLOOKUP($C555,Order!$C:$C,Order!$H:$H,"",0,1))</f>
        <v>0.185</v>
      </c>
      <c r="I555" s="36">
        <f>IF($C555="","",_xlfn.XLOOKUP($C555,Order!$C:$C,Order!$J:$J,"",0,1))</f>
        <v>0</v>
      </c>
      <c r="J555" s="4" t="str">
        <f>IF(C555="","",Order!$J$16)</f>
        <v>SILVER ANODIZED (FAYP01)</v>
      </c>
      <c r="K555" s="36">
        <f>IF($C555="","",_xlfn.XLOOKUP($C555,Order!$C:$C,Order!$P:$P,"",0,1))</f>
        <v>0</v>
      </c>
      <c r="L555" s="4">
        <f t="shared" si="8"/>
        <v>0</v>
      </c>
    </row>
    <row r="556" spans="2:12" ht="23.25" hidden="1" customHeight="1" x14ac:dyDescent="0.25">
      <c r="B556" s="4">
        <v>551</v>
      </c>
      <c r="C556" s="36" t="str">
        <f>IF(Order!$C$222="","",Order!$C$222)</f>
        <v>BX189A</v>
      </c>
      <c r="D556" s="36" t="str">
        <f>IF($C556="","",_xlfn.XLOOKUP($C556,Order!$C:$C,Order!$D:$D,"",0,1))</f>
        <v>BX189A</v>
      </c>
      <c r="E556" s="4" t="e" vm="406">
        <f>IF($C556="","",_xlfn.XLOOKUP($C556,Order!$C:$C,Order!$E:$E,"",0,1))</f>
        <v>#VALUE!</v>
      </c>
      <c r="F556" s="4">
        <f>IF($C556="","",_xlfn.XLOOKUP($C556,Order!$C:$C,Order!$F:$F,"",0,1))</f>
        <v>6000</v>
      </c>
      <c r="G556" s="4" t="str">
        <f>IF($C556="","",_xlfn.XLOOKUP($C556,Order!$C:$C,Order!$G:$G,"",0,1))</f>
        <v>6063T5</v>
      </c>
      <c r="H556" s="4">
        <f>IF($C556="","",_xlfn.XLOOKUP($C556,Order!$C:$C,Order!$H:$H,"",0,1))</f>
        <v>0.17299999999999999</v>
      </c>
      <c r="I556" s="36">
        <f>IF($C556="","",_xlfn.XLOOKUP($C556,Order!$C:$C,Order!$J:$J,"",0,1))</f>
        <v>0</v>
      </c>
      <c r="J556" s="4" t="str">
        <f>IF(C556="","",Order!$J$16)</f>
        <v>SILVER ANODIZED (FAYP01)</v>
      </c>
      <c r="K556" s="36">
        <f>IF($C556="","",_xlfn.XLOOKUP($C556,Order!$C:$C,Order!$P:$P,"",0,1))</f>
        <v>0</v>
      </c>
      <c r="L556" s="4">
        <f t="shared" si="8"/>
        <v>0</v>
      </c>
    </row>
    <row r="557" spans="2:12" ht="23.25" hidden="1" customHeight="1" x14ac:dyDescent="0.25">
      <c r="B557" s="4">
        <v>552</v>
      </c>
      <c r="C557" s="36" t="str">
        <f>IF(Order!$C$223="","",Order!$C$223)</f>
        <v>BX201</v>
      </c>
      <c r="D557" s="36" t="str">
        <f>IF($C557="","",_xlfn.XLOOKUP($C557,Order!$C:$C,Order!$D:$D,"",0,1))</f>
        <v>BX201</v>
      </c>
      <c r="E557" s="4" t="e" vm="407">
        <f>IF($C557="","",_xlfn.XLOOKUP($C557,Order!$C:$C,Order!$E:$E,"",0,1))</f>
        <v>#VALUE!</v>
      </c>
      <c r="F557" s="4">
        <f>IF($C557="","",_xlfn.XLOOKUP($C557,Order!$C:$C,Order!$F:$F,"",0,1))</f>
        <v>6000</v>
      </c>
      <c r="G557" s="4" t="str">
        <f>IF($C557="","",_xlfn.XLOOKUP($C557,Order!$C:$C,Order!$G:$G,"",0,1))</f>
        <v>6063T5</v>
      </c>
      <c r="H557" s="4">
        <f>IF($C557="","",_xlfn.XLOOKUP($C557,Order!$C:$C,Order!$H:$H,"",0,1))</f>
        <v>0.47699999999999998</v>
      </c>
      <c r="I557" s="36">
        <f>IF($C557="","",_xlfn.XLOOKUP($C557,Order!$C:$C,Order!$J:$J,"",0,1))</f>
        <v>0</v>
      </c>
      <c r="J557" s="4" t="str">
        <f>IF(C557="","",Order!$J$16)</f>
        <v>SILVER ANODIZED (FAYP01)</v>
      </c>
      <c r="K557" s="36">
        <f>IF($C557="","",_xlfn.XLOOKUP($C557,Order!$C:$C,Order!$P:$P,"",0,1))</f>
        <v>0</v>
      </c>
      <c r="L557" s="4">
        <f t="shared" si="8"/>
        <v>0</v>
      </c>
    </row>
    <row r="558" spans="2:12" ht="23.25" customHeight="1" x14ac:dyDescent="0.25">
      <c r="B558" s="4">
        <v>553</v>
      </c>
      <c r="C558" s="36" t="str">
        <f>IF(Order!$C$224="","",Order!$C$224)</f>
        <v>AL001</v>
      </c>
      <c r="D558" s="36" t="str">
        <f>IF($C558="","",_xlfn.XLOOKUP($C558,Order!$C:$C,Order!$D:$D,"",0,1))</f>
        <v>AL001AL</v>
      </c>
      <c r="E558" s="4" t="e" vm="408">
        <f>IF($C558="","",_xlfn.XLOOKUP($C558,Order!$C:$C,Order!$E:$E,"",0,1))</f>
        <v>#VALUE!</v>
      </c>
      <c r="F558" s="4">
        <f>IF($C558="","",_xlfn.XLOOKUP($C558,Order!$C:$C,Order!$F:$F,"",0,1))</f>
        <v>6000</v>
      </c>
      <c r="G558" s="4" t="str">
        <f>IF($C558="","",_xlfn.XLOOKUP($C558,Order!$C:$C,Order!$G:$G,"",0,1))</f>
        <v>6063T5</v>
      </c>
      <c r="H558" s="4">
        <f>IF($C558="","",_xlfn.XLOOKUP($C558,Order!$C:$C,Order!$H:$H,"",0,1))</f>
        <v>0.434</v>
      </c>
      <c r="I558" s="36">
        <f>IF($C558="","",_xlfn.XLOOKUP($C558,Order!$C:$C,Order!$J:$J,"",0,1))</f>
        <v>100</v>
      </c>
      <c r="J558" s="4" t="str">
        <f>IF(C558="","",Order!$J$16)</f>
        <v>SILVER ANODIZED (FAYP01)</v>
      </c>
      <c r="K558" s="36">
        <f>IF($C558="","",_xlfn.XLOOKUP($C558,Order!$C:$C,Order!$P:$P,"",0,1))</f>
        <v>0</v>
      </c>
      <c r="L558" s="4">
        <f t="shared" si="8"/>
        <v>260.40000000000003</v>
      </c>
    </row>
    <row r="559" spans="2:12" ht="23.25" customHeight="1" x14ac:dyDescent="0.25">
      <c r="B559" s="4">
        <v>554</v>
      </c>
      <c r="C559" s="36" t="str">
        <f>IF(Order!$C$225="","",Order!$C$225)</f>
        <v>AL002</v>
      </c>
      <c r="D559" s="36" t="str">
        <f>IF($C559="","",_xlfn.XLOOKUP($C559,Order!$C:$C,Order!$D:$D,"",0,1))</f>
        <v>AL002AL</v>
      </c>
      <c r="E559" s="4" t="e" vm="409">
        <f>IF($C559="","",_xlfn.XLOOKUP($C559,Order!$C:$C,Order!$E:$E,"",0,1))</f>
        <v>#VALUE!</v>
      </c>
      <c r="F559" s="4">
        <f>IF($C559="","",_xlfn.XLOOKUP($C559,Order!$C:$C,Order!$F:$F,"",0,1))</f>
        <v>6000</v>
      </c>
      <c r="G559" s="4" t="str">
        <f>IF($C559="","",_xlfn.XLOOKUP($C559,Order!$C:$C,Order!$G:$G,"",0,1))</f>
        <v>6063T5</v>
      </c>
      <c r="H559" s="4">
        <f>IF($C559="","",_xlfn.XLOOKUP($C559,Order!$C:$C,Order!$H:$H,"",0,1))</f>
        <v>0.17499999999999999</v>
      </c>
      <c r="I559" s="36">
        <f>IF($C559="","",_xlfn.XLOOKUP($C559,Order!$C:$C,Order!$J:$J,"",0,1))</f>
        <v>100</v>
      </c>
      <c r="J559" s="4" t="str">
        <f>IF(C559="","",Order!$J$16)</f>
        <v>SILVER ANODIZED (FAYP01)</v>
      </c>
      <c r="K559" s="36">
        <f>IF($C559="","",_xlfn.XLOOKUP($C559,Order!$C:$C,Order!$P:$P,"",0,1))</f>
        <v>0</v>
      </c>
      <c r="L559" s="4">
        <f t="shared" si="8"/>
        <v>104.99999999999999</v>
      </c>
    </row>
    <row r="560" spans="2:12" ht="23.25" customHeight="1" x14ac:dyDescent="0.25">
      <c r="B560" s="4">
        <v>555</v>
      </c>
      <c r="C560" s="36" t="str">
        <f>IF(Order!$C$226="","",Order!$C$226)</f>
        <v>AL 049</v>
      </c>
      <c r="D560" s="36" t="str">
        <f>IF($C560="","",_xlfn.XLOOKUP($C560,Order!$C:$C,Order!$D:$D,"",0,1))</f>
        <v>AL049</v>
      </c>
      <c r="E560" s="4" t="e" vm="410">
        <f>IF($C560="","",_xlfn.XLOOKUP($C560,Order!$C:$C,Order!$E:$E,"",0,1))</f>
        <v>#VALUE!</v>
      </c>
      <c r="F560" s="4">
        <f>IF($C560="","",_xlfn.XLOOKUP($C560,Order!$C:$C,Order!$F:$F,"",0,1))</f>
        <v>6000</v>
      </c>
      <c r="G560" s="4" t="str">
        <f>IF($C560="","",_xlfn.XLOOKUP($C560,Order!$C:$C,Order!$G:$G,"",0,1))</f>
        <v>6063T5</v>
      </c>
      <c r="H560" s="4">
        <f>IF($C560="","",_xlfn.XLOOKUP($C560,Order!$C:$C,Order!$H:$H,"",0,1))</f>
        <v>0.45300000000000001</v>
      </c>
      <c r="I560" s="36">
        <f>IF($C560="","",_xlfn.XLOOKUP($C560,Order!$C:$C,Order!$J:$J,"",0,1))</f>
        <v>200</v>
      </c>
      <c r="J560" s="4" t="str">
        <f>IF(C560="","",Order!$J$16)</f>
        <v>SILVER ANODIZED (FAYP01)</v>
      </c>
      <c r="K560" s="36">
        <f>IF($C560="","",_xlfn.XLOOKUP($C560,Order!$C:$C,Order!$P:$P,"",0,1))</f>
        <v>0</v>
      </c>
      <c r="L560" s="4">
        <f t="shared" si="8"/>
        <v>543.6</v>
      </c>
    </row>
    <row r="561" spans="2:12" ht="23.25" customHeight="1" x14ac:dyDescent="0.25">
      <c r="B561" s="4">
        <v>556</v>
      </c>
      <c r="C561" s="36" t="str">
        <f>IF(Order!$C$227="","",Order!$C$227)</f>
        <v>AL050</v>
      </c>
      <c r="D561" s="36" t="str">
        <f>IF($C561="","",_xlfn.XLOOKUP($C561,Order!$C:$C,Order!$D:$D,"",0,1))</f>
        <v>AL050</v>
      </c>
      <c r="E561" s="4" t="e" vm="411">
        <f>IF($C561="","",_xlfn.XLOOKUP($C561,Order!$C:$C,Order!$E:$E,"",0,1))</f>
        <v>#VALUE!</v>
      </c>
      <c r="F561" s="4">
        <f>IF($C561="","",_xlfn.XLOOKUP($C561,Order!$C:$C,Order!$F:$F,"",0,1))</f>
        <v>6000</v>
      </c>
      <c r="G561" s="4" t="str">
        <f>IF($C561="","",_xlfn.XLOOKUP($C561,Order!$C:$C,Order!$G:$G,"",0,1))</f>
        <v>6063T5</v>
      </c>
      <c r="H561" s="4">
        <f>IF($C561="","",_xlfn.XLOOKUP($C561,Order!$C:$C,Order!$H:$H,"",0,1))</f>
        <v>0.249</v>
      </c>
      <c r="I561" s="36">
        <f>IF($C561="","",_xlfn.XLOOKUP($C561,Order!$C:$C,Order!$J:$J,"",0,1))</f>
        <v>200</v>
      </c>
      <c r="J561" s="4" t="str">
        <f>IF(C561="","",Order!$J$16)</f>
        <v>SILVER ANODIZED (FAYP01)</v>
      </c>
      <c r="K561" s="36">
        <f>IF($C561="","",_xlfn.XLOOKUP($C561,Order!$C:$C,Order!$P:$P,"",0,1))</f>
        <v>0</v>
      </c>
      <c r="L561" s="4">
        <f t="shared" si="8"/>
        <v>298.8</v>
      </c>
    </row>
    <row r="562" spans="2:12" ht="23.25" customHeight="1" x14ac:dyDescent="0.25">
      <c r="B562" s="4">
        <v>557</v>
      </c>
      <c r="C562" s="36" t="str">
        <f>IF(Order!$C$228="","",Order!$C$228)</f>
        <v>AL003L</v>
      </c>
      <c r="D562" s="36" t="str">
        <f>IF($C562="","",_xlfn.XLOOKUP($C562,Order!$C:$C,Order!$D:$D,"",0,1))</f>
        <v>AL003L</v>
      </c>
      <c r="E562" s="4" t="e" vm="412">
        <f>IF($C562="","",_xlfn.XLOOKUP($C562,Order!$C:$C,Order!$E:$E,"",0,1))</f>
        <v>#VALUE!</v>
      </c>
      <c r="F562" s="4">
        <f>IF($C562="","",_xlfn.XLOOKUP($C562,Order!$C:$C,Order!$F:$F,"",0,1))</f>
        <v>6000</v>
      </c>
      <c r="G562" s="4" t="str">
        <f>IF($C562="","",_xlfn.XLOOKUP($C562,Order!$C:$C,Order!$G:$G,"",0,1))</f>
        <v>6063T5</v>
      </c>
      <c r="H562" s="4">
        <f>IF($C562="","",_xlfn.XLOOKUP($C562,Order!$C:$C,Order!$H:$H,"",0,1))</f>
        <v>0.23</v>
      </c>
      <c r="I562" s="36">
        <f>IF($C562="","",_xlfn.XLOOKUP($C562,Order!$C:$C,Order!$J:$J,"",0,1))</f>
        <v>300</v>
      </c>
      <c r="J562" s="4" t="str">
        <f>IF(C562="","",Order!$J$16)</f>
        <v>SILVER ANODIZED (FAYP01)</v>
      </c>
      <c r="K562" s="36">
        <f>IF($C562="","",_xlfn.XLOOKUP($C562,Order!$C:$C,Order!$P:$P,"",0,1))</f>
        <v>0</v>
      </c>
      <c r="L562" s="4">
        <f t="shared" si="8"/>
        <v>414.00000000000006</v>
      </c>
    </row>
    <row r="563" spans="2:12" ht="23.25" customHeight="1" x14ac:dyDescent="0.25">
      <c r="B563" s="4">
        <v>558</v>
      </c>
      <c r="C563" s="36" t="str">
        <f>IF(Order!$C$229="","",Order!$C$229)</f>
        <v>MT0066</v>
      </c>
      <c r="D563" s="36" t="str">
        <f>IF($C563="","",_xlfn.XLOOKUP($C563,Order!$C:$C,Order!$D:$D,"",0,1))</f>
        <v>MT0066(PU010)</v>
      </c>
      <c r="E563" s="4" t="e" vm="413">
        <f>IF($C563="","",_xlfn.XLOOKUP($C563,Order!$C:$C,Order!$E:$E,"",0,1))</f>
        <v>#VALUE!</v>
      </c>
      <c r="F563" s="4">
        <f>IF($C563="","",_xlfn.XLOOKUP($C563,Order!$C:$C,Order!$F:$F,"",0,1))</f>
        <v>6000</v>
      </c>
      <c r="G563" s="4" t="str">
        <f>IF($C563="","",_xlfn.XLOOKUP($C563,Order!$C:$C,Order!$G:$G,"",0,1))</f>
        <v>6063T5</v>
      </c>
      <c r="H563" s="4">
        <f>IF($C563="","",_xlfn.XLOOKUP($C563,Order!$C:$C,Order!$H:$H,"",0,1))</f>
        <v>0.11700000000000001</v>
      </c>
      <c r="I563" s="36">
        <f>IF($C563="","",_xlfn.XLOOKUP($C563,Order!$C:$C,Order!$J:$J,"",0,1))</f>
        <v>300</v>
      </c>
      <c r="J563" s="4" t="str">
        <f>IF(C563="","",Order!$J$16)</f>
        <v>SILVER ANODIZED (FAYP01)</v>
      </c>
      <c r="K563" s="36">
        <f>IF($C563="","",_xlfn.XLOOKUP($C563,Order!$C:$C,Order!$P:$P,"",0,1))</f>
        <v>0</v>
      </c>
      <c r="L563" s="4">
        <f t="shared" si="8"/>
        <v>210.60000000000002</v>
      </c>
    </row>
    <row r="564" spans="2:12" ht="23.25" customHeight="1" x14ac:dyDescent="0.25">
      <c r="B564" s="4">
        <v>559</v>
      </c>
      <c r="C564" s="36" t="str">
        <f>IF(Order!$C$230="","",Order!$C$230)</f>
        <v>MT0067</v>
      </c>
      <c r="D564" s="36" t="str">
        <f>IF($C564="","",_xlfn.XLOOKUP($C564,Order!$C:$C,Order!$D:$D,"",0,1))</f>
        <v>MT0067(PU008)</v>
      </c>
      <c r="E564" s="4" t="e" vm="414">
        <f>IF($C564="","",_xlfn.XLOOKUP($C564,Order!$C:$C,Order!$E:$E,"",0,1))</f>
        <v>#VALUE!</v>
      </c>
      <c r="F564" s="4">
        <f>IF($C564="","",_xlfn.XLOOKUP($C564,Order!$C:$C,Order!$F:$F,"",0,1))</f>
        <v>6000</v>
      </c>
      <c r="G564" s="4" t="str">
        <f>IF($C564="","",_xlfn.XLOOKUP($C564,Order!$C:$C,Order!$G:$G,"",0,1))</f>
        <v>6063T5</v>
      </c>
      <c r="H564" s="4">
        <f>IF($C564="","",_xlfn.XLOOKUP($C564,Order!$C:$C,Order!$H:$H,"",0,1))</f>
        <v>0.11</v>
      </c>
      <c r="I564" s="36">
        <f>IF($C564="","",_xlfn.XLOOKUP($C564,Order!$C:$C,Order!$J:$J,"",0,1))</f>
        <v>300</v>
      </c>
      <c r="J564" s="4" t="str">
        <f>IF(C564="","",Order!$J$16)</f>
        <v>SILVER ANODIZED (FAYP01)</v>
      </c>
      <c r="K564" s="36">
        <f>IF($C564="","",_xlfn.XLOOKUP($C564,Order!$C:$C,Order!$P:$P,"",0,1))</f>
        <v>0</v>
      </c>
      <c r="L564" s="4">
        <f t="shared" si="8"/>
        <v>198</v>
      </c>
    </row>
    <row r="565" spans="2:12" ht="23.25" hidden="1" customHeight="1" x14ac:dyDescent="0.25">
      <c r="B565" s="4">
        <v>560</v>
      </c>
      <c r="C565" s="36" t="str">
        <f>IF(Order!$C$231="","",Order!$C$231)</f>
        <v>MT0080</v>
      </c>
      <c r="D565" s="36" t="str">
        <f>IF($C565="","",_xlfn.XLOOKUP($C565,Order!$C:$C,Order!$D:$D,"",0,1))</f>
        <v>MT0080</v>
      </c>
      <c r="E565" s="4" t="e" vm="415">
        <f>IF($C565="","",_xlfn.XLOOKUP($C565,Order!$C:$C,Order!$E:$E,"",0,1))</f>
        <v>#VALUE!</v>
      </c>
      <c r="F565" s="4">
        <f>IF($C565="","",_xlfn.XLOOKUP($C565,Order!$C:$C,Order!$F:$F,"",0,1))</f>
        <v>6000</v>
      </c>
      <c r="G565" s="4" t="str">
        <f>IF($C565="","",_xlfn.XLOOKUP($C565,Order!$C:$C,Order!$G:$G,"",0,1))</f>
        <v>6063T5</v>
      </c>
      <c r="H565" s="4">
        <f>IF($C565="","",_xlfn.XLOOKUP($C565,Order!$C:$C,Order!$H:$H,"",0,1))</f>
        <v>0.32200000000000001</v>
      </c>
      <c r="I565" s="36">
        <f>IF($C565="","",_xlfn.XLOOKUP($C565,Order!$C:$C,Order!$J:$J,"",0,1))</f>
        <v>0</v>
      </c>
      <c r="J565" s="4" t="str">
        <f>IF(C565="","",Order!$J$16)</f>
        <v>SILVER ANODIZED (FAYP01)</v>
      </c>
      <c r="K565" s="36">
        <f>IF($C565="","",_xlfn.XLOOKUP($C565,Order!$C:$C,Order!$P:$P,"",0,1))</f>
        <v>0</v>
      </c>
      <c r="L565" s="4">
        <f t="shared" si="8"/>
        <v>0</v>
      </c>
    </row>
    <row r="566" spans="2:12" ht="23.25" hidden="1" customHeight="1" x14ac:dyDescent="0.25">
      <c r="B566" s="4">
        <v>561</v>
      </c>
      <c r="C566" s="36" t="str">
        <f>IF(Order!$C$232="","",Order!$C$232)</f>
        <v>MT0088</v>
      </c>
      <c r="D566" s="36" t="str">
        <f>IF($C566="","",_xlfn.XLOOKUP($C566,Order!$C:$C,Order!$D:$D,"",0,1))</f>
        <v>MT0088</v>
      </c>
      <c r="E566" s="4" t="e" vm="416">
        <f>IF($C566="","",_xlfn.XLOOKUP($C566,Order!$C:$C,Order!$E:$E,"",0,1))</f>
        <v>#VALUE!</v>
      </c>
      <c r="F566" s="4">
        <f>IF($C566="","",_xlfn.XLOOKUP($C566,Order!$C:$C,Order!$F:$F,"",0,1))</f>
        <v>6000</v>
      </c>
      <c r="G566" s="4" t="str">
        <f>IF($C566="","",_xlfn.XLOOKUP($C566,Order!$C:$C,Order!$G:$G,"",0,1))</f>
        <v>6063T5</v>
      </c>
      <c r="H566" s="4">
        <f>IF($C566="","",_xlfn.XLOOKUP($C566,Order!$C:$C,Order!$H:$H,"",0,1))</f>
        <v>0.26400000000000001</v>
      </c>
      <c r="I566" s="36">
        <f>IF($C566="","",_xlfn.XLOOKUP($C566,Order!$C:$C,Order!$J:$J,"",0,1))</f>
        <v>0</v>
      </c>
      <c r="J566" s="4" t="str">
        <f>IF(C566="","",Order!$J$16)</f>
        <v>SILVER ANODIZED (FAYP01)</v>
      </c>
      <c r="K566" s="36">
        <f>IF($C566="","",_xlfn.XLOOKUP($C566,Order!$C:$C,Order!$P:$P,"",0,1))</f>
        <v>0</v>
      </c>
      <c r="L566" s="4">
        <f t="shared" si="8"/>
        <v>0</v>
      </c>
    </row>
    <row r="567" spans="2:12" ht="23.25" hidden="1" customHeight="1" x14ac:dyDescent="0.25">
      <c r="B567" s="4">
        <v>562</v>
      </c>
      <c r="C567" s="36" t="str">
        <f>IF(Order!$C$233="","",Order!$C$233)</f>
        <v>MT0089</v>
      </c>
      <c r="D567" s="36" t="str">
        <f>IF($C567="","",_xlfn.XLOOKUP($C567,Order!$C:$C,Order!$D:$D,"",0,1))</f>
        <v>MT0089</v>
      </c>
      <c r="E567" s="4" t="e" vm="417">
        <f>IF($C567="","",_xlfn.XLOOKUP($C567,Order!$C:$C,Order!$E:$E,"",0,1))</f>
        <v>#VALUE!</v>
      </c>
      <c r="F567" s="4">
        <f>IF($C567="","",_xlfn.XLOOKUP($C567,Order!$C:$C,Order!$F:$F,"",0,1))</f>
        <v>6000</v>
      </c>
      <c r="G567" s="4" t="str">
        <f>IF($C567="","",_xlfn.XLOOKUP($C567,Order!$C:$C,Order!$G:$G,"",0,1))</f>
        <v>6063T5</v>
      </c>
      <c r="H567" s="4">
        <f>IF($C567="","",_xlfn.XLOOKUP($C567,Order!$C:$C,Order!$H:$H,"",0,1))</f>
        <v>7.9000000000000001E-2</v>
      </c>
      <c r="I567" s="36">
        <f>IF($C567="","",_xlfn.XLOOKUP($C567,Order!$C:$C,Order!$J:$J,"",0,1))</f>
        <v>0</v>
      </c>
      <c r="J567" s="4" t="str">
        <f>IF(C567="","",Order!$J$16)</f>
        <v>SILVER ANODIZED (FAYP01)</v>
      </c>
      <c r="K567" s="36">
        <f>IF($C567="","",_xlfn.XLOOKUP($C567,Order!$C:$C,Order!$P:$P,"",0,1))</f>
        <v>0</v>
      </c>
      <c r="L567" s="4">
        <f t="shared" si="8"/>
        <v>0</v>
      </c>
    </row>
    <row r="568" spans="2:12" ht="23.25" hidden="1" customHeight="1" x14ac:dyDescent="0.25">
      <c r="B568" s="4">
        <v>563</v>
      </c>
      <c r="C568" s="36" t="str">
        <f>IF(Order!$C$234="","",Order!$C$234)</f>
        <v>MT0090</v>
      </c>
      <c r="D568" s="36" t="str">
        <f>IF($C568="","",_xlfn.XLOOKUP($C568,Order!$C:$C,Order!$D:$D,"",0,1))</f>
        <v>MT0090</v>
      </c>
      <c r="E568" s="4" t="e" vm="418">
        <f>IF($C568="","",_xlfn.XLOOKUP($C568,Order!$C:$C,Order!$E:$E,"",0,1))</f>
        <v>#VALUE!</v>
      </c>
      <c r="F568" s="4">
        <f>IF($C568="","",_xlfn.XLOOKUP($C568,Order!$C:$C,Order!$F:$F,"",0,1))</f>
        <v>6000</v>
      </c>
      <c r="G568" s="4" t="str">
        <f>IF($C568="","",_xlfn.XLOOKUP($C568,Order!$C:$C,Order!$G:$G,"",0,1))</f>
        <v>6063T5</v>
      </c>
      <c r="H568" s="4">
        <f>IF($C568="","",_xlfn.XLOOKUP($C568,Order!$C:$C,Order!$H:$H,"",0,1))</f>
        <v>0.55600000000000005</v>
      </c>
      <c r="I568" s="36">
        <f>IF($C568="","",_xlfn.XLOOKUP($C568,Order!$C:$C,Order!$J:$J,"",0,1))</f>
        <v>0</v>
      </c>
      <c r="J568" s="4" t="str">
        <f>IF(C568="","",Order!$J$16)</f>
        <v>SILVER ANODIZED (FAYP01)</v>
      </c>
      <c r="K568" s="36">
        <f>IF($C568="","",_xlfn.XLOOKUP($C568,Order!$C:$C,Order!$P:$P,"",0,1))</f>
        <v>0</v>
      </c>
      <c r="L568" s="4">
        <f t="shared" si="8"/>
        <v>0</v>
      </c>
    </row>
    <row r="569" spans="2:12" ht="23.25" hidden="1" customHeight="1" x14ac:dyDescent="0.25">
      <c r="B569" s="4">
        <v>564</v>
      </c>
      <c r="C569" s="36" t="str">
        <f>IF(Order!$C$235="","",Order!$C$235)</f>
        <v>BX128</v>
      </c>
      <c r="D569" s="36" t="str">
        <f>IF($C569="","",_xlfn.XLOOKUP($C569,Order!$C:$C,Order!$D:$D,"",0,1))</f>
        <v>BX128</v>
      </c>
      <c r="E569" s="4" t="e" vm="419">
        <f>IF($C569="","",_xlfn.XLOOKUP($C569,Order!$C:$C,Order!$E:$E,"",0,1))</f>
        <v>#VALUE!</v>
      </c>
      <c r="F569" s="4">
        <f>IF($C569="","",_xlfn.XLOOKUP($C569,Order!$C:$C,Order!$F:$F,"",0,1))</f>
        <v>6000</v>
      </c>
      <c r="G569" s="4" t="str">
        <f>IF($C569="","",_xlfn.XLOOKUP($C569,Order!$C:$C,Order!$G:$G,"",0,1))</f>
        <v>6063T5</v>
      </c>
      <c r="H569" s="4">
        <f>IF($C569="","",_xlfn.XLOOKUP($C569,Order!$C:$C,Order!$H:$H,"",0,1))</f>
        <v>0.16900000000000001</v>
      </c>
      <c r="I569" s="36">
        <f>IF($C569="","",_xlfn.XLOOKUP($C569,Order!$C:$C,Order!$J:$J,"",0,1))</f>
        <v>0</v>
      </c>
      <c r="J569" s="4" t="str">
        <f>IF(C569="","",Order!$J$16)</f>
        <v>SILVER ANODIZED (FAYP01)</v>
      </c>
      <c r="K569" s="36">
        <f>IF($C569="","",_xlfn.XLOOKUP($C569,Order!$C:$C,Order!$P:$P,"",0,1))</f>
        <v>0</v>
      </c>
      <c r="L569" s="4">
        <f t="shared" si="8"/>
        <v>0</v>
      </c>
    </row>
    <row r="570" spans="2:12" ht="23.25" customHeight="1" x14ac:dyDescent="0.25">
      <c r="B570" s="4">
        <v>565</v>
      </c>
      <c r="C570" s="36" t="str">
        <f>IF(Order!$C$236="","",Order!$C$236)</f>
        <v>BX626</v>
      </c>
      <c r="D570" s="36" t="str">
        <f>IF($C570="","",_xlfn.XLOOKUP($C570,Order!$C:$C,Order!$D:$D,"",0,1))</f>
        <v>BX626</v>
      </c>
      <c r="E570" s="4" t="e" vm="420">
        <f>IF($C570="","",_xlfn.XLOOKUP($C570,Order!$C:$C,Order!$E:$E,"",0,1))</f>
        <v>#VALUE!</v>
      </c>
      <c r="F570" s="4">
        <f>IF($C570="","",_xlfn.XLOOKUP($C570,Order!$C:$C,Order!$F:$F,"",0,1))</f>
        <v>6000</v>
      </c>
      <c r="G570" s="4" t="str">
        <f>IF($C570="","",_xlfn.XLOOKUP($C570,Order!$C:$C,Order!$G:$G,"",0,1))</f>
        <v>6063T5</v>
      </c>
      <c r="H570" s="4">
        <f>IF($C570="","",_xlfn.XLOOKUP($C570,Order!$C:$C,Order!$H:$H,"",0,1))</f>
        <v>0.13800000000000001</v>
      </c>
      <c r="I570" s="36">
        <f>IF($C570="","",_xlfn.XLOOKUP($C570,Order!$C:$C,Order!$J:$J,"",0,1))</f>
        <v>100</v>
      </c>
      <c r="J570" s="4" t="str">
        <f>IF(C570="","",Order!$J$16)</f>
        <v>SILVER ANODIZED (FAYP01)</v>
      </c>
      <c r="K570" s="36">
        <f>IF($C570="","",_xlfn.XLOOKUP($C570,Order!$C:$C,Order!$P:$P,"",0,1))</f>
        <v>0</v>
      </c>
      <c r="L570" s="4">
        <f t="shared" si="8"/>
        <v>82.800000000000011</v>
      </c>
    </row>
    <row r="571" spans="2:12" ht="23.25" hidden="1" customHeight="1" x14ac:dyDescent="0.25">
      <c r="B571" s="4">
        <v>566</v>
      </c>
      <c r="C571" s="36" t="str">
        <f>IF(Order!$C$237="","",Order!$C$237)</f>
        <v>BT807</v>
      </c>
      <c r="D571" s="36" t="str">
        <f>IF($C571="","",_xlfn.XLOOKUP($C571,Order!$C:$C,Order!$D:$D,"",0,1))</f>
        <v>BT807</v>
      </c>
      <c r="E571" s="4" t="e" vm="421">
        <f>IF($C571="","",_xlfn.XLOOKUP($C571,Order!$C:$C,Order!$E:$E,"",0,1))</f>
        <v>#VALUE!</v>
      </c>
      <c r="F571" s="4">
        <f>IF($C571="","",_xlfn.XLOOKUP($C571,Order!$C:$C,Order!$F:$F,"",0,1))</f>
        <v>6000</v>
      </c>
      <c r="G571" s="4" t="str">
        <f>IF($C571="","",_xlfn.XLOOKUP($C571,Order!$C:$C,Order!$G:$G,"",0,1))</f>
        <v>6063T5</v>
      </c>
      <c r="H571" s="4">
        <f>IF($C571="","",_xlfn.XLOOKUP($C571,Order!$C:$C,Order!$H:$H,"",0,1))</f>
        <v>0.153</v>
      </c>
      <c r="I571" s="36">
        <f>IF($C571="","",_xlfn.XLOOKUP($C571,Order!$C:$C,Order!$J:$J,"",0,1))</f>
        <v>0</v>
      </c>
      <c r="J571" s="4" t="str">
        <f>IF(C571="","",Order!$J$16)</f>
        <v>SILVER ANODIZED (FAYP01)</v>
      </c>
      <c r="K571" s="36">
        <f>IF($C571="","",_xlfn.XLOOKUP($C571,Order!$C:$C,Order!$P:$P,"",0,1))</f>
        <v>0</v>
      </c>
      <c r="L571" s="4">
        <f t="shared" si="8"/>
        <v>0</v>
      </c>
    </row>
    <row r="572" spans="2:12" ht="23.25" hidden="1" customHeight="1" x14ac:dyDescent="0.25">
      <c r="B572" s="4">
        <v>567</v>
      </c>
      <c r="C572" s="36" t="str">
        <f>IF(Order!$C$238="","",Order!$C$238)</f>
        <v>BX013</v>
      </c>
      <c r="D572" s="36" t="str">
        <f>IF($C572="","",_xlfn.XLOOKUP($C572,Order!$C:$C,Order!$D:$D,"",0,1))</f>
        <v>BX013</v>
      </c>
      <c r="E572" s="4" t="e" vm="422">
        <f>IF($C572="","",_xlfn.XLOOKUP($C572,Order!$C:$C,Order!$E:$E,"",0,1))</f>
        <v>#VALUE!</v>
      </c>
      <c r="F572" s="4">
        <f>IF($C572="","",_xlfn.XLOOKUP($C572,Order!$C:$C,Order!$F:$F,"",0,1))</f>
        <v>6000</v>
      </c>
      <c r="G572" s="4" t="str">
        <f>IF($C572="","",_xlfn.XLOOKUP($C572,Order!$C:$C,Order!$G:$G,"",0,1))</f>
        <v>6063T5</v>
      </c>
      <c r="H572" s="4">
        <f>IF($C572="","",_xlfn.XLOOKUP($C572,Order!$C:$C,Order!$H:$H,"",0,1))</f>
        <v>0</v>
      </c>
      <c r="I572" s="36">
        <f>IF($C572="","",_xlfn.XLOOKUP($C572,Order!$C:$C,Order!$J:$J,"",0,1))</f>
        <v>0</v>
      </c>
      <c r="J572" s="4" t="str">
        <f>IF(C572="","",Order!$J$16)</f>
        <v>SILVER ANODIZED (FAYP01)</v>
      </c>
      <c r="K572" s="36">
        <f>IF($C572="","",_xlfn.XLOOKUP($C572,Order!$C:$C,Order!$P:$P,"",0,1))</f>
        <v>0</v>
      </c>
      <c r="L572" s="4">
        <f t="shared" si="8"/>
        <v>0</v>
      </c>
    </row>
    <row r="573" spans="2:12" ht="23.25" hidden="1" customHeight="1" x14ac:dyDescent="0.25">
      <c r="B573" s="4">
        <v>568</v>
      </c>
      <c r="C573" s="36" t="str">
        <f>IF(Order!$C$239="","",Order!$C$239)</f>
        <v>BX014</v>
      </c>
      <c r="D573" s="36" t="str">
        <f>IF($C573="","",_xlfn.XLOOKUP($C573,Order!$C:$C,Order!$D:$D,"",0,1))</f>
        <v>BX014</v>
      </c>
      <c r="E573" s="4" t="e" vm="423">
        <f>IF($C573="","",_xlfn.XLOOKUP($C573,Order!$C:$C,Order!$E:$E,"",0,1))</f>
        <v>#VALUE!</v>
      </c>
      <c r="F573" s="4">
        <f>IF($C573="","",_xlfn.XLOOKUP($C573,Order!$C:$C,Order!$F:$F,"",0,1))</f>
        <v>6000</v>
      </c>
      <c r="G573" s="4" t="str">
        <f>IF($C573="","",_xlfn.XLOOKUP($C573,Order!$C:$C,Order!$G:$G,"",0,1))</f>
        <v>6063T5</v>
      </c>
      <c r="H573" s="4">
        <f>IF($C573="","",_xlfn.XLOOKUP($C573,Order!$C:$C,Order!$H:$H,"",0,1))</f>
        <v>0</v>
      </c>
      <c r="I573" s="36">
        <f>IF($C573="","",_xlfn.XLOOKUP($C573,Order!$C:$C,Order!$J:$J,"",0,1))</f>
        <v>0</v>
      </c>
      <c r="J573" s="4" t="str">
        <f>IF(C573="","",Order!$J$16)</f>
        <v>SILVER ANODIZED (FAYP01)</v>
      </c>
      <c r="K573" s="36">
        <f>IF($C573="","",_xlfn.XLOOKUP($C573,Order!$C:$C,Order!$P:$P,"",0,1))</f>
        <v>0</v>
      </c>
      <c r="L573" s="4">
        <f t="shared" si="8"/>
        <v>0</v>
      </c>
    </row>
    <row r="574" spans="2:12" ht="23.25" hidden="1" customHeight="1" x14ac:dyDescent="0.25">
      <c r="B574" s="4">
        <v>569</v>
      </c>
      <c r="C574" s="36" t="str">
        <f>IF(Order!$C$240="","",Order!$C$240)</f>
        <v>BX016</v>
      </c>
      <c r="D574" s="36" t="str">
        <f>IF($C574="","",_xlfn.XLOOKUP($C574,Order!$C:$C,Order!$D:$D,"",0,1))</f>
        <v>BX016</v>
      </c>
      <c r="E574" s="4" t="e" vm="424">
        <f>IF($C574="","",_xlfn.XLOOKUP($C574,Order!$C:$C,Order!$E:$E,"",0,1))</f>
        <v>#VALUE!</v>
      </c>
      <c r="F574" s="4">
        <f>IF($C574="","",_xlfn.XLOOKUP($C574,Order!$C:$C,Order!$F:$F,"",0,1))</f>
        <v>6000</v>
      </c>
      <c r="G574" s="4" t="str">
        <f>IF($C574="","",_xlfn.XLOOKUP($C574,Order!$C:$C,Order!$G:$G,"",0,1))</f>
        <v>6063T5</v>
      </c>
      <c r="H574" s="4">
        <f>IF($C574="","",_xlfn.XLOOKUP($C574,Order!$C:$C,Order!$H:$H,"",0,1))</f>
        <v>0</v>
      </c>
      <c r="I574" s="36">
        <f>IF($C574="","",_xlfn.XLOOKUP($C574,Order!$C:$C,Order!$J:$J,"",0,1))</f>
        <v>0</v>
      </c>
      <c r="J574" s="4" t="str">
        <f>IF(C574="","",Order!$J$16)</f>
        <v>SILVER ANODIZED (FAYP01)</v>
      </c>
      <c r="K574" s="36">
        <f>IF($C574="","",_xlfn.XLOOKUP($C574,Order!$C:$C,Order!$P:$P,"",0,1))</f>
        <v>0</v>
      </c>
      <c r="L574" s="4">
        <f t="shared" si="8"/>
        <v>0</v>
      </c>
    </row>
    <row r="575" spans="2:12" ht="23.25" hidden="1" customHeight="1" x14ac:dyDescent="0.25">
      <c r="B575" s="4">
        <v>570</v>
      </c>
      <c r="C575" s="36" t="str">
        <f>IF(Order!$C$241="","",Order!$C$241)</f>
        <v>MT0079 (Infeiror de engenharia 10 mm)</v>
      </c>
      <c r="D575" s="36" t="str">
        <f>IF($C575="","",_xlfn.XLOOKUP($C575,Order!$C:$C,Order!$D:$D,"",0,1))</f>
        <v>MT0079</v>
      </c>
      <c r="E575" s="4" t="e" vm="425">
        <f>IF($C575="","",_xlfn.XLOOKUP($C575,Order!$C:$C,Order!$E:$E,"",0,1))</f>
        <v>#VALUE!</v>
      </c>
      <c r="F575" s="4">
        <f>IF($C575="","",_xlfn.XLOOKUP($C575,Order!$C:$C,Order!$F:$F,"",0,1))</f>
        <v>6000</v>
      </c>
      <c r="G575" s="4" t="str">
        <f>IF($C575="","",_xlfn.XLOOKUP($C575,Order!$C:$C,Order!$G:$G,"",0,1))</f>
        <v>6063T5</v>
      </c>
      <c r="H575" s="4">
        <f>IF($C575="","",_xlfn.XLOOKUP($C575,Order!$C:$C,Order!$H:$H,"",0,1))</f>
        <v>0.439</v>
      </c>
      <c r="I575" s="36">
        <f>IF($C575="","",_xlfn.XLOOKUP($C575,Order!$C:$C,Order!$J:$J,"",0,1))</f>
        <v>0</v>
      </c>
      <c r="J575" s="4" t="str">
        <f>IF(C575="","",Order!$J$16)</f>
        <v>SILVER ANODIZED (FAYP01)</v>
      </c>
      <c r="K575" s="36">
        <f>IF($C575="","",_xlfn.XLOOKUP($C575,Order!$C:$C,Order!$P:$P,"",0,1))</f>
        <v>0</v>
      </c>
      <c r="L575" s="4">
        <f t="shared" si="8"/>
        <v>0</v>
      </c>
    </row>
    <row r="576" spans="2:12" ht="23.25" hidden="1" customHeight="1" x14ac:dyDescent="0.25">
      <c r="B576" s="4">
        <v>571</v>
      </c>
      <c r="C576" s="36" t="str">
        <f>IF(Order!$C$242="","",Order!$C$242)</f>
        <v>MT0092 (Inferior engenharia de 10mm)</v>
      </c>
      <c r="D576" s="36" t="str">
        <f>IF($C576="","",_xlfn.XLOOKUP($C576,Order!$C:$C,Order!$D:$D,"",0,1))</f>
        <v>MT0092</v>
      </c>
      <c r="E576" s="4" t="e" vm="426">
        <f>IF($C576="","",_xlfn.XLOOKUP($C576,Order!$C:$C,Order!$E:$E,"",0,1))</f>
        <v>#VALUE!</v>
      </c>
      <c r="F576" s="4">
        <f>IF($C576="","",_xlfn.XLOOKUP($C576,Order!$C:$C,Order!$F:$F,"",0,1))</f>
        <v>6000</v>
      </c>
      <c r="G576" s="4" t="str">
        <f>IF($C576="","",_xlfn.XLOOKUP($C576,Order!$C:$C,Order!$G:$G,"",0,1))</f>
        <v>6063T5</v>
      </c>
      <c r="H576" s="4">
        <f>IF($C576="","",_xlfn.XLOOKUP($C576,Order!$C:$C,Order!$H:$H,"",0,1))</f>
        <v>0.39700000000000002</v>
      </c>
      <c r="I576" s="36">
        <f>IF($C576="","",_xlfn.XLOOKUP($C576,Order!$C:$C,Order!$J:$J,"",0,1))</f>
        <v>0</v>
      </c>
      <c r="J576" s="4" t="str">
        <f>IF(C576="","",Order!$J$16)</f>
        <v>SILVER ANODIZED (FAYP01)</v>
      </c>
      <c r="K576" s="36">
        <f>IF($C576="","",_xlfn.XLOOKUP($C576,Order!$C:$C,Order!$P:$P,"",0,1))</f>
        <v>0</v>
      </c>
      <c r="L576" s="4">
        <f t="shared" si="8"/>
        <v>0</v>
      </c>
    </row>
    <row r="577" spans="2:12" ht="23.25" hidden="1" customHeight="1" x14ac:dyDescent="0.25">
      <c r="B577" s="4">
        <v>572</v>
      </c>
      <c r="C577" s="36" t="str">
        <f>IF(Order!$C$243="","",Order!$C$243)</f>
        <v>MT0093 (Superior engenharia 10 mm)</v>
      </c>
      <c r="D577" s="36" t="str">
        <f>IF($C577="","",_xlfn.XLOOKUP($C577,Order!$C:$C,Order!$D:$D,"",0,1))</f>
        <v>MT0093</v>
      </c>
      <c r="E577" s="4" t="e" vm="427">
        <f>IF($C577="","",_xlfn.XLOOKUP($C577,Order!$C:$C,Order!$E:$E,"",0,1))</f>
        <v>#VALUE!</v>
      </c>
      <c r="F577" s="4">
        <f>IF($C577="","",_xlfn.XLOOKUP($C577,Order!$C:$C,Order!$F:$F,"",0,1))</f>
        <v>6000</v>
      </c>
      <c r="G577" s="4" t="str">
        <f>IF($C577="","",_xlfn.XLOOKUP($C577,Order!$C:$C,Order!$G:$G,"",0,1))</f>
        <v>6063T5</v>
      </c>
      <c r="H577" s="4">
        <f>IF($C577="","",_xlfn.XLOOKUP($C577,Order!$C:$C,Order!$H:$H,"",0,1))</f>
        <v>0.70499999999999996</v>
      </c>
      <c r="I577" s="36">
        <f>IF($C577="","",_xlfn.XLOOKUP($C577,Order!$C:$C,Order!$J:$J,"",0,1))</f>
        <v>0</v>
      </c>
      <c r="J577" s="4" t="str">
        <f>IF(C577="","",Order!$J$16)</f>
        <v>SILVER ANODIZED (FAYP01)</v>
      </c>
      <c r="K577" s="36">
        <f>IF($C577="","",_xlfn.XLOOKUP($C577,Order!$C:$C,Order!$P:$P,"",0,1))</f>
        <v>0</v>
      </c>
      <c r="L577" s="4">
        <f t="shared" si="8"/>
        <v>0</v>
      </c>
    </row>
    <row r="578" spans="2:12" ht="23.25" hidden="1" customHeight="1" x14ac:dyDescent="0.25">
      <c r="B578" s="4">
        <v>573</v>
      </c>
      <c r="C578" s="36" t="str">
        <f>IF(Order!$C$244="","",Order!$C$244)</f>
        <v>MT0094 (Capa engenharia de 10 mm)</v>
      </c>
      <c r="D578" s="36" t="str">
        <f>IF($C578="","",_xlfn.XLOOKUP($C578,Order!$C:$C,Order!$D:$D,"",0,1))</f>
        <v>MT0094</v>
      </c>
      <c r="E578" s="4" t="e" vm="428">
        <f>IF($C578="","",_xlfn.XLOOKUP($C578,Order!$C:$C,Order!$E:$E,"",0,1))</f>
        <v>#VALUE!</v>
      </c>
      <c r="F578" s="4">
        <f>IF($C578="","",_xlfn.XLOOKUP($C578,Order!$C:$C,Order!$F:$F,"",0,1))</f>
        <v>6000</v>
      </c>
      <c r="G578" s="4" t="str">
        <f>IF($C578="","",_xlfn.XLOOKUP($C578,Order!$C:$C,Order!$G:$G,"",0,1))</f>
        <v>6063T5</v>
      </c>
      <c r="H578" s="4">
        <f>IF($C578="","",_xlfn.XLOOKUP($C578,Order!$C:$C,Order!$H:$H,"",0,1))</f>
        <v>0.29399999999999998</v>
      </c>
      <c r="I578" s="36">
        <f>IF($C578="","",_xlfn.XLOOKUP($C578,Order!$C:$C,Order!$J:$J,"",0,1))</f>
        <v>0</v>
      </c>
      <c r="J578" s="4" t="str">
        <f>IF(C578="","",Order!$J$16)</f>
        <v>SILVER ANODIZED (FAYP01)</v>
      </c>
      <c r="K578" s="36">
        <f>IF($C578="","",_xlfn.XLOOKUP($C578,Order!$C:$C,Order!$P:$P,"",0,1))</f>
        <v>0</v>
      </c>
      <c r="L578" s="4">
        <f t="shared" si="8"/>
        <v>0</v>
      </c>
    </row>
    <row r="579" spans="2:12" ht="23.25" hidden="1" customHeight="1" x14ac:dyDescent="0.25">
      <c r="B579" s="4">
        <v>574</v>
      </c>
      <c r="C579" s="36" t="str">
        <f>IF(Order!$C$245="","",Order!$C$245)</f>
        <v>MT0095 (BX330-Click Engenharia de 10 mm)</v>
      </c>
      <c r="D579" s="36" t="str">
        <f>IF($C579="","",_xlfn.XLOOKUP($C579,Order!$C:$C,Order!$D:$D,"",0,1))</f>
        <v>MT0095</v>
      </c>
      <c r="E579" s="4" t="e" vm="429">
        <f>IF($C579="","",_xlfn.XLOOKUP($C579,Order!$C:$C,Order!$E:$E,"",0,1))</f>
        <v>#VALUE!</v>
      </c>
      <c r="F579" s="4">
        <f>IF($C579="","",_xlfn.XLOOKUP($C579,Order!$C:$C,Order!$F:$F,"",0,1))</f>
        <v>6000</v>
      </c>
      <c r="G579" s="4" t="str">
        <f>IF($C579="","",_xlfn.XLOOKUP($C579,Order!$C:$C,Order!$G:$G,"",0,1))</f>
        <v>6063T5</v>
      </c>
      <c r="H579" s="4">
        <f>IF($C579="","",_xlfn.XLOOKUP($C579,Order!$C:$C,Order!$H:$H,"",0,1))</f>
        <v>8.6999999999999994E-2</v>
      </c>
      <c r="I579" s="36">
        <f>IF($C579="","",_xlfn.XLOOKUP($C579,Order!$C:$C,Order!$J:$J,"",0,1))</f>
        <v>0</v>
      </c>
      <c r="J579" s="4" t="str">
        <f>IF(C579="","",Order!$J$16)</f>
        <v>SILVER ANODIZED (FAYP01)</v>
      </c>
      <c r="K579" s="36">
        <f>IF($C579="","",_xlfn.XLOOKUP($C579,Order!$C:$C,Order!$P:$P,"",0,1))</f>
        <v>0</v>
      </c>
      <c r="L579" s="4">
        <f t="shared" si="8"/>
        <v>0</v>
      </c>
    </row>
    <row r="580" spans="2:12" ht="23.25" hidden="1" customHeight="1" x14ac:dyDescent="0.25">
      <c r="B580" s="4">
        <v>575</v>
      </c>
      <c r="C580" s="36" t="str">
        <f>IF(Order!$C$246="","",Order!$C$246)</f>
        <v>BX054 (Inferior simples 10mm)</v>
      </c>
      <c r="D580" s="36" t="str">
        <f>IF($C580="","",_xlfn.XLOOKUP($C580,Order!$C:$C,Order!$D:$D,"",0,1))</f>
        <v>BX054</v>
      </c>
      <c r="E580" s="4" t="e" vm="430">
        <f>IF($C580="","",_xlfn.XLOOKUP($C580,Order!$C:$C,Order!$E:$E,"",0,1))</f>
        <v>#VALUE!</v>
      </c>
      <c r="F580" s="4">
        <f>IF($C580="","",_xlfn.XLOOKUP($C580,Order!$C:$C,Order!$F:$F,"",0,1))</f>
        <v>6000</v>
      </c>
      <c r="G580" s="4" t="str">
        <f>IF($C580="","",_xlfn.XLOOKUP($C580,Order!$C:$C,Order!$G:$G,"",0,1))</f>
        <v>6063T5</v>
      </c>
      <c r="H580" s="4">
        <f>IF($C580="","",_xlfn.XLOOKUP($C580,Order!$C:$C,Order!$H:$H,"",0,1))</f>
        <v>0.28799999999999998</v>
      </c>
      <c r="I580" s="36">
        <f>IF($C580="","",_xlfn.XLOOKUP($C580,Order!$C:$C,Order!$J:$J,"",0,1))</f>
        <v>0</v>
      </c>
      <c r="J580" s="4" t="str">
        <f>IF(C580="","",Order!$J$16)</f>
        <v>SILVER ANODIZED (FAYP01)</v>
      </c>
      <c r="K580" s="36">
        <f>IF($C580="","",_xlfn.XLOOKUP($C580,Order!$C:$C,Order!$P:$P,"",0,1))</f>
        <v>0</v>
      </c>
      <c r="L580" s="4">
        <f t="shared" si="8"/>
        <v>0</v>
      </c>
    </row>
    <row r="581" spans="2:12" ht="23.25" hidden="1" customHeight="1" x14ac:dyDescent="0.25">
      <c r="B581" s="4">
        <v>576</v>
      </c>
      <c r="C581" s="36" t="str">
        <f>IF(Order!$C$247="","",Order!$C$247)</f>
        <v>BX130</v>
      </c>
      <c r="D581" s="36" t="str">
        <f>IF($C581="","",_xlfn.XLOOKUP($C581,Order!$C:$C,Order!$D:$D,"",0,1))</f>
        <v>BX130</v>
      </c>
      <c r="E581" s="4" t="e" vm="431">
        <f>IF($C581="","",_xlfn.XLOOKUP($C581,Order!$C:$C,Order!$E:$E,"",0,1))</f>
        <v>#VALUE!</v>
      </c>
      <c r="F581" s="4">
        <f>IF($C581="","",_xlfn.XLOOKUP($C581,Order!$C:$C,Order!$F:$F,"",0,1))</f>
        <v>6000</v>
      </c>
      <c r="G581" s="4" t="str">
        <f>IF($C581="","",_xlfn.XLOOKUP($C581,Order!$C:$C,Order!$G:$G,"",0,1))</f>
        <v>6063T5</v>
      </c>
      <c r="H581" s="4">
        <f>IF($C581="","",_xlfn.XLOOKUP($C581,Order!$C:$C,Order!$H:$H,"",0,1))</f>
        <v>0.14199999999999999</v>
      </c>
      <c r="I581" s="36">
        <f>IF($C581="","",_xlfn.XLOOKUP($C581,Order!$C:$C,Order!$J:$J,"",0,1))</f>
        <v>0</v>
      </c>
      <c r="J581" s="4" t="str">
        <f>IF(C581="","",Order!$J$16)</f>
        <v>SILVER ANODIZED (FAYP01)</v>
      </c>
      <c r="K581" s="36">
        <f>IF($C581="","",_xlfn.XLOOKUP($C581,Order!$C:$C,Order!$P:$P,"",0,1))</f>
        <v>0</v>
      </c>
      <c r="L581" s="4">
        <f t="shared" si="8"/>
        <v>0</v>
      </c>
    </row>
    <row r="582" spans="2:12" ht="23.25" hidden="1" customHeight="1" x14ac:dyDescent="0.25">
      <c r="B582" s="4">
        <v>577</v>
      </c>
      <c r="C582" s="36" t="str">
        <f>IF(Order!$C$248="","",Order!$C$248)</f>
        <v>BX238</v>
      </c>
      <c r="D582" s="36" t="str">
        <f>IF($C582="","",_xlfn.XLOOKUP($C582,Order!$C:$C,Order!$D:$D,"",0,1))</f>
        <v>BX238</v>
      </c>
      <c r="E582" s="4" t="e" vm="432">
        <f>IF($C582="","",_xlfn.XLOOKUP($C582,Order!$C:$C,Order!$E:$E,"",0,1))</f>
        <v>#VALUE!</v>
      </c>
      <c r="F582" s="4">
        <f>IF($C582="","",_xlfn.XLOOKUP($C582,Order!$C:$C,Order!$F:$F,"",0,1))</f>
        <v>6000</v>
      </c>
      <c r="G582" s="4" t="str">
        <f>IF($C582="","",_xlfn.XLOOKUP($C582,Order!$C:$C,Order!$G:$G,"",0,1))</f>
        <v>6063T5</v>
      </c>
      <c r="H582" s="4">
        <f>IF($C582="","",_xlfn.XLOOKUP($C582,Order!$C:$C,Order!$H:$H,"",0,1))</f>
        <v>0.35699999999999998</v>
      </c>
      <c r="I582" s="36">
        <f>IF($C582="","",_xlfn.XLOOKUP($C582,Order!$C:$C,Order!$J:$J,"",0,1))</f>
        <v>0</v>
      </c>
      <c r="J582" s="4" t="str">
        <f>IF(C582="","",Order!$J$16)</f>
        <v>SILVER ANODIZED (FAYP01)</v>
      </c>
      <c r="K582" s="36">
        <f>IF($C582="","",_xlfn.XLOOKUP($C582,Order!$C:$C,Order!$P:$P,"",0,1))</f>
        <v>0</v>
      </c>
      <c r="L582" s="4">
        <f t="shared" si="8"/>
        <v>0</v>
      </c>
    </row>
    <row r="583" spans="2:12" ht="23.25" hidden="1" customHeight="1" x14ac:dyDescent="0.25">
      <c r="B583" s="4">
        <v>578</v>
      </c>
      <c r="C583" s="36" t="str">
        <f>IF(Order!$C$249="","",Order!$C$249)</f>
        <v/>
      </c>
      <c r="D583" s="36" t="str">
        <f>IF($C583="","",_xlfn.XLOOKUP($C583,Order!$C:$C,Order!$D:$D,"",0,1))</f>
        <v/>
      </c>
      <c r="E583" s="4" t="str">
        <f>IF($C583="","",_xlfn.XLOOKUP($C583,Order!$C:$C,Order!$E:$E,"",0,1))</f>
        <v/>
      </c>
      <c r="F583" s="4" t="str">
        <f>IF($C583="","",_xlfn.XLOOKUP($C583,Order!$C:$C,Order!$F:$F,"",0,1))</f>
        <v/>
      </c>
      <c r="G583" s="4" t="str">
        <f>IF($C583="","",_xlfn.XLOOKUP($C583,Order!$C:$C,Order!$G:$G,"",0,1))</f>
        <v/>
      </c>
      <c r="H583" s="4" t="str">
        <f>IF($C583="","",_xlfn.XLOOKUP($C583,Order!$C:$C,Order!$H:$H,"",0,1))</f>
        <v/>
      </c>
      <c r="I583" s="36" t="str">
        <f>IF($C583="","",_xlfn.XLOOKUP($C583,Order!$C:$C,Order!$J:$J,"",0,1))</f>
        <v/>
      </c>
      <c r="J583" s="4" t="str">
        <f>IF(C583="","",Order!$J$16)</f>
        <v/>
      </c>
      <c r="K583" s="36" t="str">
        <f>IF($C583="","",_xlfn.XLOOKUP($C583,Order!$C:$C,Order!$P:$P,"",0,1))</f>
        <v/>
      </c>
      <c r="L583" s="4" t="str">
        <f t="shared" ref="L583:L646" si="9">IF(C583="","",F583/1000*H583*I583)</f>
        <v/>
      </c>
    </row>
    <row r="584" spans="2:12" ht="23.25" hidden="1" customHeight="1" x14ac:dyDescent="0.25">
      <c r="B584" s="4">
        <v>579</v>
      </c>
      <c r="C584" s="36" t="str">
        <f>IF(Order!$C$250="","",Order!$C$250)</f>
        <v>KP062</v>
      </c>
      <c r="D584" s="36" t="str">
        <f>IF($C584="","",_xlfn.XLOOKUP($C584,Order!$C:$C,Order!$D:$D,"",0,1))</f>
        <v>KP062</v>
      </c>
      <c r="E584" s="4" t="e" vm="433">
        <f>IF($C584="","",_xlfn.XLOOKUP($C584,Order!$C:$C,Order!$E:$E,"",0,1))</f>
        <v>#VALUE!</v>
      </c>
      <c r="F584" s="4">
        <f>IF($C584="","",_xlfn.XLOOKUP($C584,Order!$C:$C,Order!$F:$F,"",0,1))</f>
        <v>6000</v>
      </c>
      <c r="G584" s="4" t="str">
        <f>IF($C584="","",_xlfn.XLOOKUP($C584,Order!$C:$C,Order!$G:$G,"",0,1))</f>
        <v>6063T5</v>
      </c>
      <c r="H584" s="4">
        <f>IF($C584="","",_xlfn.XLOOKUP($C584,Order!$C:$C,Order!$H:$H,"",0,1))</f>
        <v>0.17499999999999999</v>
      </c>
      <c r="I584" s="36">
        <f>IF($C584="","",_xlfn.XLOOKUP($C584,Order!$C:$C,Order!$J:$J,"",0,1))</f>
        <v>0</v>
      </c>
      <c r="J584" s="4" t="str">
        <f>IF(C584="","",Order!$J$16)</f>
        <v>SILVER ANODIZED (FAYP01)</v>
      </c>
      <c r="K584" s="36">
        <f>IF($C584="","",_xlfn.XLOOKUP($C584,Order!$C:$C,Order!$P:$P,"",0,1))</f>
        <v>0</v>
      </c>
      <c r="L584" s="4">
        <f t="shared" si="9"/>
        <v>0</v>
      </c>
    </row>
    <row r="585" spans="2:12" ht="23.25" hidden="1" customHeight="1" x14ac:dyDescent="0.25">
      <c r="B585" s="4">
        <v>580</v>
      </c>
      <c r="C585" s="36" t="str">
        <f>IF(Order!$C$251="","",Order!$C$251)</f>
        <v>KP063</v>
      </c>
      <c r="D585" s="36" t="str">
        <f>IF($C585="","",_xlfn.XLOOKUP($C585,Order!$C:$C,Order!$D:$D,"",0,1))</f>
        <v>KP063</v>
      </c>
      <c r="E585" s="4" t="e" vm="434">
        <f>IF($C585="","",_xlfn.XLOOKUP($C585,Order!$C:$C,Order!$E:$E,"",0,1))</f>
        <v>#VALUE!</v>
      </c>
      <c r="F585" s="4">
        <f>IF($C585="","",_xlfn.XLOOKUP($C585,Order!$C:$C,Order!$F:$F,"",0,1))</f>
        <v>6000</v>
      </c>
      <c r="G585" s="4" t="str">
        <f>IF($C585="","",_xlfn.XLOOKUP($C585,Order!$C:$C,Order!$G:$G,"",0,1))</f>
        <v>6063T5</v>
      </c>
      <c r="H585" s="4">
        <f>IF($C585="","",_xlfn.XLOOKUP($C585,Order!$C:$C,Order!$H:$H,"",0,1))</f>
        <v>0.30199999999999999</v>
      </c>
      <c r="I585" s="36">
        <f>IF($C585="","",_xlfn.XLOOKUP($C585,Order!$C:$C,Order!$J:$J,"",0,1))</f>
        <v>0</v>
      </c>
      <c r="J585" s="4" t="str">
        <f>IF(C585="","",Order!$J$16)</f>
        <v>SILVER ANODIZED (FAYP01)</v>
      </c>
      <c r="K585" s="36">
        <f>IF($C585="","",_xlfn.XLOOKUP($C585,Order!$C:$C,Order!$P:$P,"",0,1))</f>
        <v>0</v>
      </c>
      <c r="L585" s="4">
        <f t="shared" si="9"/>
        <v>0</v>
      </c>
    </row>
    <row r="586" spans="2:12" ht="23.25" hidden="1" customHeight="1" x14ac:dyDescent="0.25">
      <c r="B586" s="4">
        <v>581</v>
      </c>
      <c r="C586" s="36" t="str">
        <f>IF(Order!$C$252="","",Order!$C$252)</f>
        <v>KP064</v>
      </c>
      <c r="D586" s="36" t="str">
        <f>IF($C586="","",_xlfn.XLOOKUP($C586,Order!$C:$C,Order!$D:$D,"",0,1))</f>
        <v>KP064</v>
      </c>
      <c r="E586" s="4" t="e" vm="435">
        <f>IF($C586="","",_xlfn.XLOOKUP($C586,Order!$C:$C,Order!$E:$E,"",0,1))</f>
        <v>#VALUE!</v>
      </c>
      <c r="F586" s="4">
        <f>IF($C586="","",_xlfn.XLOOKUP($C586,Order!$C:$C,Order!$F:$F,"",0,1))</f>
        <v>6000</v>
      </c>
      <c r="G586" s="4" t="str">
        <f>IF($C586="","",_xlfn.XLOOKUP($C586,Order!$C:$C,Order!$G:$G,"",0,1))</f>
        <v>6063T5</v>
      </c>
      <c r="H586" s="4">
        <f>IF($C586="","",_xlfn.XLOOKUP($C586,Order!$C:$C,Order!$H:$H,"",0,1))</f>
        <v>0.308</v>
      </c>
      <c r="I586" s="36">
        <f>IF($C586="","",_xlfn.XLOOKUP($C586,Order!$C:$C,Order!$J:$J,"",0,1))</f>
        <v>0</v>
      </c>
      <c r="J586" s="4" t="str">
        <f>IF(C586="","",Order!$J$16)</f>
        <v>SILVER ANODIZED (FAYP01)</v>
      </c>
      <c r="K586" s="36">
        <f>IF($C586="","",_xlfn.XLOOKUP($C586,Order!$C:$C,Order!$P:$P,"",0,1))</f>
        <v>0</v>
      </c>
      <c r="L586" s="4">
        <f t="shared" si="9"/>
        <v>0</v>
      </c>
    </row>
    <row r="587" spans="2:12" ht="23.25" hidden="1" customHeight="1" x14ac:dyDescent="0.25">
      <c r="B587" s="4">
        <v>582</v>
      </c>
      <c r="C587" s="36" t="str">
        <f>IF(Order!$C$253="","",Order!$C$253)</f>
        <v>DS004</v>
      </c>
      <c r="D587" s="36" t="str">
        <f>IF($C587="","",_xlfn.XLOOKUP($C587,Order!$C:$C,Order!$D:$D,"",0,1))</f>
        <v>DS004</v>
      </c>
      <c r="E587" s="4" t="e" vm="436">
        <f>IF($C587="","",_xlfn.XLOOKUP($C587,Order!$C:$C,Order!$E:$E,"",0,1))</f>
        <v>#VALUE!</v>
      </c>
      <c r="F587" s="4">
        <f>IF($C587="","",_xlfn.XLOOKUP($C587,Order!$C:$C,Order!$F:$F,"",0,1))</f>
        <v>6000</v>
      </c>
      <c r="G587" s="4" t="str">
        <f>IF($C587="","",_xlfn.XLOOKUP($C587,Order!$C:$C,Order!$G:$G,"",0,1))</f>
        <v>6063T5</v>
      </c>
      <c r="H587" s="4">
        <f>IF($C587="","",_xlfn.XLOOKUP($C587,Order!$C:$C,Order!$H:$H,"",0,1))</f>
        <v>0.33200000000000002</v>
      </c>
      <c r="I587" s="36">
        <f>IF($C587="","",_xlfn.XLOOKUP($C587,Order!$C:$C,Order!$J:$J,"",0,1))</f>
        <v>0</v>
      </c>
      <c r="J587" s="4" t="str">
        <f>IF(C587="","",Order!$J$16)</f>
        <v>SILVER ANODIZED (FAYP01)</v>
      </c>
      <c r="K587" s="36">
        <f>IF($C587="","",_xlfn.XLOOKUP($C587,Order!$C:$C,Order!$P:$P,"",0,1))</f>
        <v>0</v>
      </c>
      <c r="L587" s="4">
        <f t="shared" si="9"/>
        <v>0</v>
      </c>
    </row>
    <row r="588" spans="2:12" ht="23.25" hidden="1" customHeight="1" x14ac:dyDescent="0.25">
      <c r="B588" s="4">
        <v>583</v>
      </c>
      <c r="C588" s="36" t="str">
        <f>IF(Order!$C$254="","",Order!$C$254)</f>
        <v>SU079</v>
      </c>
      <c r="D588" s="36" t="str">
        <f>IF($C588="","",_xlfn.XLOOKUP($C588,Order!$C:$C,Order!$D:$D,"",0,1))</f>
        <v>SU079</v>
      </c>
      <c r="E588" s="4" t="e" vm="437">
        <f>IF($C588="","",_xlfn.XLOOKUP($C588,Order!$C:$C,Order!$E:$E,"",0,1))</f>
        <v>#VALUE!</v>
      </c>
      <c r="F588" s="4">
        <f>IF($C588="","",_xlfn.XLOOKUP($C588,Order!$C:$C,Order!$F:$F,"",0,1))</f>
        <v>6000</v>
      </c>
      <c r="G588" s="4" t="str">
        <f>IF($C588="","",_xlfn.XLOOKUP($C588,Order!$C:$C,Order!$G:$G,"",0,1))</f>
        <v>6063T5</v>
      </c>
      <c r="H588" s="4">
        <f>IF($C588="","",_xlfn.XLOOKUP($C588,Order!$C:$C,Order!$H:$H,"",0,1))</f>
        <v>0.30099999999999999</v>
      </c>
      <c r="I588" s="36">
        <f>IF($C588="","",_xlfn.XLOOKUP($C588,Order!$C:$C,Order!$J:$J,"",0,1))</f>
        <v>0</v>
      </c>
      <c r="J588" s="4" t="str">
        <f>IF(C588="","",Order!$J$16)</f>
        <v>SILVER ANODIZED (FAYP01)</v>
      </c>
      <c r="K588" s="36">
        <f>IF($C588="","",_xlfn.XLOOKUP($C588,Order!$C:$C,Order!$P:$P,"",0,1))</f>
        <v>0</v>
      </c>
      <c r="L588" s="4">
        <f t="shared" si="9"/>
        <v>0</v>
      </c>
    </row>
    <row r="589" spans="2:12" ht="23.25" hidden="1" customHeight="1" x14ac:dyDescent="0.25">
      <c r="B589" s="4">
        <v>584</v>
      </c>
      <c r="C589" s="36" t="str">
        <f>IF(Order!$C$255="","",Order!$C$255)</f>
        <v>SU086</v>
      </c>
      <c r="D589" s="36" t="str">
        <f>IF($C589="","",_xlfn.XLOOKUP($C589,Order!$C:$C,Order!$D:$D,"",0,1))</f>
        <v>SU086</v>
      </c>
      <c r="E589" s="4" t="e" vm="438">
        <f>IF($C589="","",_xlfn.XLOOKUP($C589,Order!$C:$C,Order!$E:$E,"",0,1))</f>
        <v>#VALUE!</v>
      </c>
      <c r="F589" s="4">
        <f>IF($C589="","",_xlfn.XLOOKUP($C589,Order!$C:$C,Order!$F:$F,"",0,1))</f>
        <v>6000</v>
      </c>
      <c r="G589" s="4" t="str">
        <f>IF($C589="","",_xlfn.XLOOKUP($C589,Order!$C:$C,Order!$G:$G,"",0,1))</f>
        <v>6063T5</v>
      </c>
      <c r="H589" s="4">
        <f>IF($C589="","",_xlfn.XLOOKUP($C589,Order!$C:$C,Order!$H:$H,"",0,1))</f>
        <v>0.57899999999999996</v>
      </c>
      <c r="I589" s="36">
        <f>IF($C589="","",_xlfn.XLOOKUP($C589,Order!$C:$C,Order!$J:$J,"",0,1))</f>
        <v>0</v>
      </c>
      <c r="J589" s="4" t="str">
        <f>IF(C589="","",Order!$J$16)</f>
        <v>SILVER ANODIZED (FAYP01)</v>
      </c>
      <c r="K589" s="36">
        <f>IF($C589="","",_xlfn.XLOOKUP($C589,Order!$C:$C,Order!$P:$P,"",0,1))</f>
        <v>0</v>
      </c>
      <c r="L589" s="4">
        <f t="shared" si="9"/>
        <v>0</v>
      </c>
    </row>
    <row r="590" spans="2:12" ht="23.25" hidden="1" customHeight="1" x14ac:dyDescent="0.25">
      <c r="B590" s="4">
        <v>585</v>
      </c>
      <c r="C590" s="36" t="str">
        <f>IF(Order!$C$256="","",Order!$C$256)</f>
        <v>SU090</v>
      </c>
      <c r="D590" s="36" t="str">
        <f>IF($C590="","",_xlfn.XLOOKUP($C590,Order!$C:$C,Order!$D:$D,"",0,1))</f>
        <v>SU090</v>
      </c>
      <c r="E590" s="4" t="e" vm="439">
        <f>IF($C590="","",_xlfn.XLOOKUP($C590,Order!$C:$C,Order!$E:$E,"",0,1))</f>
        <v>#VALUE!</v>
      </c>
      <c r="F590" s="4">
        <f>IF($C590="","",_xlfn.XLOOKUP($C590,Order!$C:$C,Order!$F:$F,"",0,1))</f>
        <v>6000</v>
      </c>
      <c r="G590" s="4" t="str">
        <f>IF($C590="","",_xlfn.XLOOKUP($C590,Order!$C:$C,Order!$G:$G,"",0,1))</f>
        <v>6063T5</v>
      </c>
      <c r="H590" s="4">
        <f>IF($C590="","",_xlfn.XLOOKUP($C590,Order!$C:$C,Order!$H:$H,"",0,1))</f>
        <v>0.48399999999999999</v>
      </c>
      <c r="I590" s="36">
        <f>IF($C590="","",_xlfn.XLOOKUP($C590,Order!$C:$C,Order!$J:$J,"",0,1))</f>
        <v>0</v>
      </c>
      <c r="J590" s="4" t="str">
        <f>IF(C590="","",Order!$J$16)</f>
        <v>SILVER ANODIZED (FAYP01)</v>
      </c>
      <c r="K590" s="36">
        <f>IF($C590="","",_xlfn.XLOOKUP($C590,Order!$C:$C,Order!$P:$P,"",0,1))</f>
        <v>0</v>
      </c>
      <c r="L590" s="4">
        <f t="shared" si="9"/>
        <v>0</v>
      </c>
    </row>
    <row r="591" spans="2:12" ht="23.25" hidden="1" customHeight="1" x14ac:dyDescent="0.25">
      <c r="B591" s="4">
        <v>586</v>
      </c>
      <c r="C591" s="36" t="str">
        <f>IF(Order!$C$257="","",Order!$C$257)</f>
        <v>SU091</v>
      </c>
      <c r="D591" s="36" t="str">
        <f>IF($C591="","",_xlfn.XLOOKUP($C591,Order!$C:$C,Order!$D:$D,"",0,1))</f>
        <v>SU091</v>
      </c>
      <c r="E591" s="4" t="e" vm="440">
        <f>IF($C591="","",_xlfn.XLOOKUP($C591,Order!$C:$C,Order!$E:$E,"",0,1))</f>
        <v>#VALUE!</v>
      </c>
      <c r="F591" s="4">
        <f>IF($C591="","",_xlfn.XLOOKUP($C591,Order!$C:$C,Order!$F:$F,"",0,1))</f>
        <v>6000</v>
      </c>
      <c r="G591" s="4" t="str">
        <f>IF($C591="","",_xlfn.XLOOKUP($C591,Order!$C:$C,Order!$G:$G,"",0,1))</f>
        <v>6063T5</v>
      </c>
      <c r="H591" s="4">
        <f>IF($C591="","",_xlfn.XLOOKUP($C591,Order!$C:$C,Order!$H:$H,"",0,1))</f>
        <v>0.42699999999999999</v>
      </c>
      <c r="I591" s="36">
        <f>IF($C591="","",_xlfn.XLOOKUP($C591,Order!$C:$C,Order!$J:$J,"",0,1))</f>
        <v>0</v>
      </c>
      <c r="J591" s="4" t="str">
        <f>IF(C591="","",Order!$J$16)</f>
        <v>SILVER ANODIZED (FAYP01)</v>
      </c>
      <c r="K591" s="36">
        <f>IF($C591="","",_xlfn.XLOOKUP($C591,Order!$C:$C,Order!$P:$P,"",0,1))</f>
        <v>0</v>
      </c>
      <c r="L591" s="4">
        <f t="shared" si="9"/>
        <v>0</v>
      </c>
    </row>
    <row r="592" spans="2:12" ht="23.25" hidden="1" customHeight="1" x14ac:dyDescent="0.25">
      <c r="B592" s="4">
        <v>587</v>
      </c>
      <c r="C592" s="36" t="str">
        <f>IF(Order!$C$258="","",Order!$C$258)</f>
        <v>SU103</v>
      </c>
      <c r="D592" s="36" t="str">
        <f>IF($C592="","",_xlfn.XLOOKUP($C592,Order!$C:$C,Order!$D:$D,"",0,1))</f>
        <v>SU103</v>
      </c>
      <c r="E592" s="4" t="e" vm="441">
        <f>IF($C592="","",_xlfn.XLOOKUP($C592,Order!$C:$C,Order!$E:$E,"",0,1))</f>
        <v>#VALUE!</v>
      </c>
      <c r="F592" s="4">
        <f>IF($C592="","",_xlfn.XLOOKUP($C592,Order!$C:$C,Order!$F:$F,"",0,1))</f>
        <v>6000</v>
      </c>
      <c r="G592" s="4" t="str">
        <f>IF($C592="","",_xlfn.XLOOKUP($C592,Order!$C:$C,Order!$G:$G,"",0,1))</f>
        <v>6063T5</v>
      </c>
      <c r="H592" s="4">
        <f>IF($C592="","",_xlfn.XLOOKUP($C592,Order!$C:$C,Order!$H:$H,"",0,1))</f>
        <v>0.14299999999999999</v>
      </c>
      <c r="I592" s="36">
        <f>IF($C592="","",_xlfn.XLOOKUP($C592,Order!$C:$C,Order!$J:$J,"",0,1))</f>
        <v>0</v>
      </c>
      <c r="J592" s="4" t="str">
        <f>IF(C592="","",Order!$J$16)</f>
        <v>SILVER ANODIZED (FAYP01)</v>
      </c>
      <c r="K592" s="36">
        <f>IF($C592="","",_xlfn.XLOOKUP($C592,Order!$C:$C,Order!$P:$P,"",0,1))</f>
        <v>0</v>
      </c>
      <c r="L592" s="4">
        <f t="shared" si="9"/>
        <v>0</v>
      </c>
    </row>
    <row r="593" spans="2:12" ht="23.25" hidden="1" customHeight="1" x14ac:dyDescent="0.25">
      <c r="B593" s="4">
        <v>588</v>
      </c>
      <c r="C593" s="36" t="str">
        <f>IF(Order!$C$259="","",Order!$C$259)</f>
        <v>SU276</v>
      </c>
      <c r="D593" s="36" t="str">
        <f>IF($C593="","",_xlfn.XLOOKUP($C593,Order!$C:$C,Order!$D:$D,"",0,1))</f>
        <v>SU276</v>
      </c>
      <c r="E593" s="4" t="e" vm="442">
        <f>IF($C593="","",_xlfn.XLOOKUP($C593,Order!$C:$C,Order!$E:$E,"",0,1))</f>
        <v>#VALUE!</v>
      </c>
      <c r="F593" s="4">
        <f>IF($C593="","",_xlfn.XLOOKUP($C593,Order!$C:$C,Order!$F:$F,"",0,1))</f>
        <v>6000</v>
      </c>
      <c r="G593" s="4" t="str">
        <f>IF($C593="","",_xlfn.XLOOKUP($C593,Order!$C:$C,Order!$G:$G,"",0,1))</f>
        <v>6063T5</v>
      </c>
      <c r="H593" s="4">
        <f>IF($C593="","",_xlfn.XLOOKUP($C593,Order!$C:$C,Order!$H:$H,"",0,1))</f>
        <v>0.17199999999999999</v>
      </c>
      <c r="I593" s="36">
        <f>IF($C593="","",_xlfn.XLOOKUP($C593,Order!$C:$C,Order!$J:$J,"",0,1))</f>
        <v>0</v>
      </c>
      <c r="J593" s="4" t="str">
        <f>IF(C593="","",Order!$J$16)</f>
        <v>SILVER ANODIZED (FAYP01)</v>
      </c>
      <c r="K593" s="36">
        <f>IF($C593="","",_xlfn.XLOOKUP($C593,Order!$C:$C,Order!$P:$P,"",0,1))</f>
        <v>0</v>
      </c>
      <c r="L593" s="4">
        <f t="shared" si="9"/>
        <v>0</v>
      </c>
    </row>
    <row r="594" spans="2:12" ht="23.25" hidden="1" customHeight="1" x14ac:dyDescent="0.25">
      <c r="B594" s="4">
        <v>589</v>
      </c>
      <c r="C594" s="36" t="str">
        <f>IF(Order!$C$260="","",Order!$C$260)</f>
        <v>SU302</v>
      </c>
      <c r="D594" s="36" t="str">
        <f>IF($C594="","",_xlfn.XLOOKUP($C594,Order!$C:$C,Order!$D:$D,"",0,1))</f>
        <v>SU302</v>
      </c>
      <c r="E594" s="4" t="e" vm="443">
        <f>IF($C594="","",_xlfn.XLOOKUP($C594,Order!$C:$C,Order!$E:$E,"",0,1))</f>
        <v>#VALUE!</v>
      </c>
      <c r="F594" s="4">
        <f>IF($C594="","",_xlfn.XLOOKUP($C594,Order!$C:$C,Order!$F:$F,"",0,1))</f>
        <v>6000</v>
      </c>
      <c r="G594" s="4" t="str">
        <f>IF($C594="","",_xlfn.XLOOKUP($C594,Order!$C:$C,Order!$G:$G,"",0,1))</f>
        <v>6063T5</v>
      </c>
      <c r="H594" s="4">
        <f>IF($C594="","",_xlfn.XLOOKUP($C594,Order!$C:$C,Order!$H:$H,"",0,1))</f>
        <v>0.22700000000000001</v>
      </c>
      <c r="I594" s="36">
        <f>IF($C594="","",_xlfn.XLOOKUP($C594,Order!$C:$C,Order!$J:$J,"",0,1))</f>
        <v>0</v>
      </c>
      <c r="J594" s="4" t="str">
        <f>IF(C594="","",Order!$J$16)</f>
        <v>SILVER ANODIZED (FAYP01)</v>
      </c>
      <c r="K594" s="36">
        <f>IF($C594="","",_xlfn.XLOOKUP($C594,Order!$C:$C,Order!$P:$P,"",0,1))</f>
        <v>0</v>
      </c>
      <c r="L594" s="4">
        <f t="shared" si="9"/>
        <v>0</v>
      </c>
    </row>
    <row r="595" spans="2:12" ht="23.25" hidden="1" customHeight="1" x14ac:dyDescent="0.25">
      <c r="B595" s="4">
        <v>590</v>
      </c>
      <c r="C595" s="36" t="str">
        <f>IF(Order!$C$261="","",Order!$C$261)</f>
        <v>SU779</v>
      </c>
      <c r="D595" s="36" t="str">
        <f>IF($C595="","",_xlfn.XLOOKUP($C595,Order!$C:$C,Order!$D:$D,"",0,1))</f>
        <v>SU779</v>
      </c>
      <c r="E595" s="4" t="e" vm="444">
        <f>IF($C595="","",_xlfn.XLOOKUP($C595,Order!$C:$C,Order!$E:$E,"",0,1))</f>
        <v>#VALUE!</v>
      </c>
      <c r="F595" s="4">
        <f>IF($C595="","",_xlfn.XLOOKUP($C595,Order!$C:$C,Order!$F:$F,"",0,1))</f>
        <v>6000</v>
      </c>
      <c r="G595" s="4" t="str">
        <f>IF($C595="","",_xlfn.XLOOKUP($C595,Order!$C:$C,Order!$G:$G,"",0,1))</f>
        <v>6063T5</v>
      </c>
      <c r="H595" s="4">
        <f>IF($C595="","",_xlfn.XLOOKUP($C595,Order!$C:$C,Order!$H:$H,"",0,1))</f>
        <v>0.378</v>
      </c>
      <c r="I595" s="36">
        <f>IF($C595="","",_xlfn.XLOOKUP($C595,Order!$C:$C,Order!$J:$J,"",0,1))</f>
        <v>0</v>
      </c>
      <c r="J595" s="4" t="str">
        <f>IF(C595="","",Order!$J$16)</f>
        <v>SILVER ANODIZED (FAYP01)</v>
      </c>
      <c r="K595" s="36">
        <f>IF($C595="","",_xlfn.XLOOKUP($C595,Order!$C:$C,Order!$P:$P,"",0,1))</f>
        <v>0</v>
      </c>
      <c r="L595" s="4">
        <f t="shared" si="9"/>
        <v>0</v>
      </c>
    </row>
    <row r="596" spans="2:12" ht="23.25" hidden="1" customHeight="1" x14ac:dyDescent="0.25">
      <c r="B596" s="4">
        <v>591</v>
      </c>
      <c r="C596" s="36" t="str">
        <f>IF(Order!$C$262="","",Order!$C$262)</f>
        <v>SU004</v>
      </c>
      <c r="D596" s="36" t="str">
        <f>IF($C596="","",_xlfn.XLOOKUP($C596,Order!$C:$C,Order!$D:$D,"",0,1))</f>
        <v>SU004</v>
      </c>
      <c r="E596" s="4" t="e" vm="445">
        <f>IF($C596="","",_xlfn.XLOOKUP($C596,Order!$C:$C,Order!$E:$E,"",0,1))</f>
        <v>#VALUE!</v>
      </c>
      <c r="F596" s="4">
        <f>IF($C596="","",_xlfn.XLOOKUP($C596,Order!$C:$C,Order!$F:$F,"",0,1))</f>
        <v>6000</v>
      </c>
      <c r="G596" s="4" t="str">
        <f>IF($C596="","",_xlfn.XLOOKUP($C596,Order!$C:$C,Order!$G:$G,"",0,1))</f>
        <v>6063T5</v>
      </c>
      <c r="H596" s="4">
        <f>IF($C596="","",_xlfn.XLOOKUP($C596,Order!$C:$C,Order!$H:$H,"",0,1))</f>
        <v>0.47799999999999998</v>
      </c>
      <c r="I596" s="36">
        <f>IF($C596="","",_xlfn.XLOOKUP($C596,Order!$C:$C,Order!$J:$J,"",0,1))</f>
        <v>0</v>
      </c>
      <c r="J596" s="4" t="str">
        <f>IF(C596="","",Order!$J$16)</f>
        <v>SILVER ANODIZED (FAYP01)</v>
      </c>
      <c r="K596" s="36">
        <f>IF($C596="","",_xlfn.XLOOKUP($C596,Order!$C:$C,Order!$P:$P,"",0,1))</f>
        <v>0</v>
      </c>
      <c r="L596" s="4">
        <f t="shared" si="9"/>
        <v>0</v>
      </c>
    </row>
    <row r="597" spans="2:12" ht="23.25" hidden="1" customHeight="1" x14ac:dyDescent="0.25">
      <c r="B597" s="4">
        <v>592</v>
      </c>
      <c r="C597" s="36" t="str">
        <f>IF(Order!$C$263="","",Order!$C$263)</f>
        <v>SU005</v>
      </c>
      <c r="D597" s="36" t="str">
        <f>IF($C597="","",_xlfn.XLOOKUP($C597,Order!$C:$C,Order!$D:$D,"",0,1))</f>
        <v>SU005</v>
      </c>
      <c r="E597" s="4" t="e" vm="446">
        <f>IF($C597="","",_xlfn.XLOOKUP($C597,Order!$C:$C,Order!$E:$E,"",0,1))</f>
        <v>#VALUE!</v>
      </c>
      <c r="F597" s="4">
        <f>IF($C597="","",_xlfn.XLOOKUP($C597,Order!$C:$C,Order!$F:$F,"",0,1))</f>
        <v>6000</v>
      </c>
      <c r="G597" s="4" t="str">
        <f>IF($C597="","",_xlfn.XLOOKUP($C597,Order!$C:$C,Order!$G:$G,"",0,1))</f>
        <v>6063T5</v>
      </c>
      <c r="H597" s="4">
        <f>IF($C597="","",_xlfn.XLOOKUP($C597,Order!$C:$C,Order!$H:$H,"",0,1))</f>
        <v>1.012</v>
      </c>
      <c r="I597" s="36">
        <f>IF($C597="","",_xlfn.XLOOKUP($C597,Order!$C:$C,Order!$J:$J,"",0,1))</f>
        <v>0</v>
      </c>
      <c r="J597" s="4" t="str">
        <f>IF(C597="","",Order!$J$16)</f>
        <v>SILVER ANODIZED (FAYP01)</v>
      </c>
      <c r="K597" s="36">
        <f>IF($C597="","",_xlfn.XLOOKUP($C597,Order!$C:$C,Order!$P:$P,"",0,1))</f>
        <v>0</v>
      </c>
      <c r="L597" s="4">
        <f t="shared" si="9"/>
        <v>0</v>
      </c>
    </row>
    <row r="598" spans="2:12" ht="23.25" hidden="1" customHeight="1" x14ac:dyDescent="0.25">
      <c r="B598" s="4">
        <v>593</v>
      </c>
      <c r="C598" s="36" t="str">
        <f>IF(Order!$C$264="","",Order!$C$264)</f>
        <v>SU006</v>
      </c>
      <c r="D598" s="36" t="str">
        <f>IF($C598="","",_xlfn.XLOOKUP($C598,Order!$C:$C,Order!$D:$D,"",0,1))</f>
        <v>SU006</v>
      </c>
      <c r="E598" s="4" t="e" vm="447">
        <f>IF($C598="","",_xlfn.XLOOKUP($C598,Order!$C:$C,Order!$E:$E,"",0,1))</f>
        <v>#VALUE!</v>
      </c>
      <c r="F598" s="4">
        <f>IF($C598="","",_xlfn.XLOOKUP($C598,Order!$C:$C,Order!$F:$F,"",0,1))</f>
        <v>6000</v>
      </c>
      <c r="G598" s="4" t="str">
        <f>IF($C598="","",_xlfn.XLOOKUP($C598,Order!$C:$C,Order!$G:$G,"",0,1))</f>
        <v>6063T5</v>
      </c>
      <c r="H598" s="4">
        <f>IF($C598="","",_xlfn.XLOOKUP($C598,Order!$C:$C,Order!$H:$H,"",0,1))</f>
        <v>0.98399999999999999</v>
      </c>
      <c r="I598" s="36">
        <f>IF($C598="","",_xlfn.XLOOKUP($C598,Order!$C:$C,Order!$J:$J,"",0,1))</f>
        <v>0</v>
      </c>
      <c r="J598" s="4" t="str">
        <f>IF(C598="","",Order!$J$16)</f>
        <v>SILVER ANODIZED (FAYP01)</v>
      </c>
      <c r="K598" s="36">
        <f>IF($C598="","",_xlfn.XLOOKUP($C598,Order!$C:$C,Order!$P:$P,"",0,1))</f>
        <v>0</v>
      </c>
      <c r="L598" s="4">
        <f t="shared" si="9"/>
        <v>0</v>
      </c>
    </row>
    <row r="599" spans="2:12" ht="23.25" hidden="1" customHeight="1" x14ac:dyDescent="0.25">
      <c r="B599" s="4">
        <v>594</v>
      </c>
      <c r="C599" s="36" t="str">
        <f>IF(Order!$C$265="","",Order!$C$265)</f>
        <v>SU007</v>
      </c>
      <c r="D599" s="36" t="str">
        <f>IF($C599="","",_xlfn.XLOOKUP($C599,Order!$C:$C,Order!$D:$D,"",0,1))</f>
        <v>SU007</v>
      </c>
      <c r="E599" s="4" t="e" vm="448">
        <f>IF($C599="","",_xlfn.XLOOKUP($C599,Order!$C:$C,Order!$E:$E,"",0,1))</f>
        <v>#VALUE!</v>
      </c>
      <c r="F599" s="4">
        <f>IF($C599="","",_xlfn.XLOOKUP($C599,Order!$C:$C,Order!$F:$F,"",0,1))</f>
        <v>6000</v>
      </c>
      <c r="G599" s="4" t="str">
        <f>IF($C599="","",_xlfn.XLOOKUP($C599,Order!$C:$C,Order!$G:$G,"",0,1))</f>
        <v>6063T5</v>
      </c>
      <c r="H599" s="4">
        <f>IF($C599="","",_xlfn.XLOOKUP($C599,Order!$C:$C,Order!$H:$H,"",0,1))</f>
        <v>0.38100000000000001</v>
      </c>
      <c r="I599" s="36">
        <f>IF($C599="","",_xlfn.XLOOKUP($C599,Order!$C:$C,Order!$J:$J,"",0,1))</f>
        <v>0</v>
      </c>
      <c r="J599" s="4" t="str">
        <f>IF(C599="","",Order!$J$16)</f>
        <v>SILVER ANODIZED (FAYP01)</v>
      </c>
      <c r="K599" s="36">
        <f>IF($C599="","",_xlfn.XLOOKUP($C599,Order!$C:$C,Order!$P:$P,"",0,1))</f>
        <v>0</v>
      </c>
      <c r="L599" s="4">
        <f t="shared" si="9"/>
        <v>0</v>
      </c>
    </row>
    <row r="600" spans="2:12" ht="23.25" hidden="1" customHeight="1" x14ac:dyDescent="0.25">
      <c r="B600" s="4">
        <v>595</v>
      </c>
      <c r="C600" s="36" t="str">
        <f>IF(Order!$C$266="","",Order!$C$266)</f>
        <v>SU009</v>
      </c>
      <c r="D600" s="36" t="str">
        <f>IF($C600="","",_xlfn.XLOOKUP($C600,Order!$C:$C,Order!$D:$D,"",0,1))</f>
        <v>SU009</v>
      </c>
      <c r="E600" s="4" t="e" vm="449">
        <f>IF($C600="","",_xlfn.XLOOKUP($C600,Order!$C:$C,Order!$E:$E,"",0,1))</f>
        <v>#VALUE!</v>
      </c>
      <c r="F600" s="4">
        <f>IF($C600="","",_xlfn.XLOOKUP($C600,Order!$C:$C,Order!$F:$F,"",0,1))</f>
        <v>6000</v>
      </c>
      <c r="G600" s="4" t="str">
        <f>IF($C600="","",_xlfn.XLOOKUP($C600,Order!$C:$C,Order!$G:$G,"",0,1))</f>
        <v>6063T5</v>
      </c>
      <c r="H600" s="4">
        <f>IF($C600="","",_xlfn.XLOOKUP($C600,Order!$C:$C,Order!$H:$H,"",0,1))</f>
        <v>1.0669999999999999</v>
      </c>
      <c r="I600" s="36">
        <f>IF($C600="","",_xlfn.XLOOKUP($C600,Order!$C:$C,Order!$J:$J,"",0,1))</f>
        <v>0</v>
      </c>
      <c r="J600" s="4" t="str">
        <f>IF(C600="","",Order!$J$16)</f>
        <v>SILVER ANODIZED (FAYP01)</v>
      </c>
      <c r="K600" s="36">
        <f>IF($C600="","",_xlfn.XLOOKUP($C600,Order!$C:$C,Order!$P:$P,"",0,1))</f>
        <v>0</v>
      </c>
      <c r="L600" s="4">
        <f t="shared" si="9"/>
        <v>0</v>
      </c>
    </row>
    <row r="601" spans="2:12" ht="23.25" hidden="1" customHeight="1" x14ac:dyDescent="0.25">
      <c r="B601" s="4">
        <v>596</v>
      </c>
      <c r="C601" s="36" t="str">
        <f>IF(Order!$C$267="","",Order!$C$267)</f>
        <v>SU010</v>
      </c>
      <c r="D601" s="36" t="str">
        <f>IF($C601="","",_xlfn.XLOOKUP($C601,Order!$C:$C,Order!$D:$D,"",0,1))</f>
        <v>SU010</v>
      </c>
      <c r="E601" s="4" t="e" vm="450">
        <f>IF($C601="","",_xlfn.XLOOKUP($C601,Order!$C:$C,Order!$E:$E,"",0,1))</f>
        <v>#VALUE!</v>
      </c>
      <c r="F601" s="4">
        <f>IF($C601="","",_xlfn.XLOOKUP($C601,Order!$C:$C,Order!$F:$F,"",0,1))</f>
        <v>6000</v>
      </c>
      <c r="G601" s="4" t="str">
        <f>IF($C601="","",_xlfn.XLOOKUP($C601,Order!$C:$C,Order!$G:$G,"",0,1))</f>
        <v>6063T5</v>
      </c>
      <c r="H601" s="4">
        <f>IF($C601="","",_xlfn.XLOOKUP($C601,Order!$C:$C,Order!$H:$H,"",0,1))</f>
        <v>1.0349999999999999</v>
      </c>
      <c r="I601" s="36">
        <f>IF($C601="","",_xlfn.XLOOKUP($C601,Order!$C:$C,Order!$J:$J,"",0,1))</f>
        <v>0</v>
      </c>
      <c r="J601" s="4" t="str">
        <f>IF(C601="","",Order!$J$16)</f>
        <v>SILVER ANODIZED (FAYP01)</v>
      </c>
      <c r="K601" s="36">
        <f>IF($C601="","",_xlfn.XLOOKUP($C601,Order!$C:$C,Order!$P:$P,"",0,1))</f>
        <v>0</v>
      </c>
      <c r="L601" s="4">
        <f t="shared" si="9"/>
        <v>0</v>
      </c>
    </row>
    <row r="602" spans="2:12" ht="23.25" hidden="1" customHeight="1" x14ac:dyDescent="0.25">
      <c r="B602" s="4">
        <v>597</v>
      </c>
      <c r="C602" s="36" t="str">
        <f>IF(Order!$C$268="","",Order!$C$268)</f>
        <v>SU011</v>
      </c>
      <c r="D602" s="36" t="str">
        <f>IF($C602="","",_xlfn.XLOOKUP($C602,Order!$C:$C,Order!$D:$D,"",0,1))</f>
        <v>SU011</v>
      </c>
      <c r="E602" s="4" t="e" vm="451">
        <f>IF($C602="","",_xlfn.XLOOKUP($C602,Order!$C:$C,Order!$E:$E,"",0,1))</f>
        <v>#VALUE!</v>
      </c>
      <c r="F602" s="4">
        <f>IF($C602="","",_xlfn.XLOOKUP($C602,Order!$C:$C,Order!$F:$F,"",0,1))</f>
        <v>6000</v>
      </c>
      <c r="G602" s="4" t="str">
        <f>IF($C602="","",_xlfn.XLOOKUP($C602,Order!$C:$C,Order!$G:$G,"",0,1))</f>
        <v>6063T5</v>
      </c>
      <c r="H602" s="4">
        <f>IF($C602="","",_xlfn.XLOOKUP($C602,Order!$C:$C,Order!$H:$H,"",0,1))</f>
        <v>0.97299999999999998</v>
      </c>
      <c r="I602" s="36">
        <f>IF($C602="","",_xlfn.XLOOKUP($C602,Order!$C:$C,Order!$J:$J,"",0,1))</f>
        <v>0</v>
      </c>
      <c r="J602" s="4" t="str">
        <f>IF(C602="","",Order!$J$16)</f>
        <v>SILVER ANODIZED (FAYP01)</v>
      </c>
      <c r="K602" s="36">
        <f>IF($C602="","",_xlfn.XLOOKUP($C602,Order!$C:$C,Order!$P:$P,"",0,1))</f>
        <v>0</v>
      </c>
      <c r="L602" s="4">
        <f t="shared" si="9"/>
        <v>0</v>
      </c>
    </row>
    <row r="603" spans="2:12" ht="23.25" hidden="1" customHeight="1" x14ac:dyDescent="0.25">
      <c r="B603" s="4">
        <v>598</v>
      </c>
      <c r="C603" s="36" t="str">
        <f>IF(Order!$C$269="","",Order!$C$269)</f>
        <v>SU012</v>
      </c>
      <c r="D603" s="36" t="str">
        <f>IF($C603="","",_xlfn.XLOOKUP($C603,Order!$C:$C,Order!$D:$D,"",0,1))</f>
        <v>SU012</v>
      </c>
      <c r="E603" s="4" t="e" vm="452">
        <f>IF($C603="","",_xlfn.XLOOKUP($C603,Order!$C:$C,Order!$E:$E,"",0,1))</f>
        <v>#VALUE!</v>
      </c>
      <c r="F603" s="4">
        <f>IF($C603="","",_xlfn.XLOOKUP($C603,Order!$C:$C,Order!$F:$F,"",0,1))</f>
        <v>6000</v>
      </c>
      <c r="G603" s="4" t="str">
        <f>IF($C603="","",_xlfn.XLOOKUP($C603,Order!$C:$C,Order!$G:$G,"",0,1))</f>
        <v>6063T5</v>
      </c>
      <c r="H603" s="4">
        <f>IF($C603="","",_xlfn.XLOOKUP($C603,Order!$C:$C,Order!$H:$H,"",0,1))</f>
        <v>0.47499999999999998</v>
      </c>
      <c r="I603" s="36">
        <f>IF($C603="","",_xlfn.XLOOKUP($C603,Order!$C:$C,Order!$J:$J,"",0,1))</f>
        <v>0</v>
      </c>
      <c r="J603" s="4" t="str">
        <f>IF(C603="","",Order!$J$16)</f>
        <v>SILVER ANODIZED (FAYP01)</v>
      </c>
      <c r="K603" s="36">
        <f>IF($C603="","",_xlfn.XLOOKUP($C603,Order!$C:$C,Order!$P:$P,"",0,1))</f>
        <v>0</v>
      </c>
      <c r="L603" s="4">
        <f t="shared" si="9"/>
        <v>0</v>
      </c>
    </row>
    <row r="604" spans="2:12" ht="23.25" hidden="1" customHeight="1" x14ac:dyDescent="0.25">
      <c r="B604" s="4">
        <v>599</v>
      </c>
      <c r="C604" s="36" t="str">
        <f>IF(Order!$C$270="","",Order!$C$270)</f>
        <v>SU121</v>
      </c>
      <c r="D604" s="36" t="str">
        <f>IF($C604="","",_xlfn.XLOOKUP($C604,Order!$C:$C,Order!$D:$D,"",0,1))</f>
        <v>SU121</v>
      </c>
      <c r="E604" s="4" t="e" vm="453">
        <f>IF($C604="","",_xlfn.XLOOKUP($C604,Order!$C:$C,Order!$E:$E,"",0,1))</f>
        <v>#VALUE!</v>
      </c>
      <c r="F604" s="4">
        <f>IF($C604="","",_xlfn.XLOOKUP($C604,Order!$C:$C,Order!$F:$F,"",0,1))</f>
        <v>6000</v>
      </c>
      <c r="G604" s="4" t="str">
        <f>IF($C604="","",_xlfn.XLOOKUP($C604,Order!$C:$C,Order!$G:$G,"",0,1))</f>
        <v>6063T5</v>
      </c>
      <c r="H604" s="4">
        <f>IF($C604="","",_xlfn.XLOOKUP($C604,Order!$C:$C,Order!$H:$H,"",0,1))</f>
        <v>1.423</v>
      </c>
      <c r="I604" s="36">
        <f>IF($C604="","",_xlfn.XLOOKUP($C604,Order!$C:$C,Order!$J:$J,"",0,1))</f>
        <v>0</v>
      </c>
      <c r="J604" s="4" t="str">
        <f>IF(C604="","",Order!$J$16)</f>
        <v>SILVER ANODIZED (FAYP01)</v>
      </c>
      <c r="K604" s="36">
        <f>IF($C604="","",_xlfn.XLOOKUP($C604,Order!$C:$C,Order!$P:$P,"",0,1))</f>
        <v>0</v>
      </c>
      <c r="L604" s="4">
        <f t="shared" si="9"/>
        <v>0</v>
      </c>
    </row>
    <row r="605" spans="2:12" ht="23.25" hidden="1" customHeight="1" x14ac:dyDescent="0.25">
      <c r="B605" s="4">
        <v>600</v>
      </c>
      <c r="C605" s="36" t="str">
        <f>IF(Order!$C$271="","",Order!$C$271)</f>
        <v>SU122</v>
      </c>
      <c r="D605" s="36" t="str">
        <f>IF($C605="","",_xlfn.XLOOKUP($C605,Order!$C:$C,Order!$D:$D,"",0,1))</f>
        <v>SU122</v>
      </c>
      <c r="E605" s="4" t="e" vm="454">
        <f>IF($C605="","",_xlfn.XLOOKUP($C605,Order!$C:$C,Order!$E:$E,"",0,1))</f>
        <v>#VALUE!</v>
      </c>
      <c r="F605" s="4">
        <f>IF($C605="","",_xlfn.XLOOKUP($C605,Order!$C:$C,Order!$F:$F,"",0,1))</f>
        <v>6000</v>
      </c>
      <c r="G605" s="4" t="str">
        <f>IF($C605="","",_xlfn.XLOOKUP($C605,Order!$C:$C,Order!$G:$G,"",0,1))</f>
        <v>6063T5</v>
      </c>
      <c r="H605" s="4">
        <f>IF($C605="","",_xlfn.XLOOKUP($C605,Order!$C:$C,Order!$H:$H,"",0,1))</f>
        <v>1.46</v>
      </c>
      <c r="I605" s="36">
        <f>IF($C605="","",_xlfn.XLOOKUP($C605,Order!$C:$C,Order!$J:$J,"",0,1))</f>
        <v>0</v>
      </c>
      <c r="J605" s="4" t="str">
        <f>IF(C605="","",Order!$J$16)</f>
        <v>SILVER ANODIZED (FAYP01)</v>
      </c>
      <c r="K605" s="36">
        <f>IF($C605="","",_xlfn.XLOOKUP($C605,Order!$C:$C,Order!$P:$P,"",0,1))</f>
        <v>0</v>
      </c>
      <c r="L605" s="4">
        <f t="shared" si="9"/>
        <v>0</v>
      </c>
    </row>
    <row r="606" spans="2:12" ht="23.25" hidden="1" customHeight="1" x14ac:dyDescent="0.25">
      <c r="B606" s="4">
        <v>601</v>
      </c>
      <c r="C606" s="36" t="str">
        <f>IF(Order!$C$272="","",Order!$C$272)</f>
        <v>SU123</v>
      </c>
      <c r="D606" s="36" t="str">
        <f>IF($C606="","",_xlfn.XLOOKUP($C606,Order!$C:$C,Order!$D:$D,"",0,1))</f>
        <v>SU123</v>
      </c>
      <c r="E606" s="4" t="e" vm="455">
        <f>IF($C606="","",_xlfn.XLOOKUP($C606,Order!$C:$C,Order!$E:$E,"",0,1))</f>
        <v>#VALUE!</v>
      </c>
      <c r="F606" s="4">
        <f>IF($C606="","",_xlfn.XLOOKUP($C606,Order!$C:$C,Order!$F:$F,"",0,1))</f>
        <v>6000</v>
      </c>
      <c r="G606" s="4" t="str">
        <f>IF($C606="","",_xlfn.XLOOKUP($C606,Order!$C:$C,Order!$G:$G,"",0,1))</f>
        <v>6063T5</v>
      </c>
      <c r="H606" s="4">
        <f>IF($C606="","",_xlfn.XLOOKUP($C606,Order!$C:$C,Order!$H:$H,"",0,1))</f>
        <v>0.84799999999999998</v>
      </c>
      <c r="I606" s="36">
        <f>IF($C606="","",_xlfn.XLOOKUP($C606,Order!$C:$C,Order!$J:$J,"",0,1))</f>
        <v>0</v>
      </c>
      <c r="J606" s="4" t="str">
        <f>IF(C606="","",Order!$J$16)</f>
        <v>SILVER ANODIZED (FAYP01)</v>
      </c>
      <c r="K606" s="36">
        <f>IF($C606="","",_xlfn.XLOOKUP($C606,Order!$C:$C,Order!$P:$P,"",0,1))</f>
        <v>0</v>
      </c>
      <c r="L606" s="4">
        <f t="shared" si="9"/>
        <v>0</v>
      </c>
    </row>
    <row r="607" spans="2:12" ht="23.25" hidden="1" customHeight="1" x14ac:dyDescent="0.25">
      <c r="B607" s="4">
        <v>602</v>
      </c>
      <c r="C607" s="36" t="str">
        <f>IF(Order!$C$273="","",Order!$C$273)</f>
        <v>SU230</v>
      </c>
      <c r="D607" s="36" t="str">
        <f>IF($C607="","",_xlfn.XLOOKUP($C607,Order!$C:$C,Order!$D:$D,"",0,1))</f>
        <v>SU230</v>
      </c>
      <c r="E607" s="4" t="e" vm="456">
        <f>IF($C607="","",_xlfn.XLOOKUP($C607,Order!$C:$C,Order!$E:$E,"",0,1))</f>
        <v>#VALUE!</v>
      </c>
      <c r="F607" s="4">
        <f>IF($C607="","",_xlfn.XLOOKUP($C607,Order!$C:$C,Order!$F:$F,"",0,1))</f>
        <v>6000</v>
      </c>
      <c r="G607" s="4" t="str">
        <f>IF($C607="","",_xlfn.XLOOKUP($C607,Order!$C:$C,Order!$G:$G,"",0,1))</f>
        <v>6063T5</v>
      </c>
      <c r="H607" s="4">
        <f>IF($C607="","",_xlfn.XLOOKUP($C607,Order!$C:$C,Order!$H:$H,"",0,1))</f>
        <v>0.88100000000000001</v>
      </c>
      <c r="I607" s="36">
        <f>IF($C607="","",_xlfn.XLOOKUP($C607,Order!$C:$C,Order!$J:$J,"",0,1))</f>
        <v>0</v>
      </c>
      <c r="J607" s="4" t="str">
        <f>IF(C607="","",Order!$J$16)</f>
        <v>SILVER ANODIZED (FAYP01)</v>
      </c>
      <c r="K607" s="36">
        <f>IF($C607="","",_xlfn.XLOOKUP($C607,Order!$C:$C,Order!$P:$P,"",0,1))</f>
        <v>0</v>
      </c>
      <c r="L607" s="4">
        <f t="shared" si="9"/>
        <v>0</v>
      </c>
    </row>
    <row r="608" spans="2:12" ht="23.25" hidden="1" customHeight="1" x14ac:dyDescent="0.25">
      <c r="B608" s="4">
        <v>603</v>
      </c>
      <c r="C608" s="36" t="str">
        <f>IF(Order!$C$274="","",Order!$C$274)</f>
        <v>SU238</v>
      </c>
      <c r="D608" s="36" t="str">
        <f>IF($C608="","",_xlfn.XLOOKUP($C608,Order!$C:$C,Order!$D:$D,"",0,1))</f>
        <v>SU238</v>
      </c>
      <c r="E608" s="4" t="e" vm="457">
        <f>IF($C608="","",_xlfn.XLOOKUP($C608,Order!$C:$C,Order!$E:$E,"",0,1))</f>
        <v>#VALUE!</v>
      </c>
      <c r="F608" s="4">
        <f>IF($C608="","",_xlfn.XLOOKUP($C608,Order!$C:$C,Order!$F:$F,"",0,1))</f>
        <v>6000</v>
      </c>
      <c r="G608" s="4" t="str">
        <f>IF($C608="","",_xlfn.XLOOKUP($C608,Order!$C:$C,Order!$G:$G,"",0,1))</f>
        <v>6063T5</v>
      </c>
      <c r="H608" s="4">
        <f>IF($C608="","",_xlfn.XLOOKUP($C608,Order!$C:$C,Order!$H:$H,"",0,1))</f>
        <v>0.72699999999999998</v>
      </c>
      <c r="I608" s="36">
        <f>IF($C608="","",_xlfn.XLOOKUP($C608,Order!$C:$C,Order!$J:$J,"",0,1))</f>
        <v>0</v>
      </c>
      <c r="J608" s="4" t="str">
        <f>IF(C608="","",Order!$J$16)</f>
        <v>SILVER ANODIZED (FAYP01)</v>
      </c>
      <c r="K608" s="36">
        <f>IF($C608="","",_xlfn.XLOOKUP($C608,Order!$C:$C,Order!$P:$P,"",0,1))</f>
        <v>0</v>
      </c>
      <c r="L608" s="4">
        <f t="shared" si="9"/>
        <v>0</v>
      </c>
    </row>
    <row r="609" spans="2:12" ht="23.25" hidden="1" customHeight="1" x14ac:dyDescent="0.25">
      <c r="B609" s="4">
        <v>604</v>
      </c>
      <c r="C609" s="36" t="str">
        <f>IF(Order!$C$275="","",Order!$C$275)</f>
        <v>SU250</v>
      </c>
      <c r="D609" s="36" t="str">
        <f>IF($C609="","",_xlfn.XLOOKUP($C609,Order!$C:$C,Order!$D:$D,"",0,1))</f>
        <v>SU250</v>
      </c>
      <c r="E609" s="4" t="e" vm="458">
        <f>IF($C609="","",_xlfn.XLOOKUP($C609,Order!$C:$C,Order!$E:$E,"",0,1))</f>
        <v>#VALUE!</v>
      </c>
      <c r="F609" s="4">
        <f>IF($C609="","",_xlfn.XLOOKUP($C609,Order!$C:$C,Order!$F:$F,"",0,1))</f>
        <v>6000</v>
      </c>
      <c r="G609" s="4" t="str">
        <f>IF($C609="","",_xlfn.XLOOKUP($C609,Order!$C:$C,Order!$G:$G,"",0,1))</f>
        <v>6063T5</v>
      </c>
      <c r="H609" s="4">
        <f>IF($C609="","",_xlfn.XLOOKUP($C609,Order!$C:$C,Order!$H:$H,"",0,1))</f>
        <v>0.89400000000000002</v>
      </c>
      <c r="I609" s="36">
        <f>IF($C609="","",_xlfn.XLOOKUP($C609,Order!$C:$C,Order!$J:$J,"",0,1))</f>
        <v>0</v>
      </c>
      <c r="J609" s="4" t="str">
        <f>IF(C609="","",Order!$J$16)</f>
        <v>SILVER ANODIZED (FAYP01)</v>
      </c>
      <c r="K609" s="36">
        <f>IF($C609="","",_xlfn.XLOOKUP($C609,Order!$C:$C,Order!$P:$P,"",0,1))</f>
        <v>0</v>
      </c>
      <c r="L609" s="4">
        <f t="shared" si="9"/>
        <v>0</v>
      </c>
    </row>
    <row r="610" spans="2:12" ht="23.25" hidden="1" customHeight="1" x14ac:dyDescent="0.25">
      <c r="B610" s="4">
        <v>605</v>
      </c>
      <c r="C610" s="36" t="str">
        <f>IF(Order!$C$276="","",Order!$C$276)</f>
        <v>SU279</v>
      </c>
      <c r="D610" s="36" t="str">
        <f>IF($C610="","",_xlfn.XLOOKUP($C610,Order!$C:$C,Order!$D:$D,"",0,1))</f>
        <v>SU279</v>
      </c>
      <c r="E610" s="4" t="e" vm="459">
        <f>IF($C610="","",_xlfn.XLOOKUP($C610,Order!$C:$C,Order!$E:$E,"",0,1))</f>
        <v>#VALUE!</v>
      </c>
      <c r="F610" s="4">
        <f>IF($C610="","",_xlfn.XLOOKUP($C610,Order!$C:$C,Order!$F:$F,"",0,1))</f>
        <v>6000</v>
      </c>
      <c r="G610" s="4" t="str">
        <f>IF($C610="","",_xlfn.XLOOKUP($C610,Order!$C:$C,Order!$G:$G,"",0,1))</f>
        <v>6063T5</v>
      </c>
      <c r="H610" s="4">
        <f>IF($C610="","",_xlfn.XLOOKUP($C610,Order!$C:$C,Order!$H:$H,"",0,1))</f>
        <v>0.45800000000000002</v>
      </c>
      <c r="I610" s="36">
        <f>IF($C610="","",_xlfn.XLOOKUP($C610,Order!$C:$C,Order!$J:$J,"",0,1))</f>
        <v>0</v>
      </c>
      <c r="J610" s="4" t="str">
        <f>IF(C610="","",Order!$J$16)</f>
        <v>SILVER ANODIZED (FAYP01)</v>
      </c>
      <c r="K610" s="36">
        <f>IF($C610="","",_xlfn.XLOOKUP($C610,Order!$C:$C,Order!$P:$P,"",0,1))</f>
        <v>0</v>
      </c>
      <c r="L610" s="4">
        <f t="shared" si="9"/>
        <v>0</v>
      </c>
    </row>
    <row r="611" spans="2:12" ht="23.25" hidden="1" customHeight="1" x14ac:dyDescent="0.25">
      <c r="B611" s="4">
        <v>606</v>
      </c>
      <c r="C611" s="36" t="str">
        <f>IF(Order!$C$277="","",Order!$C$277)</f>
        <v>SU352</v>
      </c>
      <c r="D611" s="36" t="str">
        <f>IF($C611="","",_xlfn.XLOOKUP($C611,Order!$C:$C,Order!$D:$D,"",0,1))</f>
        <v>SU352</v>
      </c>
      <c r="E611" s="4" t="e" vm="460">
        <f>IF($C611="","",_xlfn.XLOOKUP($C611,Order!$C:$C,Order!$E:$E,"",0,1))</f>
        <v>#VALUE!</v>
      </c>
      <c r="F611" s="4">
        <f>IF($C611="","",_xlfn.XLOOKUP($C611,Order!$C:$C,Order!$F:$F,"",0,1))</f>
        <v>6000</v>
      </c>
      <c r="G611" s="4" t="str">
        <f>IF($C611="","",_xlfn.XLOOKUP($C611,Order!$C:$C,Order!$G:$G,"",0,1))</f>
        <v>6063T5</v>
      </c>
      <c r="H611" s="4">
        <f>IF($C611="","",_xlfn.XLOOKUP($C611,Order!$C:$C,Order!$H:$H,"",0,1))</f>
        <v>1.127</v>
      </c>
      <c r="I611" s="36">
        <f>IF($C611="","",_xlfn.XLOOKUP($C611,Order!$C:$C,Order!$J:$J,"",0,1))</f>
        <v>0</v>
      </c>
      <c r="J611" s="4" t="str">
        <f>IF(C611="","",Order!$J$16)</f>
        <v>SILVER ANODIZED (FAYP01)</v>
      </c>
      <c r="K611" s="36">
        <f>IF($C611="","",_xlfn.XLOOKUP($C611,Order!$C:$C,Order!$P:$P,"",0,1))</f>
        <v>0</v>
      </c>
      <c r="L611" s="4">
        <f t="shared" si="9"/>
        <v>0</v>
      </c>
    </row>
    <row r="612" spans="2:12" ht="23.25" hidden="1" customHeight="1" x14ac:dyDescent="0.25">
      <c r="B612" s="4">
        <v>607</v>
      </c>
      <c r="C612" s="36" t="str">
        <f>IF(Order!$C$278="","",Order!$C$278)</f>
        <v>FU350</v>
      </c>
      <c r="D612" s="36" t="str">
        <f>IF($C612="","",_xlfn.XLOOKUP($C612,Order!$C:$C,Order!$D:$D,"",0,1))</f>
        <v>FU350</v>
      </c>
      <c r="E612" s="4" t="e" vm="461">
        <f>IF($C612="","",_xlfn.XLOOKUP($C612,Order!$C:$C,Order!$E:$E,"",0,1))</f>
        <v>#VALUE!</v>
      </c>
      <c r="F612" s="4">
        <f>IF($C612="","",_xlfn.XLOOKUP($C612,Order!$C:$C,Order!$F:$F,"",0,1))</f>
        <v>6000</v>
      </c>
      <c r="G612" s="4" t="str">
        <f>IF($C612="","",_xlfn.XLOOKUP($C612,Order!$C:$C,Order!$G:$G,"",0,1))</f>
        <v>6063T5</v>
      </c>
      <c r="H612" s="4">
        <f>IF($C612="","",_xlfn.XLOOKUP($C612,Order!$C:$C,Order!$H:$H,"",0,1))</f>
        <v>0.45400000000000001</v>
      </c>
      <c r="I612" s="36">
        <f>IF($C612="","",_xlfn.XLOOKUP($C612,Order!$C:$C,Order!$J:$J,"",0,1))</f>
        <v>0</v>
      </c>
      <c r="J612" s="4" t="str">
        <f>IF(C612="","",Order!$J$16)</f>
        <v>SILVER ANODIZED (FAYP01)</v>
      </c>
      <c r="K612" s="36">
        <f>IF($C612="","",_xlfn.XLOOKUP($C612,Order!$C:$C,Order!$P:$P,"",0,1))</f>
        <v>0</v>
      </c>
      <c r="L612" s="4">
        <f t="shared" si="9"/>
        <v>0</v>
      </c>
    </row>
    <row r="613" spans="2:12" ht="23.25" hidden="1" customHeight="1" x14ac:dyDescent="0.25">
      <c r="B613" s="4">
        <v>608</v>
      </c>
      <c r="C613" s="36" t="str">
        <f>IF(Order!$C$279="","",Order!$C$279)</f>
        <v>FU362</v>
      </c>
      <c r="D613" s="36" t="str">
        <f>IF($C613="","",_xlfn.XLOOKUP($C613,Order!$C:$C,Order!$D:$D,"",0,1))</f>
        <v>FU362</v>
      </c>
      <c r="E613" s="4" t="e" vm="462">
        <f>IF($C613="","",_xlfn.XLOOKUP($C613,Order!$C:$C,Order!$E:$E,"",0,1))</f>
        <v>#VALUE!</v>
      </c>
      <c r="F613" s="4">
        <f>IF($C613="","",_xlfn.XLOOKUP($C613,Order!$C:$C,Order!$F:$F,"",0,1))</f>
        <v>6000</v>
      </c>
      <c r="G613" s="4" t="str">
        <f>IF($C613="","",_xlfn.XLOOKUP($C613,Order!$C:$C,Order!$G:$G,"",0,1))</f>
        <v>6063T5</v>
      </c>
      <c r="H613" s="4">
        <f>IF($C613="","",_xlfn.XLOOKUP($C613,Order!$C:$C,Order!$H:$H,"",0,1))</f>
        <v>0.66800000000000004</v>
      </c>
      <c r="I613" s="36">
        <f>IF($C613="","",_xlfn.XLOOKUP($C613,Order!$C:$C,Order!$J:$J,"",0,1))</f>
        <v>0</v>
      </c>
      <c r="J613" s="4" t="str">
        <f>IF(C613="","",Order!$J$16)</f>
        <v>SILVER ANODIZED (FAYP01)</v>
      </c>
      <c r="K613" s="36">
        <f>IF($C613="","",_xlfn.XLOOKUP($C613,Order!$C:$C,Order!$P:$P,"",0,1))</f>
        <v>0</v>
      </c>
      <c r="L613" s="4">
        <f t="shared" si="9"/>
        <v>0</v>
      </c>
    </row>
    <row r="614" spans="2:12" ht="23.25" hidden="1" customHeight="1" x14ac:dyDescent="0.25">
      <c r="B614" s="4">
        <v>609</v>
      </c>
      <c r="C614" s="36" t="str">
        <f>IF(Order!$C$280="","",Order!$C$280)</f>
        <v>FU363</v>
      </c>
      <c r="D614" s="36" t="str">
        <f>IF($C614="","",_xlfn.XLOOKUP($C614,Order!$C:$C,Order!$D:$D,"",0,1))</f>
        <v>FU363</v>
      </c>
      <c r="E614" s="4" t="e" vm="463">
        <f>IF($C614="","",_xlfn.XLOOKUP($C614,Order!$C:$C,Order!$E:$E,"",0,1))</f>
        <v>#VALUE!</v>
      </c>
      <c r="F614" s="4">
        <f>IF($C614="","",_xlfn.XLOOKUP($C614,Order!$C:$C,Order!$F:$F,"",0,1))</f>
        <v>6000</v>
      </c>
      <c r="G614" s="4" t="str">
        <f>IF($C614="","",_xlfn.XLOOKUP($C614,Order!$C:$C,Order!$G:$G,"",0,1))</f>
        <v>6063T5</v>
      </c>
      <c r="H614" s="4">
        <f>IF($C614="","",_xlfn.XLOOKUP($C614,Order!$C:$C,Order!$H:$H,"",0,1))</f>
        <v>0.65300000000000002</v>
      </c>
      <c r="I614" s="36">
        <f>IF($C614="","",_xlfn.XLOOKUP($C614,Order!$C:$C,Order!$J:$J,"",0,1))</f>
        <v>0</v>
      </c>
      <c r="J614" s="4" t="str">
        <f>IF(C614="","",Order!$J$16)</f>
        <v>SILVER ANODIZED (FAYP01)</v>
      </c>
      <c r="K614" s="36">
        <f>IF($C614="","",_xlfn.XLOOKUP($C614,Order!$C:$C,Order!$P:$P,"",0,1))</f>
        <v>0</v>
      </c>
      <c r="L614" s="4">
        <f t="shared" si="9"/>
        <v>0</v>
      </c>
    </row>
    <row r="615" spans="2:12" ht="23.25" hidden="1" customHeight="1" x14ac:dyDescent="0.25">
      <c r="B615" s="4">
        <v>610</v>
      </c>
      <c r="C615" s="36" t="str">
        <f>IF(Order!$C$281="","",Order!$C$281)</f>
        <v>FU364</v>
      </c>
      <c r="D615" s="36" t="str">
        <f>IF($C615="","",_xlfn.XLOOKUP($C615,Order!$C:$C,Order!$D:$D,"",0,1))</f>
        <v>FU364</v>
      </c>
      <c r="E615" s="4" t="e" vm="464">
        <f>IF($C615="","",_xlfn.XLOOKUP($C615,Order!$C:$C,Order!$E:$E,"",0,1))</f>
        <v>#VALUE!</v>
      </c>
      <c r="F615" s="4">
        <f>IF($C615="","",_xlfn.XLOOKUP($C615,Order!$C:$C,Order!$F:$F,"",0,1))</f>
        <v>6000</v>
      </c>
      <c r="G615" s="4" t="str">
        <f>IF($C615="","",_xlfn.XLOOKUP($C615,Order!$C:$C,Order!$G:$G,"",0,1))</f>
        <v>6063T5</v>
      </c>
      <c r="H615" s="4">
        <f>IF($C615="","",_xlfn.XLOOKUP($C615,Order!$C:$C,Order!$H:$H,"",0,1))</f>
        <v>0.61</v>
      </c>
      <c r="I615" s="36">
        <f>IF($C615="","",_xlfn.XLOOKUP($C615,Order!$C:$C,Order!$J:$J,"",0,1))</f>
        <v>0</v>
      </c>
      <c r="J615" s="4" t="str">
        <f>IF(C615="","",Order!$J$16)</f>
        <v>SILVER ANODIZED (FAYP01)</v>
      </c>
      <c r="K615" s="36">
        <f>IF($C615="","",_xlfn.XLOOKUP($C615,Order!$C:$C,Order!$P:$P,"",0,1))</f>
        <v>0</v>
      </c>
      <c r="L615" s="4">
        <f t="shared" si="9"/>
        <v>0</v>
      </c>
    </row>
    <row r="616" spans="2:12" ht="23.25" hidden="1" customHeight="1" x14ac:dyDescent="0.25">
      <c r="B616" s="4">
        <v>611</v>
      </c>
      <c r="C616" s="36" t="str">
        <f>IF(Order!$C$282="","",Order!$C$282)</f>
        <v>FU899</v>
      </c>
      <c r="D616" s="36" t="str">
        <f>IF($C616="","",_xlfn.XLOOKUP($C616,Order!$C:$C,Order!$D:$D,"",0,1))</f>
        <v>FU899</v>
      </c>
      <c r="E616" s="4" t="e" vm="465">
        <f>IF($C616="","",_xlfn.XLOOKUP($C616,Order!$C:$C,Order!$E:$E,"",0,1))</f>
        <v>#VALUE!</v>
      </c>
      <c r="F616" s="4">
        <f>IF($C616="","",_xlfn.XLOOKUP($C616,Order!$C:$C,Order!$F:$F,"",0,1))</f>
        <v>6000</v>
      </c>
      <c r="G616" s="4" t="str">
        <f>IF($C616="","",_xlfn.XLOOKUP($C616,Order!$C:$C,Order!$G:$G,"",0,1))</f>
        <v>6063T5</v>
      </c>
      <c r="H616" s="4">
        <f>IF($C616="","",_xlfn.XLOOKUP($C616,Order!$C:$C,Order!$H:$H,"",0,1))</f>
        <v>0.52900000000000003</v>
      </c>
      <c r="I616" s="36">
        <f>IF($C616="","",_xlfn.XLOOKUP($C616,Order!$C:$C,Order!$J:$J,"",0,1))</f>
        <v>0</v>
      </c>
      <c r="J616" s="4" t="str">
        <f>IF(C616="","",Order!$J$16)</f>
        <v>SILVER ANODIZED (FAYP01)</v>
      </c>
      <c r="K616" s="36">
        <f>IF($C616="","",_xlfn.XLOOKUP($C616,Order!$C:$C,Order!$P:$P,"",0,1))</f>
        <v>0</v>
      </c>
      <c r="L616" s="4">
        <f t="shared" si="9"/>
        <v>0</v>
      </c>
    </row>
    <row r="617" spans="2:12" ht="23.25" hidden="1" customHeight="1" x14ac:dyDescent="0.25">
      <c r="B617" s="4">
        <v>612</v>
      </c>
      <c r="C617" s="36" t="str">
        <f>IF(Order!$C$283="","",Order!$C$283)</f>
        <v>FU900</v>
      </c>
      <c r="D617" s="36" t="str">
        <f>IF($C617="","",_xlfn.XLOOKUP($C617,Order!$C:$C,Order!$D:$D,"",0,1))</f>
        <v>FU900</v>
      </c>
      <c r="E617" s="4" t="e" vm="466">
        <f>IF($C617="","",_xlfn.XLOOKUP($C617,Order!$C:$C,Order!$E:$E,"",0,1))</f>
        <v>#VALUE!</v>
      </c>
      <c r="F617" s="4">
        <f>IF($C617="","",_xlfn.XLOOKUP($C617,Order!$C:$C,Order!$F:$F,"",0,1))</f>
        <v>6000</v>
      </c>
      <c r="G617" s="4" t="str">
        <f>IF($C617="","",_xlfn.XLOOKUP($C617,Order!$C:$C,Order!$G:$G,"",0,1))</f>
        <v>6063T5</v>
      </c>
      <c r="H617" s="4">
        <f>IF($C617="","",_xlfn.XLOOKUP($C617,Order!$C:$C,Order!$H:$H,"",0,1))</f>
        <v>0.48499999999999999</v>
      </c>
      <c r="I617" s="36">
        <f>IF($C617="","",_xlfn.XLOOKUP($C617,Order!$C:$C,Order!$J:$J,"",0,1))</f>
        <v>0</v>
      </c>
      <c r="J617" s="4" t="str">
        <f>IF(C617="","",Order!$J$16)</f>
        <v>SILVER ANODIZED (FAYP01)</v>
      </c>
      <c r="K617" s="36">
        <f>IF($C617="","",_xlfn.XLOOKUP($C617,Order!$C:$C,Order!$P:$P,"",0,1))</f>
        <v>0</v>
      </c>
      <c r="L617" s="4">
        <f t="shared" si="9"/>
        <v>0</v>
      </c>
    </row>
    <row r="618" spans="2:12" ht="23.25" hidden="1" customHeight="1" x14ac:dyDescent="0.25">
      <c r="B618" s="4">
        <v>613</v>
      </c>
      <c r="C618" s="36" t="str">
        <f>IF(Order!$C$284="","",Order!$C$284)</f>
        <v>FU901</v>
      </c>
      <c r="D618" s="36" t="str">
        <f>IF($C618="","",_xlfn.XLOOKUP($C618,Order!$C:$C,Order!$D:$D,"",0,1))</f>
        <v>FU901</v>
      </c>
      <c r="E618" s="4" t="e" vm="467">
        <f>IF($C618="","",_xlfn.XLOOKUP($C618,Order!$C:$C,Order!$E:$E,"",0,1))</f>
        <v>#VALUE!</v>
      </c>
      <c r="F618" s="4">
        <f>IF($C618="","",_xlfn.XLOOKUP($C618,Order!$C:$C,Order!$F:$F,"",0,1))</f>
        <v>6000</v>
      </c>
      <c r="G618" s="4" t="str">
        <f>IF($C618="","",_xlfn.XLOOKUP($C618,Order!$C:$C,Order!$G:$G,"",0,1))</f>
        <v>6063T5</v>
      </c>
      <c r="H618" s="4">
        <f>IF($C618="","",_xlfn.XLOOKUP($C618,Order!$C:$C,Order!$H:$H,"",0,1))</f>
        <v>0.54100000000000004</v>
      </c>
      <c r="I618" s="36">
        <f>IF($C618="","",_xlfn.XLOOKUP($C618,Order!$C:$C,Order!$J:$J,"",0,1))</f>
        <v>0</v>
      </c>
      <c r="J618" s="4" t="str">
        <f>IF(C618="","",Order!$J$16)</f>
        <v>SILVER ANODIZED (FAYP01)</v>
      </c>
      <c r="K618" s="36">
        <f>IF($C618="","",_xlfn.XLOOKUP($C618,Order!$C:$C,Order!$P:$P,"",0,1))</f>
        <v>0</v>
      </c>
      <c r="L618" s="4">
        <f t="shared" si="9"/>
        <v>0</v>
      </c>
    </row>
    <row r="619" spans="2:12" ht="23.25" hidden="1" customHeight="1" x14ac:dyDescent="0.25">
      <c r="B619" s="4">
        <v>614</v>
      </c>
      <c r="C619" s="36" t="str">
        <f>IF(Order!$C$285="","",Order!$C$285)</f>
        <v>MT0113</v>
      </c>
      <c r="D619" s="36" t="str">
        <f>IF($C619="","",_xlfn.XLOOKUP($C619,Order!$C:$C,Order!$D:$D,"",0,1))</f>
        <v>MT0113</v>
      </c>
      <c r="E619" s="4" t="e" vm="468">
        <f>IF($C619="","",_xlfn.XLOOKUP($C619,Order!$C:$C,Order!$E:$E,"",0,1))</f>
        <v>#VALUE!</v>
      </c>
      <c r="F619" s="4">
        <f>IF($C619="","",_xlfn.XLOOKUP($C619,Order!$C:$C,Order!$F:$F,"",0,1))</f>
        <v>6000</v>
      </c>
      <c r="G619" s="4" t="str">
        <f>IF($C619="","",_xlfn.XLOOKUP($C619,Order!$C:$C,Order!$G:$G,"",0,1))</f>
        <v>6063T5</v>
      </c>
      <c r="H619" s="4">
        <f>IF($C619="","",_xlfn.XLOOKUP($C619,Order!$C:$C,Order!$H:$H,"",0,1))</f>
        <v>0.54400000000000004</v>
      </c>
      <c r="I619" s="36">
        <f>IF($C619="","",_xlfn.XLOOKUP($C619,Order!$C:$C,Order!$J:$J,"",0,1))</f>
        <v>0</v>
      </c>
      <c r="J619" s="4" t="str">
        <f>IF(C619="","",Order!$J$16)</f>
        <v>SILVER ANODIZED (FAYP01)</v>
      </c>
      <c r="K619" s="36">
        <f>IF($C619="","",_xlfn.XLOOKUP($C619,Order!$C:$C,Order!$P:$P,"",0,1))</f>
        <v>0</v>
      </c>
      <c r="L619" s="4">
        <f t="shared" si="9"/>
        <v>0</v>
      </c>
    </row>
    <row r="620" spans="2:12" ht="23.25" hidden="1" customHeight="1" x14ac:dyDescent="0.25">
      <c r="B620" s="4">
        <v>615</v>
      </c>
      <c r="C620" s="36" t="str">
        <f>IF(Order!$C$286="","",Order!$C$286)</f>
        <v>MT0117</v>
      </c>
      <c r="D620" s="36" t="str">
        <f>IF($C620="","",_xlfn.XLOOKUP($C620,Order!$C:$C,Order!$D:$D,"",0,1))</f>
        <v>MT0117</v>
      </c>
      <c r="E620" s="4" t="e" vm="469">
        <f>IF($C620="","",_xlfn.XLOOKUP($C620,Order!$C:$C,Order!$E:$E,"",0,1))</f>
        <v>#VALUE!</v>
      </c>
      <c r="F620" s="4">
        <f>IF($C620="","",_xlfn.XLOOKUP($C620,Order!$C:$C,Order!$F:$F,"",0,1))</f>
        <v>6000</v>
      </c>
      <c r="G620" s="4" t="str">
        <f>IF($C620="","",_xlfn.XLOOKUP($C620,Order!$C:$C,Order!$G:$G,"",0,1))</f>
        <v>6063T5</v>
      </c>
      <c r="H620" s="4">
        <f>IF($C620="","",_xlfn.XLOOKUP($C620,Order!$C:$C,Order!$H:$H,"",0,1))</f>
        <v>0.76300000000000001</v>
      </c>
      <c r="I620" s="36">
        <f>IF($C620="","",_xlfn.XLOOKUP($C620,Order!$C:$C,Order!$J:$J,"",0,1))</f>
        <v>0</v>
      </c>
      <c r="J620" s="4" t="str">
        <f>IF(C620="","",Order!$J$16)</f>
        <v>SILVER ANODIZED (FAYP01)</v>
      </c>
      <c r="K620" s="36">
        <f>IF($C620="","",_xlfn.XLOOKUP($C620,Order!$C:$C,Order!$P:$P,"",0,1))</f>
        <v>0</v>
      </c>
      <c r="L620" s="4">
        <f t="shared" si="9"/>
        <v>0</v>
      </c>
    </row>
    <row r="621" spans="2:12" ht="23.25" hidden="1" customHeight="1" x14ac:dyDescent="0.25">
      <c r="B621" s="4">
        <v>616</v>
      </c>
      <c r="C621" s="36" t="str">
        <f>IF(Order!$C$287="","",Order!$C$287)</f>
        <v>MT0121</v>
      </c>
      <c r="D621" s="36" t="str">
        <f>IF($C621="","",_xlfn.XLOOKUP($C621,Order!$C:$C,Order!$D:$D,"",0,1))</f>
        <v>MT0121</v>
      </c>
      <c r="E621" s="4" t="e" vm="470">
        <f>IF($C621="","",_xlfn.XLOOKUP($C621,Order!$C:$C,Order!$E:$E,"",0,1))</f>
        <v>#VALUE!</v>
      </c>
      <c r="F621" s="4">
        <f>IF($C621="","",_xlfn.XLOOKUP($C621,Order!$C:$C,Order!$F:$F,"",0,1))</f>
        <v>6000</v>
      </c>
      <c r="G621" s="4" t="str">
        <f>IF($C621="","",_xlfn.XLOOKUP($C621,Order!$C:$C,Order!$G:$G,"",0,1))</f>
        <v>6063T5</v>
      </c>
      <c r="H621" s="4">
        <f>IF($C621="","",_xlfn.XLOOKUP($C621,Order!$C:$C,Order!$H:$H,"",0,1))</f>
        <v>0.91500000000000004</v>
      </c>
      <c r="I621" s="36">
        <f>IF($C621="","",_xlfn.XLOOKUP($C621,Order!$C:$C,Order!$J:$J,"",0,1))</f>
        <v>0</v>
      </c>
      <c r="J621" s="4" t="str">
        <f>IF(C621="","",Order!$J$16)</f>
        <v>SILVER ANODIZED (FAYP01)</v>
      </c>
      <c r="K621" s="36">
        <f>IF($C621="","",_xlfn.XLOOKUP($C621,Order!$C:$C,Order!$P:$P,"",0,1))</f>
        <v>0</v>
      </c>
      <c r="L621" s="4">
        <f t="shared" si="9"/>
        <v>0</v>
      </c>
    </row>
    <row r="622" spans="2:12" ht="23.25" hidden="1" customHeight="1" x14ac:dyDescent="0.25">
      <c r="B622" s="4">
        <v>617</v>
      </c>
      <c r="C622" s="36" t="str">
        <f>IF(Order!$C$288="","",Order!$C$288)</f>
        <v>BX823</v>
      </c>
      <c r="D622" s="36" t="str">
        <f>IF($C622="","",_xlfn.XLOOKUP($C622,Order!$C:$C,Order!$D:$D,"",0,1))</f>
        <v>BX823</v>
      </c>
      <c r="E622" s="4" t="e" vm="471">
        <f>IF($C622="","",_xlfn.XLOOKUP($C622,Order!$C:$C,Order!$E:$E,"",0,1))</f>
        <v>#VALUE!</v>
      </c>
      <c r="F622" s="4">
        <f>IF($C622="","",_xlfn.XLOOKUP($C622,Order!$C:$C,Order!$F:$F,"",0,1))</f>
        <v>6000</v>
      </c>
      <c r="G622" s="4" t="str">
        <f>IF($C622="","",_xlfn.XLOOKUP($C622,Order!$C:$C,Order!$G:$G,"",0,1))</f>
        <v>6063T5</v>
      </c>
      <c r="H622" s="4">
        <f>IF($C622="","",_xlfn.XLOOKUP($C622,Order!$C:$C,Order!$H:$H,"",0,1))</f>
        <v>0</v>
      </c>
      <c r="I622" s="36">
        <f>IF($C622="","",_xlfn.XLOOKUP($C622,Order!$C:$C,Order!$J:$J,"",0,1))</f>
        <v>0</v>
      </c>
      <c r="J622" s="4" t="str">
        <f>IF(C622="","",Order!$J$16)</f>
        <v>SILVER ANODIZED (FAYP01)</v>
      </c>
      <c r="K622" s="36">
        <f>IF($C622="","",_xlfn.XLOOKUP($C622,Order!$C:$C,Order!$P:$P,"",0,1))</f>
        <v>0</v>
      </c>
      <c r="L622" s="4">
        <f t="shared" si="9"/>
        <v>0</v>
      </c>
    </row>
    <row r="623" spans="2:12" ht="23.25" hidden="1" customHeight="1" x14ac:dyDescent="0.25">
      <c r="B623" s="4">
        <v>618</v>
      </c>
      <c r="C623" s="36" t="str">
        <f>IF(Order!$C$289="","",Order!$C$289)</f>
        <v>BX824</v>
      </c>
      <c r="D623" s="36" t="str">
        <f>IF($C623="","",_xlfn.XLOOKUP($C623,Order!$C:$C,Order!$D:$D,"",0,1))</f>
        <v>BX824</v>
      </c>
      <c r="E623" s="4" t="e" vm="472">
        <f>IF($C623="","",_xlfn.XLOOKUP($C623,Order!$C:$C,Order!$E:$E,"",0,1))</f>
        <v>#VALUE!</v>
      </c>
      <c r="F623" s="4">
        <f>IF($C623="","",_xlfn.XLOOKUP($C623,Order!$C:$C,Order!$F:$F,"",0,1))</f>
        <v>6000</v>
      </c>
      <c r="G623" s="4" t="str">
        <f>IF($C623="","",_xlfn.XLOOKUP($C623,Order!$C:$C,Order!$G:$G,"",0,1))</f>
        <v>6063T5</v>
      </c>
      <c r="H623" s="4">
        <f>IF($C623="","",_xlfn.XLOOKUP($C623,Order!$C:$C,Order!$H:$H,"",0,1))</f>
        <v>0.47299999999999998</v>
      </c>
      <c r="I623" s="36">
        <f>IF($C623="","",_xlfn.XLOOKUP($C623,Order!$C:$C,Order!$J:$J,"",0,1))</f>
        <v>0</v>
      </c>
      <c r="J623" s="4" t="str">
        <f>IF(C623="","",Order!$J$16)</f>
        <v>SILVER ANODIZED (FAYP01)</v>
      </c>
      <c r="K623" s="36">
        <f>IF($C623="","",_xlfn.XLOOKUP($C623,Order!$C:$C,Order!$P:$P,"",0,1))</f>
        <v>0</v>
      </c>
      <c r="L623" s="4">
        <f t="shared" si="9"/>
        <v>0</v>
      </c>
    </row>
    <row r="624" spans="2:12" ht="23.25" hidden="1" customHeight="1" x14ac:dyDescent="0.25">
      <c r="B624" s="4">
        <v>619</v>
      </c>
      <c r="C624" s="36" t="str">
        <f>IF(Order!$C$290="","",Order!$C$290)</f>
        <v>BX825</v>
      </c>
      <c r="D624" s="36" t="str">
        <f>IF($C624="","",_xlfn.XLOOKUP($C624,Order!$C:$C,Order!$D:$D,"",0,1))</f>
        <v>BX825</v>
      </c>
      <c r="E624" s="4" t="e" vm="473">
        <f>IF($C624="","",_xlfn.XLOOKUP($C624,Order!$C:$C,Order!$E:$E,"",0,1))</f>
        <v>#VALUE!</v>
      </c>
      <c r="F624" s="4">
        <f>IF($C624="","",_xlfn.XLOOKUP($C624,Order!$C:$C,Order!$F:$F,"",0,1))</f>
        <v>6000</v>
      </c>
      <c r="G624" s="4" t="str">
        <f>IF($C624="","",_xlfn.XLOOKUP($C624,Order!$C:$C,Order!$G:$G,"",0,1))</f>
        <v>6063T5</v>
      </c>
      <c r="H624" s="4">
        <f>IF($C624="","",_xlfn.XLOOKUP($C624,Order!$C:$C,Order!$H:$H,"",0,1))</f>
        <v>0</v>
      </c>
      <c r="I624" s="36">
        <f>IF($C624="","",_xlfn.XLOOKUP($C624,Order!$C:$C,Order!$J:$J,"",0,1))</f>
        <v>0</v>
      </c>
      <c r="J624" s="4" t="str">
        <f>IF(C624="","",Order!$J$16)</f>
        <v>SILVER ANODIZED (FAYP01)</v>
      </c>
      <c r="K624" s="36">
        <f>IF($C624="","",_xlfn.XLOOKUP($C624,Order!$C:$C,Order!$P:$P,"",0,1))</f>
        <v>0</v>
      </c>
      <c r="L624" s="4">
        <f t="shared" si="9"/>
        <v>0</v>
      </c>
    </row>
    <row r="625" spans="2:12" ht="23.25" hidden="1" customHeight="1" x14ac:dyDescent="0.25">
      <c r="B625" s="4">
        <v>620</v>
      </c>
      <c r="C625" s="36" t="str">
        <f>IF(Order!$C$291="","",Order!$C$291)</f>
        <v>BX826</v>
      </c>
      <c r="D625" s="36" t="str">
        <f>IF($C625="","",_xlfn.XLOOKUP($C625,Order!$C:$C,Order!$D:$D,"",0,1))</f>
        <v>BX826</v>
      </c>
      <c r="E625" s="4" t="e" vm="474">
        <f>IF($C625="","",_xlfn.XLOOKUP($C625,Order!$C:$C,Order!$E:$E,"",0,1))</f>
        <v>#VALUE!</v>
      </c>
      <c r="F625" s="4">
        <f>IF($C625="","",_xlfn.XLOOKUP($C625,Order!$C:$C,Order!$F:$F,"",0,1))</f>
        <v>6000</v>
      </c>
      <c r="G625" s="4" t="str">
        <f>IF($C625="","",_xlfn.XLOOKUP($C625,Order!$C:$C,Order!$G:$G,"",0,1))</f>
        <v>6063T5</v>
      </c>
      <c r="H625" s="4">
        <f>IF($C625="","",_xlfn.XLOOKUP($C625,Order!$C:$C,Order!$H:$H,"",0,1))</f>
        <v>0.53800000000000003</v>
      </c>
      <c r="I625" s="36">
        <f>IF($C625="","",_xlfn.XLOOKUP($C625,Order!$C:$C,Order!$J:$J,"",0,1))</f>
        <v>0</v>
      </c>
      <c r="J625" s="4" t="str">
        <f>IF(C625="","",Order!$J$16)</f>
        <v>SILVER ANODIZED (FAYP01)</v>
      </c>
      <c r="K625" s="36">
        <f>IF($C625="","",_xlfn.XLOOKUP($C625,Order!$C:$C,Order!$P:$P,"",0,1))</f>
        <v>0</v>
      </c>
      <c r="L625" s="4">
        <f t="shared" si="9"/>
        <v>0</v>
      </c>
    </row>
    <row r="626" spans="2:12" ht="23.25" hidden="1" customHeight="1" x14ac:dyDescent="0.25">
      <c r="B626" s="4">
        <v>621</v>
      </c>
      <c r="C626" s="36" t="str">
        <f>IF(Order!$C$292="","",Order!$C$292)</f>
        <v>BX827</v>
      </c>
      <c r="D626" s="36" t="str">
        <f>IF($C626="","",_xlfn.XLOOKUP($C626,Order!$C:$C,Order!$D:$D,"",0,1))</f>
        <v>BX827</v>
      </c>
      <c r="E626" s="4" t="e" vm="475">
        <f>IF($C626="","",_xlfn.XLOOKUP($C626,Order!$C:$C,Order!$E:$E,"",0,1))</f>
        <v>#VALUE!</v>
      </c>
      <c r="F626" s="4">
        <f>IF($C626="","",_xlfn.XLOOKUP($C626,Order!$C:$C,Order!$F:$F,"",0,1))</f>
        <v>6000</v>
      </c>
      <c r="G626" s="4" t="str">
        <f>IF($C626="","",_xlfn.XLOOKUP($C626,Order!$C:$C,Order!$G:$G,"",0,1))</f>
        <v>6063T5</v>
      </c>
      <c r="H626" s="4">
        <f>IF($C626="","",_xlfn.XLOOKUP($C626,Order!$C:$C,Order!$H:$H,"",0,1))</f>
        <v>0</v>
      </c>
      <c r="I626" s="36">
        <f>IF($C626="","",_xlfn.XLOOKUP($C626,Order!$C:$C,Order!$J:$J,"",0,1))</f>
        <v>0</v>
      </c>
      <c r="J626" s="4" t="str">
        <f>IF(C626="","",Order!$J$16)</f>
        <v>SILVER ANODIZED (FAYP01)</v>
      </c>
      <c r="K626" s="36">
        <f>IF($C626="","",_xlfn.XLOOKUP($C626,Order!$C:$C,Order!$P:$P,"",0,1))</f>
        <v>0</v>
      </c>
      <c r="L626" s="4">
        <f t="shared" si="9"/>
        <v>0</v>
      </c>
    </row>
    <row r="627" spans="2:12" ht="23.25" hidden="1" customHeight="1" x14ac:dyDescent="0.25">
      <c r="B627" s="4">
        <v>622</v>
      </c>
      <c r="C627" s="36" t="str">
        <f>IF(Order!$C$293="","",Order!$C$293)</f>
        <v>BX1087</v>
      </c>
      <c r="D627" s="36" t="str">
        <f>IF($C627="","",_xlfn.XLOOKUP($C627,Order!$C:$C,Order!$D:$D,"",0,1))</f>
        <v>BX1087</v>
      </c>
      <c r="E627" s="4" t="e" vm="476">
        <f>IF($C627="","",_xlfn.XLOOKUP($C627,Order!$C:$C,Order!$E:$E,"",0,1))</f>
        <v>#VALUE!</v>
      </c>
      <c r="F627" s="4">
        <f>IF($C627="","",_xlfn.XLOOKUP($C627,Order!$C:$C,Order!$F:$F,"",0,1))</f>
        <v>6000</v>
      </c>
      <c r="G627" s="4" t="str">
        <f>IF($C627="","",_xlfn.XLOOKUP($C627,Order!$C:$C,Order!$G:$G,"",0,1))</f>
        <v>6063T5</v>
      </c>
      <c r="H627" s="4">
        <f>IF($C627="","",_xlfn.XLOOKUP($C627,Order!$C:$C,Order!$H:$H,"",0,1))</f>
        <v>0.58399999999999996</v>
      </c>
      <c r="I627" s="36">
        <f>IF($C627="","",_xlfn.XLOOKUP($C627,Order!$C:$C,Order!$J:$J,"",0,1))</f>
        <v>0</v>
      </c>
      <c r="J627" s="4" t="str">
        <f>IF(C627="","",Order!$J$16)</f>
        <v>SILVER ANODIZED (FAYP01)</v>
      </c>
      <c r="K627" s="36">
        <f>IF($C627="","",_xlfn.XLOOKUP($C627,Order!$C:$C,Order!$P:$P,"",0,1))</f>
        <v>0</v>
      </c>
      <c r="L627" s="4">
        <f t="shared" si="9"/>
        <v>0</v>
      </c>
    </row>
    <row r="628" spans="2:12" ht="23.25" hidden="1" customHeight="1" x14ac:dyDescent="0.25">
      <c r="B628" s="4">
        <v>623</v>
      </c>
      <c r="C628" s="36" t="str">
        <f>IF(Order!$C$294="","",Order!$C$294)</f>
        <v>ME013</v>
      </c>
      <c r="D628" s="36" t="str">
        <f>IF($C628="","",_xlfn.XLOOKUP($C628,Order!$C:$C,Order!$D:$D,"",0,1))</f>
        <v>ME013</v>
      </c>
      <c r="E628" s="4" t="e" vm="477">
        <f>IF($C628="","",_xlfn.XLOOKUP($C628,Order!$C:$C,Order!$E:$E,"",0,1))</f>
        <v>#VALUE!</v>
      </c>
      <c r="F628" s="4">
        <f>IF($C628="","",_xlfn.XLOOKUP($C628,Order!$C:$C,Order!$F:$F,"",0,1))</f>
        <v>6000</v>
      </c>
      <c r="G628" s="4" t="str">
        <f>IF($C628="","",_xlfn.XLOOKUP($C628,Order!$C:$C,Order!$G:$G,"",0,1))</f>
        <v>6063T5</v>
      </c>
      <c r="H628" s="4">
        <f>IF($C628="","",_xlfn.XLOOKUP($C628,Order!$C:$C,Order!$H:$H,"",0,1))</f>
        <v>0.27600000000000002</v>
      </c>
      <c r="I628" s="36">
        <f>IF($C628="","",_xlfn.XLOOKUP($C628,Order!$C:$C,Order!$J:$J,"",0,1))</f>
        <v>0</v>
      </c>
      <c r="J628" s="4" t="str">
        <f>IF(C628="","",Order!$J$16)</f>
        <v>SILVER ANODIZED (FAYP01)</v>
      </c>
      <c r="K628" s="36">
        <f>IF($C628="","",_xlfn.XLOOKUP($C628,Order!$C:$C,Order!$P:$P,"",0,1))</f>
        <v>0</v>
      </c>
      <c r="L628" s="4">
        <f t="shared" si="9"/>
        <v>0</v>
      </c>
    </row>
    <row r="629" spans="2:12" ht="23.25" hidden="1" customHeight="1" x14ac:dyDescent="0.25">
      <c r="B629" s="4">
        <v>624</v>
      </c>
      <c r="C629" s="36" t="str">
        <f>IF(Order!$C$295="","",Order!$C$295)</f>
        <v/>
      </c>
      <c r="D629" s="36" t="str">
        <f>IF($C629="","",_xlfn.XLOOKUP($C629,Order!$C:$C,Order!$D:$D,"",0,1))</f>
        <v/>
      </c>
      <c r="E629" s="4" t="str">
        <f>IF($C629="","",_xlfn.XLOOKUP($C629,Order!$C:$C,Order!$E:$E,"",0,1))</f>
        <v/>
      </c>
      <c r="F629" s="4" t="str">
        <f>IF($C629="","",_xlfn.XLOOKUP($C629,Order!$C:$C,Order!$F:$F,"",0,1))</f>
        <v/>
      </c>
      <c r="G629" s="4" t="str">
        <f>IF($C629="","",_xlfn.XLOOKUP($C629,Order!$C:$C,Order!$G:$G,"",0,1))</f>
        <v/>
      </c>
      <c r="H629" s="4" t="str">
        <f>IF($C629="","",_xlfn.XLOOKUP($C629,Order!$C:$C,Order!$H:$H,"",0,1))</f>
        <v/>
      </c>
      <c r="I629" s="36" t="str">
        <f>IF($C629="","",_xlfn.XLOOKUP($C629,Order!$C:$C,Order!$J:$J,"",0,1))</f>
        <v/>
      </c>
      <c r="J629" s="4" t="str">
        <f>IF(C629="","",Order!$J$16)</f>
        <v/>
      </c>
      <c r="K629" s="36" t="str">
        <f>IF($C629="","",_xlfn.XLOOKUP($C629,Order!$C:$C,Order!$P:$P,"",0,1))</f>
        <v/>
      </c>
      <c r="L629" s="4" t="str">
        <f t="shared" si="9"/>
        <v/>
      </c>
    </row>
    <row r="630" spans="2:12" ht="23.25" hidden="1" customHeight="1" x14ac:dyDescent="0.25">
      <c r="B630" s="4">
        <v>625</v>
      </c>
      <c r="C630" s="36" t="str">
        <f>IF(Order!$C$296="","",Order!$C$296)</f>
        <v/>
      </c>
      <c r="D630" s="36" t="str">
        <f>IF($C630="","",_xlfn.XLOOKUP($C630,Order!$C:$C,Order!$D:$D,"",0,1))</f>
        <v/>
      </c>
      <c r="E630" s="4" t="str">
        <f>IF($C630="","",_xlfn.XLOOKUP($C630,Order!$C:$C,Order!$E:$E,"",0,1))</f>
        <v/>
      </c>
      <c r="F630" s="4" t="str">
        <f>IF($C630="","",_xlfn.XLOOKUP($C630,Order!$C:$C,Order!$F:$F,"",0,1))</f>
        <v/>
      </c>
      <c r="G630" s="4" t="str">
        <f>IF($C630="","",_xlfn.XLOOKUP($C630,Order!$C:$C,Order!$G:$G,"",0,1))</f>
        <v/>
      </c>
      <c r="H630" s="4" t="str">
        <f>IF($C630="","",_xlfn.XLOOKUP($C630,Order!$C:$C,Order!$H:$H,"",0,1))</f>
        <v/>
      </c>
      <c r="I630" s="36" t="str">
        <f>IF($C630="","",_xlfn.XLOOKUP($C630,Order!$C:$C,Order!$J:$J,"",0,1))</f>
        <v/>
      </c>
      <c r="J630" s="4" t="str">
        <f>IF(C630="","",Order!$J$16)</f>
        <v/>
      </c>
      <c r="K630" s="36" t="str">
        <f>IF($C630="","",_xlfn.XLOOKUP($C630,Order!$C:$C,Order!$P:$P,"",0,1))</f>
        <v/>
      </c>
      <c r="L630" s="4" t="str">
        <f t="shared" si="9"/>
        <v/>
      </c>
    </row>
    <row r="631" spans="2:12" ht="23.25" hidden="1" customHeight="1" x14ac:dyDescent="0.25">
      <c r="B631" s="4">
        <v>626</v>
      </c>
      <c r="C631" s="36" t="str">
        <f>IF(Order!$C$297="","",Order!$C$297)</f>
        <v/>
      </c>
      <c r="D631" s="36" t="str">
        <f>IF($C631="","",_xlfn.XLOOKUP($C631,Order!$C:$C,Order!$D:$D,"",0,1))</f>
        <v/>
      </c>
      <c r="E631" s="4" t="str">
        <f>IF($C631="","",_xlfn.XLOOKUP($C631,Order!$C:$C,Order!$E:$E,"",0,1))</f>
        <v/>
      </c>
      <c r="F631" s="4" t="str">
        <f>IF($C631="","",_xlfn.XLOOKUP($C631,Order!$C:$C,Order!$F:$F,"",0,1))</f>
        <v/>
      </c>
      <c r="G631" s="4" t="str">
        <f>IF($C631="","",_xlfn.XLOOKUP($C631,Order!$C:$C,Order!$G:$G,"",0,1))</f>
        <v/>
      </c>
      <c r="H631" s="4" t="str">
        <f>IF($C631="","",_xlfn.XLOOKUP($C631,Order!$C:$C,Order!$H:$H,"",0,1))</f>
        <v/>
      </c>
      <c r="I631" s="36" t="str">
        <f>IF($C631="","",_xlfn.XLOOKUP($C631,Order!$C:$C,Order!$J:$J,"",0,1))</f>
        <v/>
      </c>
      <c r="J631" s="4" t="str">
        <f>IF(C631="","",Order!$J$16)</f>
        <v/>
      </c>
      <c r="K631" s="36" t="str">
        <f>IF($C631="","",_xlfn.XLOOKUP($C631,Order!$C:$C,Order!$P:$P,"",0,1))</f>
        <v/>
      </c>
      <c r="L631" s="4" t="str">
        <f t="shared" si="9"/>
        <v/>
      </c>
    </row>
    <row r="632" spans="2:12" ht="23.25" hidden="1" customHeight="1" x14ac:dyDescent="0.25">
      <c r="B632" s="4">
        <v>627</v>
      </c>
      <c r="C632" s="36" t="str">
        <f>IF(Order!$C$298="","",Order!$C$298)</f>
        <v/>
      </c>
      <c r="D632" s="36" t="str">
        <f>IF($C632="","",_xlfn.XLOOKUP($C632,Order!$C:$C,Order!$D:$D,"",0,1))</f>
        <v/>
      </c>
      <c r="E632" s="4" t="str">
        <f>IF($C632="","",_xlfn.XLOOKUP($C632,Order!$C:$C,Order!$E:$E,"",0,1))</f>
        <v/>
      </c>
      <c r="F632" s="4" t="str">
        <f>IF($C632="","",_xlfn.XLOOKUP($C632,Order!$C:$C,Order!$F:$F,"",0,1))</f>
        <v/>
      </c>
      <c r="G632" s="4" t="str">
        <f>IF($C632="","",_xlfn.XLOOKUP($C632,Order!$C:$C,Order!$G:$G,"",0,1))</f>
        <v/>
      </c>
      <c r="H632" s="4" t="str">
        <f>IF($C632="","",_xlfn.XLOOKUP($C632,Order!$C:$C,Order!$H:$H,"",0,1))</f>
        <v/>
      </c>
      <c r="I632" s="36" t="str">
        <f>IF($C632="","",_xlfn.XLOOKUP($C632,Order!$C:$C,Order!$J:$J,"",0,1))</f>
        <v/>
      </c>
      <c r="J632" s="4" t="str">
        <f>IF(C632="","",Order!$J$16)</f>
        <v/>
      </c>
      <c r="K632" s="36" t="str">
        <f>IF($C632="","",_xlfn.XLOOKUP($C632,Order!$C:$C,Order!$P:$P,"",0,1))</f>
        <v/>
      </c>
      <c r="L632" s="4" t="str">
        <f t="shared" si="9"/>
        <v/>
      </c>
    </row>
    <row r="633" spans="2:12" ht="23.25" hidden="1" customHeight="1" x14ac:dyDescent="0.25">
      <c r="B633" s="4">
        <v>628</v>
      </c>
      <c r="C633" s="36" t="str">
        <f>IF(Order!$C$299="","",Order!$C$299)</f>
        <v/>
      </c>
      <c r="D633" s="36" t="str">
        <f>IF($C633="","",_xlfn.XLOOKUP($C633,Order!$C:$C,Order!$D:$D,"",0,1))</f>
        <v/>
      </c>
      <c r="E633" s="4" t="str">
        <f>IF($C633="","",_xlfn.XLOOKUP($C633,Order!$C:$C,Order!$E:$E,"",0,1))</f>
        <v/>
      </c>
      <c r="F633" s="4" t="str">
        <f>IF($C633="","",_xlfn.XLOOKUP($C633,Order!$C:$C,Order!$F:$F,"",0,1))</f>
        <v/>
      </c>
      <c r="G633" s="4" t="str">
        <f>IF($C633="","",_xlfn.XLOOKUP($C633,Order!$C:$C,Order!$G:$G,"",0,1))</f>
        <v/>
      </c>
      <c r="H633" s="4" t="str">
        <f>IF($C633="","",_xlfn.XLOOKUP($C633,Order!$C:$C,Order!$H:$H,"",0,1))</f>
        <v/>
      </c>
      <c r="I633" s="36" t="str">
        <f>IF($C633="","",_xlfn.XLOOKUP($C633,Order!$C:$C,Order!$J:$J,"",0,1))</f>
        <v/>
      </c>
      <c r="J633" s="4" t="str">
        <f>IF(C633="","",Order!$J$16)</f>
        <v/>
      </c>
      <c r="K633" s="36" t="str">
        <f>IF($C633="","",_xlfn.XLOOKUP($C633,Order!$C:$C,Order!$P:$P,"",0,1))</f>
        <v/>
      </c>
      <c r="L633" s="4" t="str">
        <f t="shared" si="9"/>
        <v/>
      </c>
    </row>
    <row r="634" spans="2:12" ht="23.25" hidden="1" customHeight="1" x14ac:dyDescent="0.25">
      <c r="B634" s="4">
        <v>629</v>
      </c>
      <c r="C634" s="36" t="str">
        <f>IF(Order!$C$300="","",Order!$C$300)</f>
        <v/>
      </c>
      <c r="D634" s="36" t="str">
        <f>IF($C634="","",_xlfn.XLOOKUP($C634,Order!$C:$C,Order!$D:$D,"",0,1))</f>
        <v/>
      </c>
      <c r="E634" s="4" t="str">
        <f>IF($C634="","",_xlfn.XLOOKUP($C634,Order!$C:$C,Order!$E:$E,"",0,1))</f>
        <v/>
      </c>
      <c r="F634" s="4" t="str">
        <f>IF($C634="","",_xlfn.XLOOKUP($C634,Order!$C:$C,Order!$F:$F,"",0,1))</f>
        <v/>
      </c>
      <c r="G634" s="4" t="str">
        <f>IF($C634="","",_xlfn.XLOOKUP($C634,Order!$C:$C,Order!$G:$G,"",0,1))</f>
        <v/>
      </c>
      <c r="H634" s="4" t="str">
        <f>IF($C634="","",_xlfn.XLOOKUP($C634,Order!$C:$C,Order!$H:$H,"",0,1))</f>
        <v/>
      </c>
      <c r="I634" s="36" t="str">
        <f>IF($C634="","",_xlfn.XLOOKUP($C634,Order!$C:$C,Order!$J:$J,"",0,1))</f>
        <v/>
      </c>
      <c r="J634" s="4" t="str">
        <f>IF(C634="","",Order!$J$16)</f>
        <v/>
      </c>
      <c r="K634" s="36" t="str">
        <f>IF($C634="","",_xlfn.XLOOKUP($C634,Order!$C:$C,Order!$P:$P,"",0,1))</f>
        <v/>
      </c>
      <c r="L634" s="4" t="str">
        <f t="shared" si="9"/>
        <v/>
      </c>
    </row>
    <row r="635" spans="2:12" ht="23.25" hidden="1" customHeight="1" x14ac:dyDescent="0.25">
      <c r="B635" s="4">
        <v>630</v>
      </c>
      <c r="C635" s="36" t="str">
        <f>IF(Order!$C$301="","",Order!$C$301)</f>
        <v/>
      </c>
      <c r="D635" s="36" t="str">
        <f>IF($C635="","",_xlfn.XLOOKUP($C635,Order!$C:$C,Order!$D:$D,"",0,1))</f>
        <v/>
      </c>
      <c r="E635" s="4" t="str">
        <f>IF($C635="","",_xlfn.XLOOKUP($C635,Order!$C:$C,Order!$E:$E,"",0,1))</f>
        <v/>
      </c>
      <c r="F635" s="4" t="str">
        <f>IF($C635="","",_xlfn.XLOOKUP($C635,Order!$C:$C,Order!$F:$F,"",0,1))</f>
        <v/>
      </c>
      <c r="G635" s="4" t="str">
        <f>IF($C635="","",_xlfn.XLOOKUP($C635,Order!$C:$C,Order!$G:$G,"",0,1))</f>
        <v/>
      </c>
      <c r="H635" s="4" t="str">
        <f>IF($C635="","",_xlfn.XLOOKUP($C635,Order!$C:$C,Order!$H:$H,"",0,1))</f>
        <v/>
      </c>
      <c r="I635" s="36" t="str">
        <f>IF($C635="","",_xlfn.XLOOKUP($C635,Order!$C:$C,Order!$J:$J,"",0,1))</f>
        <v/>
      </c>
      <c r="J635" s="4" t="str">
        <f>IF(C635="","",Order!$J$16)</f>
        <v/>
      </c>
      <c r="K635" s="36" t="str">
        <f>IF($C635="","",_xlfn.XLOOKUP($C635,Order!$C:$C,Order!$P:$P,"",0,1))</f>
        <v/>
      </c>
      <c r="L635" s="4" t="str">
        <f t="shared" si="9"/>
        <v/>
      </c>
    </row>
    <row r="636" spans="2:12" ht="23.25" hidden="1" customHeight="1" x14ac:dyDescent="0.25">
      <c r="B636" s="4">
        <v>631</v>
      </c>
      <c r="C636" s="36" t="str">
        <f>IF(Order!$C$302="","",Order!$C$302)</f>
        <v/>
      </c>
      <c r="D636" s="36" t="str">
        <f>IF($C636="","",_xlfn.XLOOKUP($C636,Order!$C:$C,Order!$D:$D,"",0,1))</f>
        <v/>
      </c>
      <c r="E636" s="4" t="str">
        <f>IF($C636="","",_xlfn.XLOOKUP($C636,Order!$C:$C,Order!$E:$E,"",0,1))</f>
        <v/>
      </c>
      <c r="F636" s="4" t="str">
        <f>IF($C636="","",_xlfn.XLOOKUP($C636,Order!$C:$C,Order!$F:$F,"",0,1))</f>
        <v/>
      </c>
      <c r="G636" s="4" t="str">
        <f>IF($C636="","",_xlfn.XLOOKUP($C636,Order!$C:$C,Order!$G:$G,"",0,1))</f>
        <v/>
      </c>
      <c r="H636" s="4" t="str">
        <f>IF($C636="","",_xlfn.XLOOKUP($C636,Order!$C:$C,Order!$H:$H,"",0,1))</f>
        <v/>
      </c>
      <c r="I636" s="36" t="str">
        <f>IF($C636="","",_xlfn.XLOOKUP($C636,Order!$C:$C,Order!$J:$J,"",0,1))</f>
        <v/>
      </c>
      <c r="J636" s="4" t="str">
        <f>IF(C636="","",Order!$J$16)</f>
        <v/>
      </c>
      <c r="K636" s="36" t="str">
        <f>IF($C636="","",_xlfn.XLOOKUP($C636,Order!$C:$C,Order!$P:$P,"",0,1))</f>
        <v/>
      </c>
      <c r="L636" s="4" t="str">
        <f t="shared" si="9"/>
        <v/>
      </c>
    </row>
    <row r="637" spans="2:12" ht="23.25" hidden="1" customHeight="1" x14ac:dyDescent="0.25">
      <c r="B637" s="4">
        <v>632</v>
      </c>
      <c r="C637" s="36" t="str">
        <f>IF(Order!$C$303="","",Order!$C$303)</f>
        <v/>
      </c>
      <c r="D637" s="36" t="str">
        <f>IF($C637="","",_xlfn.XLOOKUP($C637,Order!$C:$C,Order!$D:$D,"",0,1))</f>
        <v/>
      </c>
      <c r="E637" s="4" t="str">
        <f>IF($C637="","",_xlfn.XLOOKUP($C637,Order!$C:$C,Order!$E:$E,"",0,1))</f>
        <v/>
      </c>
      <c r="F637" s="4" t="str">
        <f>IF($C637="","",_xlfn.XLOOKUP($C637,Order!$C:$C,Order!$F:$F,"",0,1))</f>
        <v/>
      </c>
      <c r="G637" s="4" t="str">
        <f>IF($C637="","",_xlfn.XLOOKUP($C637,Order!$C:$C,Order!$G:$G,"",0,1))</f>
        <v/>
      </c>
      <c r="H637" s="4" t="str">
        <f>IF($C637="","",_xlfn.XLOOKUP($C637,Order!$C:$C,Order!$H:$H,"",0,1))</f>
        <v/>
      </c>
      <c r="I637" s="36" t="str">
        <f>IF($C637="","",_xlfn.XLOOKUP($C637,Order!$C:$C,Order!$J:$J,"",0,1))</f>
        <v/>
      </c>
      <c r="J637" s="4" t="str">
        <f>IF(C637="","",Order!$J$16)</f>
        <v/>
      </c>
      <c r="K637" s="36" t="str">
        <f>IF($C637="","",_xlfn.XLOOKUP($C637,Order!$C:$C,Order!$P:$P,"",0,1))</f>
        <v/>
      </c>
      <c r="L637" s="4" t="str">
        <f t="shared" si="9"/>
        <v/>
      </c>
    </row>
    <row r="638" spans="2:12" ht="23.25" hidden="1" customHeight="1" x14ac:dyDescent="0.25">
      <c r="B638" s="4">
        <v>633</v>
      </c>
      <c r="C638" s="36" t="str">
        <f>IF(Order!$C$304="","",Order!$C$304)</f>
        <v/>
      </c>
      <c r="D638" s="36" t="str">
        <f>IF($C638="","",_xlfn.XLOOKUP($C638,Order!$C:$C,Order!$D:$D,"",0,1))</f>
        <v/>
      </c>
      <c r="E638" s="4" t="str">
        <f>IF($C638="","",_xlfn.XLOOKUP($C638,Order!$C:$C,Order!$E:$E,"",0,1))</f>
        <v/>
      </c>
      <c r="F638" s="4" t="str">
        <f>IF($C638="","",_xlfn.XLOOKUP($C638,Order!$C:$C,Order!$F:$F,"",0,1))</f>
        <v/>
      </c>
      <c r="G638" s="4" t="str">
        <f>IF($C638="","",_xlfn.XLOOKUP($C638,Order!$C:$C,Order!$G:$G,"",0,1))</f>
        <v/>
      </c>
      <c r="H638" s="4" t="str">
        <f>IF($C638="","",_xlfn.XLOOKUP($C638,Order!$C:$C,Order!$H:$H,"",0,1))</f>
        <v/>
      </c>
      <c r="I638" s="36" t="str">
        <f>IF($C638="","",_xlfn.XLOOKUP($C638,Order!$C:$C,Order!$J:$J,"",0,1))</f>
        <v/>
      </c>
      <c r="J638" s="4" t="str">
        <f>IF(C638="","",Order!$J$16)</f>
        <v/>
      </c>
      <c r="K638" s="36" t="str">
        <f>IF($C638="","",_xlfn.XLOOKUP($C638,Order!$C:$C,Order!$P:$P,"",0,1))</f>
        <v/>
      </c>
      <c r="L638" s="4" t="str">
        <f t="shared" si="9"/>
        <v/>
      </c>
    </row>
    <row r="639" spans="2:12" ht="23.25" hidden="1" customHeight="1" x14ac:dyDescent="0.25">
      <c r="B639" s="4">
        <v>634</v>
      </c>
      <c r="C639" s="36" t="str">
        <f>IF(Order!$C$305="","",Order!$C$305)</f>
        <v/>
      </c>
      <c r="D639" s="36" t="str">
        <f>IF($C639="","",_xlfn.XLOOKUP($C639,Order!$C:$C,Order!$D:$D,"",0,1))</f>
        <v/>
      </c>
      <c r="E639" s="4" t="str">
        <f>IF($C639="","",_xlfn.XLOOKUP($C639,Order!$C:$C,Order!$E:$E,"",0,1))</f>
        <v/>
      </c>
      <c r="F639" s="4" t="str">
        <f>IF($C639="","",_xlfn.XLOOKUP($C639,Order!$C:$C,Order!$F:$F,"",0,1))</f>
        <v/>
      </c>
      <c r="G639" s="4" t="str">
        <f>IF($C639="","",_xlfn.XLOOKUP($C639,Order!$C:$C,Order!$G:$G,"",0,1))</f>
        <v/>
      </c>
      <c r="H639" s="4" t="str">
        <f>IF($C639="","",_xlfn.XLOOKUP($C639,Order!$C:$C,Order!$H:$H,"",0,1))</f>
        <v/>
      </c>
      <c r="I639" s="36" t="str">
        <f>IF($C639="","",_xlfn.XLOOKUP($C639,Order!$C:$C,Order!$J:$J,"",0,1))</f>
        <v/>
      </c>
      <c r="J639" s="4" t="str">
        <f>IF(C639="","",Order!$J$16)</f>
        <v/>
      </c>
      <c r="K639" s="36" t="str">
        <f>IF($C639="","",_xlfn.XLOOKUP($C639,Order!$C:$C,Order!$P:$P,"",0,1))</f>
        <v/>
      </c>
      <c r="L639" s="4" t="str">
        <f t="shared" si="9"/>
        <v/>
      </c>
    </row>
    <row r="640" spans="2:12" ht="23.25" hidden="1" customHeight="1" x14ac:dyDescent="0.25">
      <c r="B640" s="4">
        <v>635</v>
      </c>
      <c r="C640" s="36" t="str">
        <f>IF(Order!$C$306="","",Order!$C$306)</f>
        <v>BX662</v>
      </c>
      <c r="D640" s="36" t="str">
        <f>IF($C640="","",_xlfn.XLOOKUP($C640,Order!$C:$C,Order!$D:$D,"",0,1))</f>
        <v>BX662</v>
      </c>
      <c r="E640" s="4" t="e" vm="478">
        <f>IF($C640="","",_xlfn.XLOOKUP($C640,Order!$C:$C,Order!$E:$E,"",0,1))</f>
        <v>#VALUE!</v>
      </c>
      <c r="F640" s="4">
        <f>IF($C640="","",_xlfn.XLOOKUP($C640,Order!$C:$C,Order!$F:$F,"",0,1))</f>
        <v>6000</v>
      </c>
      <c r="G640" s="4" t="str">
        <f>IF($C640="","",_xlfn.XLOOKUP($C640,Order!$C:$C,Order!$G:$G,"",0,1))</f>
        <v>6063T5</v>
      </c>
      <c r="H640" s="4">
        <f>IF($C640="","",_xlfn.XLOOKUP($C640,Order!$C:$C,Order!$H:$H,"",0,1))</f>
        <v>0.96499999999999997</v>
      </c>
      <c r="I640" s="36">
        <f>IF($C640="","",_xlfn.XLOOKUP($C640,Order!$C:$C,Order!$J:$J,"",0,1))</f>
        <v>0</v>
      </c>
      <c r="J640" s="4" t="str">
        <f>IF(C640="","",Order!$J$16)</f>
        <v>SILVER ANODIZED (FAYP01)</v>
      </c>
      <c r="K640" s="36">
        <f>IF($C640="","",_xlfn.XLOOKUP($C640,Order!$C:$C,Order!$P:$P,"",0,1))</f>
        <v>0</v>
      </c>
      <c r="L640" s="4">
        <f t="shared" si="9"/>
        <v>0</v>
      </c>
    </row>
    <row r="641" spans="2:12" ht="23.25" hidden="1" customHeight="1" x14ac:dyDescent="0.25">
      <c r="B641" s="4">
        <v>636</v>
      </c>
      <c r="C641" s="36" t="str">
        <f>IF(Order!$C$307="","",Order!$C$307)</f>
        <v>BX663</v>
      </c>
      <c r="D641" s="36" t="str">
        <f>IF($C641="","",_xlfn.XLOOKUP($C641,Order!$C:$C,Order!$D:$D,"",0,1))</f>
        <v>BX663</v>
      </c>
      <c r="E641" s="4" t="e" vm="479">
        <f>IF($C641="","",_xlfn.XLOOKUP($C641,Order!$C:$C,Order!$E:$E,"",0,1))</f>
        <v>#VALUE!</v>
      </c>
      <c r="F641" s="4">
        <f>IF($C641="","",_xlfn.XLOOKUP($C641,Order!$C:$C,Order!$F:$F,"",0,1))</f>
        <v>6000</v>
      </c>
      <c r="G641" s="4" t="str">
        <f>IF($C641="","",_xlfn.XLOOKUP($C641,Order!$C:$C,Order!$G:$G,"",0,1))</f>
        <v>6063T5</v>
      </c>
      <c r="H641" s="4">
        <f>IF($C641="","",_xlfn.XLOOKUP($C641,Order!$C:$C,Order!$H:$H,"",0,1))</f>
        <v>0.58899999999999997</v>
      </c>
      <c r="I641" s="36">
        <f>IF($C641="","",_xlfn.XLOOKUP($C641,Order!$C:$C,Order!$J:$J,"",0,1))</f>
        <v>0</v>
      </c>
      <c r="J641" s="4" t="str">
        <f>IF(C641="","",Order!$J$16)</f>
        <v>SILVER ANODIZED (FAYP01)</v>
      </c>
      <c r="K641" s="36">
        <f>IF($C641="","",_xlfn.XLOOKUP($C641,Order!$C:$C,Order!$P:$P,"",0,1))</f>
        <v>0</v>
      </c>
      <c r="L641" s="4">
        <f t="shared" si="9"/>
        <v>0</v>
      </c>
    </row>
    <row r="642" spans="2:12" ht="23.25" hidden="1" customHeight="1" x14ac:dyDescent="0.25">
      <c r="B642" s="4">
        <v>637</v>
      </c>
      <c r="C642" s="36" t="str">
        <f>IF(Order!$C$308="","",Order!$C$308)</f>
        <v>BX664</v>
      </c>
      <c r="D642" s="36" t="str">
        <f>IF($C642="","",_xlfn.XLOOKUP($C642,Order!$C:$C,Order!$D:$D,"",0,1))</f>
        <v>BX664</v>
      </c>
      <c r="E642" s="4" t="e" vm="480">
        <f>IF($C642="","",_xlfn.XLOOKUP($C642,Order!$C:$C,Order!$E:$E,"",0,1))</f>
        <v>#VALUE!</v>
      </c>
      <c r="F642" s="4">
        <f>IF($C642="","",_xlfn.XLOOKUP($C642,Order!$C:$C,Order!$F:$F,"",0,1))</f>
        <v>6000</v>
      </c>
      <c r="G642" s="4" t="str">
        <f>IF($C642="","",_xlfn.XLOOKUP($C642,Order!$C:$C,Order!$G:$G,"",0,1))</f>
        <v>6063T5</v>
      </c>
      <c r="H642" s="4">
        <f>IF($C642="","",_xlfn.XLOOKUP($C642,Order!$C:$C,Order!$H:$H,"",0,1))</f>
        <v>1.244</v>
      </c>
      <c r="I642" s="36">
        <f>IF($C642="","",_xlfn.XLOOKUP($C642,Order!$C:$C,Order!$J:$J,"",0,1))</f>
        <v>0</v>
      </c>
      <c r="J642" s="4" t="str">
        <f>IF(C642="","",Order!$J$16)</f>
        <v>SILVER ANODIZED (FAYP01)</v>
      </c>
      <c r="K642" s="36">
        <f>IF($C642="","",_xlfn.XLOOKUP($C642,Order!$C:$C,Order!$P:$P,"",0,1))</f>
        <v>0</v>
      </c>
      <c r="L642" s="4">
        <f t="shared" si="9"/>
        <v>0</v>
      </c>
    </row>
    <row r="643" spans="2:12" ht="23.25" hidden="1" customHeight="1" x14ac:dyDescent="0.25">
      <c r="B643" s="4">
        <v>638</v>
      </c>
      <c r="C643" s="36" t="str">
        <f>IF(Order!$C$309="","",Order!$C$309)</f>
        <v>BX665</v>
      </c>
      <c r="D643" s="36" t="str">
        <f>IF($C643="","",_xlfn.XLOOKUP($C643,Order!$C:$C,Order!$D:$D,"",0,1))</f>
        <v>BX665</v>
      </c>
      <c r="E643" s="4" t="e" vm="481">
        <f>IF($C643="","",_xlfn.XLOOKUP($C643,Order!$C:$C,Order!$E:$E,"",0,1))</f>
        <v>#VALUE!</v>
      </c>
      <c r="F643" s="4">
        <f>IF($C643="","",_xlfn.XLOOKUP($C643,Order!$C:$C,Order!$F:$F,"",0,1))</f>
        <v>6000</v>
      </c>
      <c r="G643" s="4" t="str">
        <f>IF($C643="","",_xlfn.XLOOKUP($C643,Order!$C:$C,Order!$G:$G,"",0,1))</f>
        <v>6063T5</v>
      </c>
      <c r="H643" s="4">
        <f>IF($C643="","",_xlfn.XLOOKUP($C643,Order!$C:$C,Order!$H:$H,"",0,1))</f>
        <v>0.192</v>
      </c>
      <c r="I643" s="36">
        <f>IF($C643="","",_xlfn.XLOOKUP($C643,Order!$C:$C,Order!$J:$J,"",0,1))</f>
        <v>0</v>
      </c>
      <c r="J643" s="4" t="str">
        <f>IF(C643="","",Order!$J$16)</f>
        <v>SILVER ANODIZED (FAYP01)</v>
      </c>
      <c r="K643" s="36">
        <f>IF($C643="","",_xlfn.XLOOKUP($C643,Order!$C:$C,Order!$P:$P,"",0,1))</f>
        <v>0</v>
      </c>
      <c r="L643" s="4">
        <f t="shared" si="9"/>
        <v>0</v>
      </c>
    </row>
    <row r="644" spans="2:12" ht="23.25" hidden="1" customHeight="1" x14ac:dyDescent="0.25">
      <c r="B644" s="4">
        <v>639</v>
      </c>
      <c r="C644" s="36" t="str">
        <f>IF(Order!$C$310="","",Order!$C$310)</f>
        <v>BX666</v>
      </c>
      <c r="D644" s="36" t="str">
        <f>IF($C644="","",_xlfn.XLOOKUP($C644,Order!$C:$C,Order!$D:$D,"",0,1))</f>
        <v>BX666</v>
      </c>
      <c r="E644" s="4" t="e" vm="482">
        <f>IF($C644="","",_xlfn.XLOOKUP($C644,Order!$C:$C,Order!$E:$E,"",0,1))</f>
        <v>#VALUE!</v>
      </c>
      <c r="F644" s="4">
        <f>IF($C644="","",_xlfn.XLOOKUP($C644,Order!$C:$C,Order!$F:$F,"",0,1))</f>
        <v>6000</v>
      </c>
      <c r="G644" s="4" t="str">
        <f>IF($C644="","",_xlfn.XLOOKUP($C644,Order!$C:$C,Order!$G:$G,"",0,1))</f>
        <v>6063T5</v>
      </c>
      <c r="H644" s="4">
        <f>IF($C644="","",_xlfn.XLOOKUP($C644,Order!$C:$C,Order!$H:$H,"",0,1))</f>
        <v>0.48799999999999999</v>
      </c>
      <c r="I644" s="36">
        <f>IF($C644="","",_xlfn.XLOOKUP($C644,Order!$C:$C,Order!$J:$J,"",0,1))</f>
        <v>0</v>
      </c>
      <c r="J644" s="4" t="str">
        <f>IF(C644="","",Order!$J$16)</f>
        <v>SILVER ANODIZED (FAYP01)</v>
      </c>
      <c r="K644" s="36">
        <f>IF($C644="","",_xlfn.XLOOKUP($C644,Order!$C:$C,Order!$P:$P,"",0,1))</f>
        <v>0</v>
      </c>
      <c r="L644" s="4">
        <f t="shared" si="9"/>
        <v>0</v>
      </c>
    </row>
    <row r="645" spans="2:12" ht="23.25" hidden="1" customHeight="1" x14ac:dyDescent="0.25">
      <c r="B645" s="4">
        <v>640</v>
      </c>
      <c r="C645" s="36" t="str">
        <f>IF(Order!$C$311="","",Order!$C$311)</f>
        <v>BX667</v>
      </c>
      <c r="D645" s="36" t="str">
        <f>IF($C645="","",_xlfn.XLOOKUP($C645,Order!$C:$C,Order!$D:$D,"",0,1))</f>
        <v>BX667</v>
      </c>
      <c r="E645" s="4" t="e" vm="483">
        <f>IF($C645="","",_xlfn.XLOOKUP($C645,Order!$C:$C,Order!$E:$E,"",0,1))</f>
        <v>#VALUE!</v>
      </c>
      <c r="F645" s="4">
        <f>IF($C645="","",_xlfn.XLOOKUP($C645,Order!$C:$C,Order!$F:$F,"",0,1))</f>
        <v>6000</v>
      </c>
      <c r="G645" s="4" t="str">
        <f>IF($C645="","",_xlfn.XLOOKUP($C645,Order!$C:$C,Order!$G:$G,"",0,1))</f>
        <v>6063T5</v>
      </c>
      <c r="H645" s="4">
        <f>IF($C645="","",_xlfn.XLOOKUP($C645,Order!$C:$C,Order!$H:$H,"",0,1))</f>
        <v>0.48299999999999998</v>
      </c>
      <c r="I645" s="36">
        <f>IF($C645="","",_xlfn.XLOOKUP($C645,Order!$C:$C,Order!$J:$J,"",0,1))</f>
        <v>0</v>
      </c>
      <c r="J645" s="4" t="str">
        <f>IF(C645="","",Order!$J$16)</f>
        <v>SILVER ANODIZED (FAYP01)</v>
      </c>
      <c r="K645" s="36">
        <f>IF($C645="","",_xlfn.XLOOKUP($C645,Order!$C:$C,Order!$P:$P,"",0,1))</f>
        <v>0</v>
      </c>
      <c r="L645" s="4">
        <f t="shared" si="9"/>
        <v>0</v>
      </c>
    </row>
    <row r="646" spans="2:12" ht="23.25" hidden="1" customHeight="1" x14ac:dyDescent="0.25">
      <c r="B646" s="4">
        <v>641</v>
      </c>
      <c r="C646" s="36" t="str">
        <f>IF(Order!$C$312="","",Order!$C$312)</f>
        <v>BX709</v>
      </c>
      <c r="D646" s="36" t="str">
        <f>IF($C646="","",_xlfn.XLOOKUP($C646,Order!$C:$C,Order!$D:$D,"",0,1))</f>
        <v>BX709</v>
      </c>
      <c r="E646" s="4" t="e" vm="484">
        <f>IF($C646="","",_xlfn.XLOOKUP($C646,Order!$C:$C,Order!$E:$E,"",0,1))</f>
        <v>#VALUE!</v>
      </c>
      <c r="F646" s="4">
        <f>IF($C646="","",_xlfn.XLOOKUP($C646,Order!$C:$C,Order!$F:$F,"",0,1))</f>
        <v>6000</v>
      </c>
      <c r="G646" s="4" t="str">
        <f>IF($C646="","",_xlfn.XLOOKUP($C646,Order!$C:$C,Order!$G:$G,"",0,1))</f>
        <v>6063T5</v>
      </c>
      <c r="H646" s="4">
        <f>IF($C646="","",_xlfn.XLOOKUP($C646,Order!$C:$C,Order!$H:$H,"",0,1))</f>
        <v>1.595</v>
      </c>
      <c r="I646" s="36">
        <f>IF($C646="","",_xlfn.XLOOKUP($C646,Order!$C:$C,Order!$J:$J,"",0,1))</f>
        <v>0</v>
      </c>
      <c r="J646" s="4" t="str">
        <f>IF(C646="","",Order!$J$16)</f>
        <v>SILVER ANODIZED (FAYP01)</v>
      </c>
      <c r="K646" s="36">
        <f>IF($C646="","",_xlfn.XLOOKUP($C646,Order!$C:$C,Order!$P:$P,"",0,1))</f>
        <v>0</v>
      </c>
      <c r="L646" s="4">
        <f t="shared" si="9"/>
        <v>0</v>
      </c>
    </row>
    <row r="647" spans="2:12" ht="23.25" hidden="1" customHeight="1" x14ac:dyDescent="0.25">
      <c r="B647" s="4">
        <v>642</v>
      </c>
      <c r="C647" s="36" t="str">
        <f>IF(Order!$C$313="","",Order!$C$313)</f>
        <v>BX710</v>
      </c>
      <c r="D647" s="36" t="str">
        <f>IF($C647="","",_xlfn.XLOOKUP($C647,Order!$C:$C,Order!$D:$D,"",0,1))</f>
        <v>BX710</v>
      </c>
      <c r="E647" s="4" t="e" vm="485">
        <f>IF($C647="","",_xlfn.XLOOKUP($C647,Order!$C:$C,Order!$E:$E,"",0,1))</f>
        <v>#VALUE!</v>
      </c>
      <c r="F647" s="4">
        <f>IF($C647="","",_xlfn.XLOOKUP($C647,Order!$C:$C,Order!$F:$F,"",0,1))</f>
        <v>6000</v>
      </c>
      <c r="G647" s="4" t="str">
        <f>IF($C647="","",_xlfn.XLOOKUP($C647,Order!$C:$C,Order!$G:$G,"",0,1))</f>
        <v>6063T5</v>
      </c>
      <c r="H647" s="4">
        <f>IF($C647="","",_xlfn.XLOOKUP($C647,Order!$C:$C,Order!$H:$H,"",0,1))</f>
        <v>2.125</v>
      </c>
      <c r="I647" s="36">
        <f>IF($C647="","",_xlfn.XLOOKUP($C647,Order!$C:$C,Order!$J:$J,"",0,1))</f>
        <v>0</v>
      </c>
      <c r="J647" s="4" t="str">
        <f>IF(C647="","",Order!$J$16)</f>
        <v>SILVER ANODIZED (FAYP01)</v>
      </c>
      <c r="K647" s="36">
        <f>IF($C647="","",_xlfn.XLOOKUP($C647,Order!$C:$C,Order!$P:$P,"",0,1))</f>
        <v>0</v>
      </c>
      <c r="L647" s="4">
        <f t="shared" ref="L647:L710" si="10">IF(C647="","",F647/1000*H647*I647)</f>
        <v>0</v>
      </c>
    </row>
    <row r="648" spans="2:12" ht="23.25" hidden="1" customHeight="1" x14ac:dyDescent="0.25">
      <c r="B648" s="4">
        <v>643</v>
      </c>
      <c r="C648" s="36" t="str">
        <f>IF(Order!$C$314="","",Order!$C$314)</f>
        <v>BX713</v>
      </c>
      <c r="D648" s="36" t="str">
        <f>IF($C648="","",_xlfn.XLOOKUP($C648,Order!$C:$C,Order!$D:$D,"",0,1))</f>
        <v>BX713</v>
      </c>
      <c r="E648" s="4" t="e" vm="486">
        <f>IF($C648="","",_xlfn.XLOOKUP($C648,Order!$C:$C,Order!$E:$E,"",0,1))</f>
        <v>#VALUE!</v>
      </c>
      <c r="F648" s="4">
        <f>IF($C648="","",_xlfn.XLOOKUP($C648,Order!$C:$C,Order!$F:$F,"",0,1))</f>
        <v>6000</v>
      </c>
      <c r="G648" s="4" t="str">
        <f>IF($C648="","",_xlfn.XLOOKUP($C648,Order!$C:$C,Order!$G:$G,"",0,1))</f>
        <v>6063T5</v>
      </c>
      <c r="H648" s="4">
        <f>IF($C648="","",_xlfn.XLOOKUP($C648,Order!$C:$C,Order!$H:$H,"",0,1))</f>
        <v>1.169</v>
      </c>
      <c r="I648" s="36">
        <f>IF($C648="","",_xlfn.XLOOKUP($C648,Order!$C:$C,Order!$J:$J,"",0,1))</f>
        <v>0</v>
      </c>
      <c r="J648" s="4" t="str">
        <f>IF(C648="","",Order!$J$16)</f>
        <v>SILVER ANODIZED (FAYP01)</v>
      </c>
      <c r="K648" s="36">
        <f>IF($C648="","",_xlfn.XLOOKUP($C648,Order!$C:$C,Order!$P:$P,"",0,1))</f>
        <v>0</v>
      </c>
      <c r="L648" s="4">
        <f t="shared" si="10"/>
        <v>0</v>
      </c>
    </row>
    <row r="649" spans="2:12" ht="23.25" hidden="1" customHeight="1" x14ac:dyDescent="0.25">
      <c r="B649" s="4">
        <v>644</v>
      </c>
      <c r="C649" s="36" t="str">
        <f>IF(Order!$C$315="","",Order!$C$315)</f>
        <v>BX716</v>
      </c>
      <c r="D649" s="36" t="str">
        <f>IF($C649="","",_xlfn.XLOOKUP($C649,Order!$C:$C,Order!$D:$D,"",0,1))</f>
        <v>BX716</v>
      </c>
      <c r="E649" s="4" t="e" vm="487">
        <f>IF($C649="","",_xlfn.XLOOKUP($C649,Order!$C:$C,Order!$E:$E,"",0,1))</f>
        <v>#VALUE!</v>
      </c>
      <c r="F649" s="4">
        <f>IF($C649="","",_xlfn.XLOOKUP($C649,Order!$C:$C,Order!$F:$F,"",0,1))</f>
        <v>6000</v>
      </c>
      <c r="G649" s="4" t="str">
        <f>IF($C649="","",_xlfn.XLOOKUP($C649,Order!$C:$C,Order!$G:$G,"",0,1))</f>
        <v>6063T5</v>
      </c>
      <c r="H649" s="4">
        <f>IF($C649="","",_xlfn.XLOOKUP($C649,Order!$C:$C,Order!$H:$H,"",0,1))</f>
        <v>0.71699999999999997</v>
      </c>
      <c r="I649" s="36">
        <f>IF($C649="","",_xlfn.XLOOKUP($C649,Order!$C:$C,Order!$J:$J,"",0,1))</f>
        <v>0</v>
      </c>
      <c r="J649" s="4" t="str">
        <f>IF(C649="","",Order!$J$16)</f>
        <v>SILVER ANODIZED (FAYP01)</v>
      </c>
      <c r="K649" s="36">
        <f>IF($C649="","",_xlfn.XLOOKUP($C649,Order!$C:$C,Order!$P:$P,"",0,1))</f>
        <v>0</v>
      </c>
      <c r="L649" s="4">
        <f t="shared" si="10"/>
        <v>0</v>
      </c>
    </row>
    <row r="650" spans="2:12" ht="23.25" hidden="1" customHeight="1" x14ac:dyDescent="0.25">
      <c r="B650" s="4">
        <v>645</v>
      </c>
      <c r="C650" s="36" t="str">
        <f>IF(Order!$C$316="","",Order!$C$316)</f>
        <v>BX717A</v>
      </c>
      <c r="D650" s="36" t="str">
        <f>IF($C650="","",_xlfn.XLOOKUP($C650,Order!$C:$C,Order!$D:$D,"",0,1))</f>
        <v>BX717A</v>
      </c>
      <c r="E650" s="4" t="e" vm="488">
        <f>IF($C650="","",_xlfn.XLOOKUP($C650,Order!$C:$C,Order!$E:$E,"",0,1))</f>
        <v>#VALUE!</v>
      </c>
      <c r="F650" s="4">
        <f>IF($C650="","",_xlfn.XLOOKUP($C650,Order!$C:$C,Order!$F:$F,"",0,1))</f>
        <v>6000</v>
      </c>
      <c r="G650" s="4" t="str">
        <f>IF($C650="","",_xlfn.XLOOKUP($C650,Order!$C:$C,Order!$G:$G,"",0,1))</f>
        <v>6063T5</v>
      </c>
      <c r="H650" s="4">
        <f>IF($C650="","",_xlfn.XLOOKUP($C650,Order!$C:$C,Order!$H:$H,"",0,1))</f>
        <v>0.68500000000000005</v>
      </c>
      <c r="I650" s="36">
        <f>IF($C650="","",_xlfn.XLOOKUP($C650,Order!$C:$C,Order!$J:$J,"",0,1))</f>
        <v>0</v>
      </c>
      <c r="J650" s="4" t="str">
        <f>IF(C650="","",Order!$J$16)</f>
        <v>SILVER ANODIZED (FAYP01)</v>
      </c>
      <c r="K650" s="36">
        <f>IF($C650="","",_xlfn.XLOOKUP($C650,Order!$C:$C,Order!$P:$P,"",0,1))</f>
        <v>0</v>
      </c>
      <c r="L650" s="4">
        <f t="shared" si="10"/>
        <v>0</v>
      </c>
    </row>
    <row r="651" spans="2:12" ht="23.25" hidden="1" customHeight="1" x14ac:dyDescent="0.25">
      <c r="B651" s="4">
        <v>646</v>
      </c>
      <c r="C651" s="36" t="str">
        <f>IF(Order!$C$317="","",Order!$C$317)</f>
        <v>BX1096 (FC-261)</v>
      </c>
      <c r="D651" s="36" t="str">
        <f>IF($C651="","",_xlfn.XLOOKUP($C651,Order!$C:$C,Order!$D:$D,"",0,1))</f>
        <v>BX1096</v>
      </c>
      <c r="E651" s="4" t="e" vm="489">
        <f>IF($C651="","",_xlfn.XLOOKUP($C651,Order!$C:$C,Order!$E:$E,"",0,1))</f>
        <v>#VALUE!</v>
      </c>
      <c r="F651" s="4">
        <f>IF($C651="","",_xlfn.XLOOKUP($C651,Order!$C:$C,Order!$F:$F,"",0,1))</f>
        <v>6000</v>
      </c>
      <c r="G651" s="4" t="str">
        <f>IF($C651="","",_xlfn.XLOOKUP($C651,Order!$C:$C,Order!$G:$G,"",0,1))</f>
        <v>6063T5</v>
      </c>
      <c r="H651" s="4">
        <f>IF($C651="","",_xlfn.XLOOKUP($C651,Order!$C:$C,Order!$H:$H,"",0,1))</f>
        <v>0.46899999999999997</v>
      </c>
      <c r="I651" s="36">
        <f>IF($C651="","",_xlfn.XLOOKUP($C651,Order!$C:$C,Order!$J:$J,"",0,1))</f>
        <v>0</v>
      </c>
      <c r="J651" s="4" t="str">
        <f>IF(C651="","",Order!$J$16)</f>
        <v>SILVER ANODIZED (FAYP01)</v>
      </c>
      <c r="K651" s="36">
        <f>IF($C651="","",_xlfn.XLOOKUP($C651,Order!$C:$C,Order!$P:$P,"",0,1))</f>
        <v>0</v>
      </c>
      <c r="L651" s="4">
        <f t="shared" si="10"/>
        <v>0</v>
      </c>
    </row>
    <row r="652" spans="2:12" ht="23.25" hidden="1" customHeight="1" x14ac:dyDescent="0.25">
      <c r="B652" s="4">
        <v>647</v>
      </c>
      <c r="C652" s="36" t="str">
        <f>IF(Order!$C$318="","",Order!$C$318)</f>
        <v>BX1099 (FC-225)</v>
      </c>
      <c r="D652" s="36" t="str">
        <f>IF($C652="","",_xlfn.XLOOKUP($C652,Order!$C:$C,Order!$D:$D,"",0,1))</f>
        <v>BX1099</v>
      </c>
      <c r="E652" s="4" t="e" vm="490">
        <f>IF($C652="","",_xlfn.XLOOKUP($C652,Order!$C:$C,Order!$E:$E,"",0,1))</f>
        <v>#VALUE!</v>
      </c>
      <c r="F652" s="4">
        <f>IF($C652="","",_xlfn.XLOOKUP($C652,Order!$C:$C,Order!$F:$F,"",0,1))</f>
        <v>6000</v>
      </c>
      <c r="G652" s="4" t="str">
        <f>IF($C652="","",_xlfn.XLOOKUP($C652,Order!$C:$C,Order!$G:$G,"",0,1))</f>
        <v>6063T5</v>
      </c>
      <c r="H652" s="4">
        <f>IF($C652="","",_xlfn.XLOOKUP($C652,Order!$C:$C,Order!$H:$H,"",0,1))</f>
        <v>0.51600000000000001</v>
      </c>
      <c r="I652" s="36">
        <f>IF($C652="","",_xlfn.XLOOKUP($C652,Order!$C:$C,Order!$J:$J,"",0,1))</f>
        <v>0</v>
      </c>
      <c r="J652" s="4" t="str">
        <f>IF(C652="","",Order!$J$16)</f>
        <v>SILVER ANODIZED (FAYP01)</v>
      </c>
      <c r="K652" s="36">
        <f>IF($C652="","",_xlfn.XLOOKUP($C652,Order!$C:$C,Order!$P:$P,"",0,1))</f>
        <v>0</v>
      </c>
      <c r="L652" s="4">
        <f t="shared" si="10"/>
        <v>0</v>
      </c>
    </row>
    <row r="653" spans="2:12" ht="23.25" hidden="1" customHeight="1" x14ac:dyDescent="0.25">
      <c r="B653" s="4">
        <v>648</v>
      </c>
      <c r="C653" s="36" t="str">
        <f>IF(Order!$C$319="","",Order!$C$319)</f>
        <v/>
      </c>
      <c r="D653" s="36" t="str">
        <f>IF($C653="","",_xlfn.XLOOKUP($C653,Order!$C:$C,Order!$D:$D,"",0,1))</f>
        <v/>
      </c>
      <c r="E653" s="4" t="str">
        <f>IF($C653="","",_xlfn.XLOOKUP($C653,Order!$C:$C,Order!$E:$E,"",0,1))</f>
        <v/>
      </c>
      <c r="F653" s="4" t="str">
        <f>IF($C653="","",_xlfn.XLOOKUP($C653,Order!$C:$C,Order!$F:$F,"",0,1))</f>
        <v/>
      </c>
      <c r="G653" s="4" t="str">
        <f>IF($C653="","",_xlfn.XLOOKUP($C653,Order!$C:$C,Order!$G:$G,"",0,1))</f>
        <v/>
      </c>
      <c r="H653" s="4" t="str">
        <f>IF($C653="","",_xlfn.XLOOKUP($C653,Order!$C:$C,Order!$H:$H,"",0,1))</f>
        <v/>
      </c>
      <c r="I653" s="36" t="str">
        <f>IF($C653="","",_xlfn.XLOOKUP($C653,Order!$C:$C,Order!$J:$J,"",0,1))</f>
        <v/>
      </c>
      <c r="J653" s="4" t="str">
        <f>IF(C653="","",Order!$J$16)</f>
        <v/>
      </c>
      <c r="K653" s="36" t="str">
        <f>IF($C653="","",_xlfn.XLOOKUP($C653,Order!$C:$C,Order!$P:$P,"",0,1))</f>
        <v/>
      </c>
      <c r="L653" s="4" t="str">
        <f t="shared" si="10"/>
        <v/>
      </c>
    </row>
    <row r="654" spans="2:12" ht="23.25" hidden="1" customHeight="1" x14ac:dyDescent="0.25">
      <c r="B654" s="4">
        <v>649</v>
      </c>
      <c r="C654" s="36" t="str">
        <f>IF(Order!$C$320="","",Order!$C$320)</f>
        <v/>
      </c>
      <c r="D654" s="36" t="str">
        <f>IF($C654="","",_xlfn.XLOOKUP($C654,Order!$C:$C,Order!$D:$D,"",0,1))</f>
        <v/>
      </c>
      <c r="E654" s="4" t="str">
        <f>IF($C654="","",_xlfn.XLOOKUP($C654,Order!$C:$C,Order!$E:$E,"",0,1))</f>
        <v/>
      </c>
      <c r="F654" s="4" t="str">
        <f>IF($C654="","",_xlfn.XLOOKUP($C654,Order!$C:$C,Order!$F:$F,"",0,1))</f>
        <v/>
      </c>
      <c r="G654" s="4" t="str">
        <f>IF($C654="","",_xlfn.XLOOKUP($C654,Order!$C:$C,Order!$G:$G,"",0,1))</f>
        <v/>
      </c>
      <c r="H654" s="4" t="str">
        <f>IF($C654="","",_xlfn.XLOOKUP($C654,Order!$C:$C,Order!$H:$H,"",0,1))</f>
        <v/>
      </c>
      <c r="I654" s="36" t="str">
        <f>IF($C654="","",_xlfn.XLOOKUP($C654,Order!$C:$C,Order!$J:$J,"",0,1))</f>
        <v/>
      </c>
      <c r="J654" s="4" t="str">
        <f>IF(C654="","",Order!$J$16)</f>
        <v/>
      </c>
      <c r="K654" s="36" t="str">
        <f>IF($C654="","",_xlfn.XLOOKUP($C654,Order!$C:$C,Order!$P:$P,"",0,1))</f>
        <v/>
      </c>
      <c r="L654" s="4" t="str">
        <f t="shared" si="10"/>
        <v/>
      </c>
    </row>
    <row r="655" spans="2:12" ht="23.25" hidden="1" customHeight="1" x14ac:dyDescent="0.25">
      <c r="B655" s="4">
        <v>650</v>
      </c>
      <c r="C655" s="36" t="str">
        <f>IF(Order!$C$321="","",Order!$C$321)</f>
        <v/>
      </c>
      <c r="D655" s="36" t="str">
        <f>IF($C655="","",_xlfn.XLOOKUP($C655,Order!$C:$C,Order!$D:$D,"",0,1))</f>
        <v/>
      </c>
      <c r="E655" s="4" t="str">
        <f>IF($C655="","",_xlfn.XLOOKUP($C655,Order!$C:$C,Order!$E:$E,"",0,1))</f>
        <v/>
      </c>
      <c r="F655" s="4" t="str">
        <f>IF($C655="","",_xlfn.XLOOKUP($C655,Order!$C:$C,Order!$F:$F,"",0,1))</f>
        <v/>
      </c>
      <c r="G655" s="4" t="str">
        <f>IF($C655="","",_xlfn.XLOOKUP($C655,Order!$C:$C,Order!$G:$G,"",0,1))</f>
        <v/>
      </c>
      <c r="H655" s="4" t="str">
        <f>IF($C655="","",_xlfn.XLOOKUP($C655,Order!$C:$C,Order!$H:$H,"",0,1))</f>
        <v/>
      </c>
      <c r="I655" s="36" t="str">
        <f>IF($C655="","",_xlfn.XLOOKUP($C655,Order!$C:$C,Order!$J:$J,"",0,1))</f>
        <v/>
      </c>
      <c r="J655" s="4" t="str">
        <f>IF(C655="","",Order!$J$16)</f>
        <v/>
      </c>
      <c r="K655" s="36" t="str">
        <f>IF($C655="","",_xlfn.XLOOKUP($C655,Order!$C:$C,Order!$P:$P,"",0,1))</f>
        <v/>
      </c>
      <c r="L655" s="4" t="str">
        <f t="shared" si="10"/>
        <v/>
      </c>
    </row>
    <row r="656" spans="2:12" ht="23.25" hidden="1" customHeight="1" x14ac:dyDescent="0.25">
      <c r="B656" s="4">
        <v>651</v>
      </c>
      <c r="C656" s="36" t="str">
        <f>IF(Order!$C$322="","",Order!$C$322)</f>
        <v/>
      </c>
      <c r="D656" s="36" t="str">
        <f>IF($C656="","",_xlfn.XLOOKUP($C656,Order!$C:$C,Order!$D:$D,"",0,1))</f>
        <v/>
      </c>
      <c r="E656" s="4" t="str">
        <f>IF($C656="","",_xlfn.XLOOKUP($C656,Order!$C:$C,Order!$E:$E,"",0,1))</f>
        <v/>
      </c>
      <c r="F656" s="4" t="str">
        <f>IF($C656="","",_xlfn.XLOOKUP($C656,Order!$C:$C,Order!$F:$F,"",0,1))</f>
        <v/>
      </c>
      <c r="G656" s="4" t="str">
        <f>IF($C656="","",_xlfn.XLOOKUP($C656,Order!$C:$C,Order!$G:$G,"",0,1))</f>
        <v/>
      </c>
      <c r="H656" s="4" t="str">
        <f>IF($C656="","",_xlfn.XLOOKUP($C656,Order!$C:$C,Order!$H:$H,"",0,1))</f>
        <v/>
      </c>
      <c r="I656" s="36" t="str">
        <f>IF($C656="","",_xlfn.XLOOKUP($C656,Order!$C:$C,Order!$J:$J,"",0,1))</f>
        <v/>
      </c>
      <c r="J656" s="4" t="str">
        <f>IF(C656="","",Order!$J$16)</f>
        <v/>
      </c>
      <c r="K656" s="36" t="str">
        <f>IF($C656="","",_xlfn.XLOOKUP($C656,Order!$C:$C,Order!$P:$P,"",0,1))</f>
        <v/>
      </c>
      <c r="L656" s="4" t="str">
        <f t="shared" si="10"/>
        <v/>
      </c>
    </row>
    <row r="657" spans="2:12" ht="23.25" hidden="1" customHeight="1" x14ac:dyDescent="0.25">
      <c r="B657" s="4">
        <v>652</v>
      </c>
      <c r="C657" s="36" t="str">
        <f>IF(Order!$C$323="","",Order!$C$323)</f>
        <v/>
      </c>
      <c r="D657" s="36" t="str">
        <f>IF($C657="","",_xlfn.XLOOKUP($C657,Order!$C:$C,Order!$D:$D,"",0,1))</f>
        <v/>
      </c>
      <c r="E657" s="4" t="str">
        <f>IF($C657="","",_xlfn.XLOOKUP($C657,Order!$C:$C,Order!$E:$E,"",0,1))</f>
        <v/>
      </c>
      <c r="F657" s="4" t="str">
        <f>IF($C657="","",_xlfn.XLOOKUP($C657,Order!$C:$C,Order!$F:$F,"",0,1))</f>
        <v/>
      </c>
      <c r="G657" s="4" t="str">
        <f>IF($C657="","",_xlfn.XLOOKUP($C657,Order!$C:$C,Order!$G:$G,"",0,1))</f>
        <v/>
      </c>
      <c r="H657" s="4" t="str">
        <f>IF($C657="","",_xlfn.XLOOKUP($C657,Order!$C:$C,Order!$H:$H,"",0,1))</f>
        <v/>
      </c>
      <c r="I657" s="36" t="str">
        <f>IF($C657="","",_xlfn.XLOOKUP($C657,Order!$C:$C,Order!$J:$J,"",0,1))</f>
        <v/>
      </c>
      <c r="J657" s="4" t="str">
        <f>IF(C657="","",Order!$J$16)</f>
        <v/>
      </c>
      <c r="K657" s="36" t="str">
        <f>IF($C657="","",_xlfn.XLOOKUP($C657,Order!$C:$C,Order!$P:$P,"",0,1))</f>
        <v/>
      </c>
      <c r="L657" s="4" t="str">
        <f t="shared" si="10"/>
        <v/>
      </c>
    </row>
    <row r="658" spans="2:12" ht="23.25" hidden="1" customHeight="1" x14ac:dyDescent="0.25">
      <c r="B658" s="4">
        <v>653</v>
      </c>
      <c r="C658" s="36" t="str">
        <f>IF(Order!$C$324="","",Order!$C$324)</f>
        <v>BX1095</v>
      </c>
      <c r="D658" s="36" t="str">
        <f>IF($C658="","",_xlfn.XLOOKUP($C658,Order!$C:$C,Order!$D:$D,"",0,1))</f>
        <v>BX1095</v>
      </c>
      <c r="E658" s="4" t="e" vm="491">
        <f>IF($C658="","",_xlfn.XLOOKUP($C658,Order!$C:$C,Order!$E:$E,"",0,1))</f>
        <v>#VALUE!</v>
      </c>
      <c r="F658" s="4">
        <f>IF($C658="","",_xlfn.XLOOKUP($C658,Order!$C:$C,Order!$F:$F,"",0,1))</f>
        <v>6000</v>
      </c>
      <c r="G658" s="4" t="str">
        <f>IF($C658="","",_xlfn.XLOOKUP($C658,Order!$C:$C,Order!$G:$G,"",0,1))</f>
        <v>6063T5</v>
      </c>
      <c r="H658" s="4">
        <f>IF($C658="","",_xlfn.XLOOKUP($C658,Order!$C:$C,Order!$H:$H,"",0,1))</f>
        <v>0.64400000000000002</v>
      </c>
      <c r="I658" s="36">
        <f>IF($C658="","",_xlfn.XLOOKUP($C658,Order!$C:$C,Order!$J:$J,"",0,1))</f>
        <v>0</v>
      </c>
      <c r="J658" s="4" t="str">
        <f>IF(C658="","",Order!$J$16)</f>
        <v>SILVER ANODIZED (FAYP01)</v>
      </c>
      <c r="K658" s="36">
        <f>IF($C658="","",_xlfn.XLOOKUP($C658,Order!$C:$C,Order!$P:$P,"",0,1))</f>
        <v>0</v>
      </c>
      <c r="L658" s="4">
        <f t="shared" si="10"/>
        <v>0</v>
      </c>
    </row>
    <row r="659" spans="2:12" ht="23.25" hidden="1" customHeight="1" x14ac:dyDescent="0.25">
      <c r="B659" s="4">
        <v>654</v>
      </c>
      <c r="C659" s="36" t="str">
        <f>IF(Order!$C$325="","",Order!$C$325)</f>
        <v>BX1097</v>
      </c>
      <c r="D659" s="36" t="str">
        <f>IF($C659="","",_xlfn.XLOOKUP($C659,Order!$C:$C,Order!$D:$D,"",0,1))</f>
        <v>BX1097</v>
      </c>
      <c r="E659" s="4" t="e" vm="492">
        <f>IF($C659="","",_xlfn.XLOOKUP($C659,Order!$C:$C,Order!$E:$E,"",0,1))</f>
        <v>#VALUE!</v>
      </c>
      <c r="F659" s="4">
        <f>IF($C659="","",_xlfn.XLOOKUP($C659,Order!$C:$C,Order!$F:$F,"",0,1))</f>
        <v>6000</v>
      </c>
      <c r="G659" s="4" t="str">
        <f>IF($C659="","",_xlfn.XLOOKUP($C659,Order!$C:$C,Order!$G:$G,"",0,1))</f>
        <v>6063T5</v>
      </c>
      <c r="H659" s="4">
        <f>IF($C659="","",_xlfn.XLOOKUP($C659,Order!$C:$C,Order!$H:$H,"",0,1))</f>
        <v>0.57499999999999996</v>
      </c>
      <c r="I659" s="36">
        <f>IF($C659="","",_xlfn.XLOOKUP($C659,Order!$C:$C,Order!$J:$J,"",0,1))</f>
        <v>0</v>
      </c>
      <c r="J659" s="4" t="str">
        <f>IF(C659="","",Order!$J$16)</f>
        <v>SILVER ANODIZED (FAYP01)</v>
      </c>
      <c r="K659" s="36">
        <f>IF($C659="","",_xlfn.XLOOKUP($C659,Order!$C:$C,Order!$P:$P,"",0,1))</f>
        <v>0</v>
      </c>
      <c r="L659" s="4">
        <f t="shared" si="10"/>
        <v>0</v>
      </c>
    </row>
    <row r="660" spans="2:12" ht="23.25" hidden="1" customHeight="1" x14ac:dyDescent="0.25">
      <c r="B660" s="4">
        <v>655</v>
      </c>
      <c r="C660" s="36" t="str">
        <f>IF(Order!$C$326="","",Order!$C$326)</f>
        <v>BX1103</v>
      </c>
      <c r="D660" s="36" t="str">
        <f>IF($C660="","",_xlfn.XLOOKUP($C660,Order!$C:$C,Order!$D:$D,"",0,1))</f>
        <v>BX1103</v>
      </c>
      <c r="E660" s="4" t="e" vm="493">
        <f>IF($C660="","",_xlfn.XLOOKUP($C660,Order!$C:$C,Order!$E:$E,"",0,1))</f>
        <v>#VALUE!</v>
      </c>
      <c r="F660" s="4">
        <f>IF($C660="","",_xlfn.XLOOKUP($C660,Order!$C:$C,Order!$F:$F,"",0,1))</f>
        <v>6000</v>
      </c>
      <c r="G660" s="4" t="str">
        <f>IF($C660="","",_xlfn.XLOOKUP($C660,Order!$C:$C,Order!$G:$G,"",0,1))</f>
        <v>6063T5</v>
      </c>
      <c r="H660" s="4">
        <f>IF($C660="","",_xlfn.XLOOKUP($C660,Order!$C:$C,Order!$H:$H,"",0,1))</f>
        <v>0.6</v>
      </c>
      <c r="I660" s="36">
        <f>IF($C660="","",_xlfn.XLOOKUP($C660,Order!$C:$C,Order!$J:$J,"",0,1))</f>
        <v>0</v>
      </c>
      <c r="J660" s="4" t="str">
        <f>IF(C660="","",Order!$J$16)</f>
        <v>SILVER ANODIZED (FAYP01)</v>
      </c>
      <c r="K660" s="36">
        <f>IF($C660="","",_xlfn.XLOOKUP($C660,Order!$C:$C,Order!$P:$P,"",0,1))</f>
        <v>0</v>
      </c>
      <c r="L660" s="4">
        <f t="shared" si="10"/>
        <v>0</v>
      </c>
    </row>
    <row r="661" spans="2:12" ht="23.25" hidden="1" customHeight="1" x14ac:dyDescent="0.25">
      <c r="B661" s="4">
        <v>656</v>
      </c>
      <c r="C661" s="36" t="str">
        <f>IF(Order!$C$327="","",Order!$C$327)</f>
        <v/>
      </c>
      <c r="D661" s="36" t="str">
        <f>IF($C661="","",_xlfn.XLOOKUP($C661,Order!$C:$C,Order!$D:$D,"",0,1))</f>
        <v/>
      </c>
      <c r="E661" s="4" t="str">
        <f>IF($C661="","",_xlfn.XLOOKUP($C661,Order!$C:$C,Order!$E:$E,"",0,1))</f>
        <v/>
      </c>
      <c r="F661" s="4" t="str">
        <f>IF($C661="","",_xlfn.XLOOKUP($C661,Order!$C:$C,Order!$F:$F,"",0,1))</f>
        <v/>
      </c>
      <c r="G661" s="4" t="str">
        <f>IF($C661="","",_xlfn.XLOOKUP($C661,Order!$C:$C,Order!$G:$G,"",0,1))</f>
        <v/>
      </c>
      <c r="H661" s="4" t="str">
        <f>IF($C661="","",_xlfn.XLOOKUP($C661,Order!$C:$C,Order!$H:$H,"",0,1))</f>
        <v/>
      </c>
      <c r="I661" s="36" t="str">
        <f>IF($C661="","",_xlfn.XLOOKUP($C661,Order!$C:$C,Order!$J:$J,"",0,1))</f>
        <v/>
      </c>
      <c r="J661" s="4" t="str">
        <f>IF(C661="","",Order!$J$16)</f>
        <v/>
      </c>
      <c r="K661" s="36" t="str">
        <f>IF($C661="","",_xlfn.XLOOKUP($C661,Order!$C:$C,Order!$P:$P,"",0,1))</f>
        <v/>
      </c>
      <c r="L661" s="4" t="str">
        <f t="shared" si="10"/>
        <v/>
      </c>
    </row>
    <row r="662" spans="2:12" ht="23.25" hidden="1" customHeight="1" x14ac:dyDescent="0.25">
      <c r="B662" s="4">
        <v>657</v>
      </c>
      <c r="C662" s="36" t="str">
        <f>IF(Order!$C$328="","",Order!$C$328)</f>
        <v/>
      </c>
      <c r="D662" s="36" t="str">
        <f>IF($C662="","",_xlfn.XLOOKUP($C662,Order!$C:$C,Order!$D:$D,"",0,1))</f>
        <v/>
      </c>
      <c r="E662" s="4" t="str">
        <f>IF($C662="","",_xlfn.XLOOKUP($C662,Order!$C:$C,Order!$E:$E,"",0,1))</f>
        <v/>
      </c>
      <c r="F662" s="4" t="str">
        <f>IF($C662="","",_xlfn.XLOOKUP($C662,Order!$C:$C,Order!$F:$F,"",0,1))</f>
        <v/>
      </c>
      <c r="G662" s="4" t="str">
        <f>IF($C662="","",_xlfn.XLOOKUP($C662,Order!$C:$C,Order!$G:$G,"",0,1))</f>
        <v/>
      </c>
      <c r="H662" s="4" t="str">
        <f>IF($C662="","",_xlfn.XLOOKUP($C662,Order!$C:$C,Order!$H:$H,"",0,1))</f>
        <v/>
      </c>
      <c r="I662" s="36" t="str">
        <f>IF($C662="","",_xlfn.XLOOKUP($C662,Order!$C:$C,Order!$J:$J,"",0,1))</f>
        <v/>
      </c>
      <c r="J662" s="4" t="str">
        <f>IF(C662="","",Order!$J$16)</f>
        <v/>
      </c>
      <c r="K662" s="36" t="str">
        <f>IF($C662="","",_xlfn.XLOOKUP($C662,Order!$C:$C,Order!$P:$P,"",0,1))</f>
        <v/>
      </c>
      <c r="L662" s="4" t="str">
        <f t="shared" si="10"/>
        <v/>
      </c>
    </row>
    <row r="663" spans="2:12" ht="23.25" hidden="1" customHeight="1" x14ac:dyDescent="0.25">
      <c r="B663" s="4">
        <v>658</v>
      </c>
      <c r="C663" s="36" t="str">
        <f>IF(Order!$C$329="","",Order!$C$329)</f>
        <v/>
      </c>
      <c r="D663" s="36" t="str">
        <f>IF($C663="","",_xlfn.XLOOKUP($C663,Order!$C:$C,Order!$D:$D,"",0,1))</f>
        <v/>
      </c>
      <c r="E663" s="4" t="str">
        <f>IF($C663="","",_xlfn.XLOOKUP($C663,Order!$C:$C,Order!$E:$E,"",0,1))</f>
        <v/>
      </c>
      <c r="F663" s="4" t="str">
        <f>IF($C663="","",_xlfn.XLOOKUP($C663,Order!$C:$C,Order!$F:$F,"",0,1))</f>
        <v/>
      </c>
      <c r="G663" s="4" t="str">
        <f>IF($C663="","",_xlfn.XLOOKUP($C663,Order!$C:$C,Order!$G:$G,"",0,1))</f>
        <v/>
      </c>
      <c r="H663" s="4" t="str">
        <f>IF($C663="","",_xlfn.XLOOKUP($C663,Order!$C:$C,Order!$H:$H,"",0,1))</f>
        <v/>
      </c>
      <c r="I663" s="36" t="str">
        <f>IF($C663="","",_xlfn.XLOOKUP($C663,Order!$C:$C,Order!$J:$J,"",0,1))</f>
        <v/>
      </c>
      <c r="J663" s="4" t="str">
        <f>IF(C663="","",Order!$J$16)</f>
        <v/>
      </c>
      <c r="K663" s="36" t="str">
        <f>IF($C663="","",_xlfn.XLOOKUP($C663,Order!$C:$C,Order!$P:$P,"",0,1))</f>
        <v/>
      </c>
      <c r="L663" s="4" t="str">
        <f t="shared" si="10"/>
        <v/>
      </c>
    </row>
    <row r="664" spans="2:12" ht="23.25" hidden="1" customHeight="1" x14ac:dyDescent="0.25">
      <c r="B664" s="4">
        <v>659</v>
      </c>
      <c r="C664" s="36" t="str">
        <f>IF(Order!$C$330="","",Order!$C$330)</f>
        <v/>
      </c>
      <c r="D664" s="36" t="str">
        <f>IF($C664="","",_xlfn.XLOOKUP($C664,Order!$C:$C,Order!$D:$D,"",0,1))</f>
        <v/>
      </c>
      <c r="E664" s="4" t="str">
        <f>IF($C664="","",_xlfn.XLOOKUP($C664,Order!$C:$C,Order!$E:$E,"",0,1))</f>
        <v/>
      </c>
      <c r="F664" s="4" t="str">
        <f>IF($C664="","",_xlfn.XLOOKUP($C664,Order!$C:$C,Order!$F:$F,"",0,1))</f>
        <v/>
      </c>
      <c r="G664" s="4" t="str">
        <f>IF($C664="","",_xlfn.XLOOKUP($C664,Order!$C:$C,Order!$G:$G,"",0,1))</f>
        <v/>
      </c>
      <c r="H664" s="4" t="str">
        <f>IF($C664="","",_xlfn.XLOOKUP($C664,Order!$C:$C,Order!$H:$H,"",0,1))</f>
        <v/>
      </c>
      <c r="I664" s="36" t="str">
        <f>IF($C664="","",_xlfn.XLOOKUP($C664,Order!$C:$C,Order!$J:$J,"",0,1))</f>
        <v/>
      </c>
      <c r="J664" s="4" t="str">
        <f>IF(C664="","",Order!$J$16)</f>
        <v/>
      </c>
      <c r="K664" s="36" t="str">
        <f>IF($C664="","",_xlfn.XLOOKUP($C664,Order!$C:$C,Order!$P:$P,"",0,1))</f>
        <v/>
      </c>
      <c r="L664" s="4" t="str">
        <f t="shared" si="10"/>
        <v/>
      </c>
    </row>
    <row r="665" spans="2:12" ht="23.25" hidden="1" customHeight="1" x14ac:dyDescent="0.25">
      <c r="B665" s="4">
        <v>660</v>
      </c>
      <c r="C665" s="36" t="str">
        <f>IF(Order!$C$331="","",Order!$C$331)</f>
        <v/>
      </c>
      <c r="D665" s="36" t="str">
        <f>IF($C665="","",_xlfn.XLOOKUP($C665,Order!$C:$C,Order!$D:$D,"",0,1))</f>
        <v/>
      </c>
      <c r="E665" s="4" t="str">
        <f>IF($C665="","",_xlfn.XLOOKUP($C665,Order!$C:$C,Order!$E:$E,"",0,1))</f>
        <v/>
      </c>
      <c r="F665" s="4" t="str">
        <f>IF($C665="","",_xlfn.XLOOKUP($C665,Order!$C:$C,Order!$F:$F,"",0,1))</f>
        <v/>
      </c>
      <c r="G665" s="4" t="str">
        <f>IF($C665="","",_xlfn.XLOOKUP($C665,Order!$C:$C,Order!$G:$G,"",0,1))</f>
        <v/>
      </c>
      <c r="H665" s="4" t="str">
        <f>IF($C665="","",_xlfn.XLOOKUP($C665,Order!$C:$C,Order!$H:$H,"",0,1))</f>
        <v/>
      </c>
      <c r="I665" s="36" t="str">
        <f>IF($C665="","",_xlfn.XLOOKUP($C665,Order!$C:$C,Order!$J:$J,"",0,1))</f>
        <v/>
      </c>
      <c r="J665" s="4" t="str">
        <f>IF(C665="","",Order!$J$16)</f>
        <v/>
      </c>
      <c r="K665" s="36" t="str">
        <f>IF($C665="","",_xlfn.XLOOKUP($C665,Order!$C:$C,Order!$P:$P,"",0,1))</f>
        <v/>
      </c>
      <c r="L665" s="4" t="str">
        <f t="shared" si="10"/>
        <v/>
      </c>
    </row>
    <row r="666" spans="2:12" ht="23.25" hidden="1" customHeight="1" x14ac:dyDescent="0.25">
      <c r="B666" s="4">
        <v>661</v>
      </c>
      <c r="C666" s="36" t="str">
        <f>IF(Order!$C$332="","",Order!$C$332)</f>
        <v/>
      </c>
      <c r="D666" s="36" t="str">
        <f>IF($C666="","",_xlfn.XLOOKUP($C666,Order!$C:$C,Order!$D:$D,"",0,1))</f>
        <v/>
      </c>
      <c r="E666" s="4" t="str">
        <f>IF($C666="","",_xlfn.XLOOKUP($C666,Order!$C:$C,Order!$E:$E,"",0,1))</f>
        <v/>
      </c>
      <c r="F666" s="4" t="str">
        <f>IF($C666="","",_xlfn.XLOOKUP($C666,Order!$C:$C,Order!$F:$F,"",0,1))</f>
        <v/>
      </c>
      <c r="G666" s="4" t="str">
        <f>IF($C666="","",_xlfn.XLOOKUP($C666,Order!$C:$C,Order!$G:$G,"",0,1))</f>
        <v/>
      </c>
      <c r="H666" s="4" t="str">
        <f>IF($C666="","",_xlfn.XLOOKUP($C666,Order!$C:$C,Order!$H:$H,"",0,1))</f>
        <v/>
      </c>
      <c r="I666" s="36" t="str">
        <f>IF($C666="","",_xlfn.XLOOKUP($C666,Order!$C:$C,Order!$J:$J,"",0,1))</f>
        <v/>
      </c>
      <c r="J666" s="4" t="str">
        <f>IF(C666="","",Order!$J$16)</f>
        <v/>
      </c>
      <c r="K666" s="36" t="str">
        <f>IF($C666="","",_xlfn.XLOOKUP($C666,Order!$C:$C,Order!$P:$P,"",0,1))</f>
        <v/>
      </c>
      <c r="L666" s="4" t="str">
        <f t="shared" si="10"/>
        <v/>
      </c>
    </row>
    <row r="667" spans="2:12" ht="23.25" hidden="1" customHeight="1" x14ac:dyDescent="0.25">
      <c r="B667" s="4">
        <v>662</v>
      </c>
      <c r="C667" s="36" t="str">
        <f>IF(Order!$C$333="","",Order!$C$333)</f>
        <v/>
      </c>
      <c r="D667" s="36" t="str">
        <f>IF($C667="","",_xlfn.XLOOKUP($C667,Order!$C:$C,Order!$D:$D,"",0,1))</f>
        <v/>
      </c>
      <c r="E667" s="4" t="str">
        <f>IF($C667="","",_xlfn.XLOOKUP($C667,Order!$C:$C,Order!$E:$E,"",0,1))</f>
        <v/>
      </c>
      <c r="F667" s="4" t="str">
        <f>IF($C667="","",_xlfn.XLOOKUP($C667,Order!$C:$C,Order!$F:$F,"",0,1))</f>
        <v/>
      </c>
      <c r="G667" s="4" t="str">
        <f>IF($C667="","",_xlfn.XLOOKUP($C667,Order!$C:$C,Order!$G:$G,"",0,1))</f>
        <v/>
      </c>
      <c r="H667" s="4" t="str">
        <f>IF($C667="","",_xlfn.XLOOKUP($C667,Order!$C:$C,Order!$H:$H,"",0,1))</f>
        <v/>
      </c>
      <c r="I667" s="36" t="str">
        <f>IF($C667="","",_xlfn.XLOOKUP($C667,Order!$C:$C,Order!$J:$J,"",0,1))</f>
        <v/>
      </c>
      <c r="J667" s="4" t="str">
        <f>IF(C667="","",Order!$J$16)</f>
        <v/>
      </c>
      <c r="K667" s="36" t="str">
        <f>IF($C667="","",_xlfn.XLOOKUP($C667,Order!$C:$C,Order!$P:$P,"",0,1))</f>
        <v/>
      </c>
      <c r="L667" s="4" t="str">
        <f t="shared" si="10"/>
        <v/>
      </c>
    </row>
    <row r="668" spans="2:12" ht="23.25" hidden="1" customHeight="1" x14ac:dyDescent="0.25">
      <c r="B668" s="4">
        <v>663</v>
      </c>
      <c r="C668" s="36" t="str">
        <f>IF(Order!$C$334="","",Order!$C$334)</f>
        <v/>
      </c>
      <c r="D668" s="36" t="str">
        <f>IF($C668="","",_xlfn.XLOOKUP($C668,Order!$C:$C,Order!$D:$D,"",0,1))</f>
        <v/>
      </c>
      <c r="E668" s="4" t="str">
        <f>IF($C668="","",_xlfn.XLOOKUP($C668,Order!$C:$C,Order!$E:$E,"",0,1))</f>
        <v/>
      </c>
      <c r="F668" s="4" t="str">
        <f>IF($C668="","",_xlfn.XLOOKUP($C668,Order!$C:$C,Order!$F:$F,"",0,1))</f>
        <v/>
      </c>
      <c r="G668" s="4" t="str">
        <f>IF($C668="","",_xlfn.XLOOKUP($C668,Order!$C:$C,Order!$G:$G,"",0,1))</f>
        <v/>
      </c>
      <c r="H668" s="4" t="str">
        <f>IF($C668="","",_xlfn.XLOOKUP($C668,Order!$C:$C,Order!$H:$H,"",0,1))</f>
        <v/>
      </c>
      <c r="I668" s="36" t="str">
        <f>IF($C668="","",_xlfn.XLOOKUP($C668,Order!$C:$C,Order!$J:$J,"",0,1))</f>
        <v/>
      </c>
      <c r="J668" s="4" t="str">
        <f>IF(C668="","",Order!$J$16)</f>
        <v/>
      </c>
      <c r="K668" s="36" t="str">
        <f>IF($C668="","",_xlfn.XLOOKUP($C668,Order!$C:$C,Order!$P:$P,"",0,1))</f>
        <v/>
      </c>
      <c r="L668" s="4" t="str">
        <f t="shared" si="10"/>
        <v/>
      </c>
    </row>
    <row r="669" spans="2:12" ht="23.25" hidden="1" customHeight="1" x14ac:dyDescent="0.25">
      <c r="B669" s="4">
        <v>664</v>
      </c>
      <c r="C669" s="36" t="str">
        <f>IF(Order!$C$335="","",Order!$C$335)</f>
        <v/>
      </c>
      <c r="D669" s="36" t="str">
        <f>IF($C669="","",_xlfn.XLOOKUP($C669,Order!$C:$C,Order!$D:$D,"",0,1))</f>
        <v/>
      </c>
      <c r="E669" s="4" t="str">
        <f>IF($C669="","",_xlfn.XLOOKUP($C669,Order!$C:$C,Order!$E:$E,"",0,1))</f>
        <v/>
      </c>
      <c r="F669" s="4" t="str">
        <f>IF($C669="","",_xlfn.XLOOKUP($C669,Order!$C:$C,Order!$F:$F,"",0,1))</f>
        <v/>
      </c>
      <c r="G669" s="4" t="str">
        <f>IF($C669="","",_xlfn.XLOOKUP($C669,Order!$C:$C,Order!$G:$G,"",0,1))</f>
        <v/>
      </c>
      <c r="H669" s="4" t="str">
        <f>IF($C669="","",_xlfn.XLOOKUP($C669,Order!$C:$C,Order!$H:$H,"",0,1))</f>
        <v/>
      </c>
      <c r="I669" s="36" t="str">
        <f>IF($C669="","",_xlfn.XLOOKUP($C669,Order!$C:$C,Order!$J:$J,"",0,1))</f>
        <v/>
      </c>
      <c r="J669" s="4" t="str">
        <f>IF(C669="","",Order!$J$16)</f>
        <v/>
      </c>
      <c r="K669" s="36" t="str">
        <f>IF($C669="","",_xlfn.XLOOKUP($C669,Order!$C:$C,Order!$P:$P,"",0,1))</f>
        <v/>
      </c>
      <c r="L669" s="4" t="str">
        <f t="shared" si="10"/>
        <v/>
      </c>
    </row>
    <row r="670" spans="2:12" ht="23.25" hidden="1" customHeight="1" x14ac:dyDescent="0.25">
      <c r="B670" s="4">
        <v>665</v>
      </c>
      <c r="C670" s="36" t="str">
        <f>IF(Order!$C$336="","",Order!$C$336)</f>
        <v/>
      </c>
      <c r="D670" s="36" t="str">
        <f>IF($C670="","",_xlfn.XLOOKUP($C670,Order!$C:$C,Order!$D:$D,"",0,1))</f>
        <v/>
      </c>
      <c r="E670" s="4" t="str">
        <f>IF($C670="","",_xlfn.XLOOKUP($C670,Order!$C:$C,Order!$E:$E,"",0,1))</f>
        <v/>
      </c>
      <c r="F670" s="4" t="str">
        <f>IF($C670="","",_xlfn.XLOOKUP($C670,Order!$C:$C,Order!$F:$F,"",0,1))</f>
        <v/>
      </c>
      <c r="G670" s="4" t="str">
        <f>IF($C670="","",_xlfn.XLOOKUP($C670,Order!$C:$C,Order!$G:$G,"",0,1))</f>
        <v/>
      </c>
      <c r="H670" s="4" t="str">
        <f>IF($C670="","",_xlfn.XLOOKUP($C670,Order!$C:$C,Order!$H:$H,"",0,1))</f>
        <v/>
      </c>
      <c r="I670" s="36" t="str">
        <f>IF($C670="","",_xlfn.XLOOKUP($C670,Order!$C:$C,Order!$J:$J,"",0,1))</f>
        <v/>
      </c>
      <c r="J670" s="4" t="str">
        <f>IF(C670="","",Order!$J$16)</f>
        <v/>
      </c>
      <c r="K670" s="36" t="str">
        <f>IF($C670="","",_xlfn.XLOOKUP($C670,Order!$C:$C,Order!$P:$P,"",0,1))</f>
        <v/>
      </c>
      <c r="L670" s="4" t="str">
        <f t="shared" si="10"/>
        <v/>
      </c>
    </row>
    <row r="671" spans="2:12" ht="23.25" hidden="1" customHeight="1" x14ac:dyDescent="0.25">
      <c r="B671" s="4">
        <v>666</v>
      </c>
      <c r="C671" s="36" t="str">
        <f>IF(Order!$C$337="","",Order!$C$337)</f>
        <v xml:space="preserve"> BX352 (MT0077-Perfilpara tela de mosquito)</v>
      </c>
      <c r="D671" s="36" t="str">
        <f>IF($C671="","",_xlfn.XLOOKUP($C671,Order!$C:$C,Order!$D:$D,"",0,1))</f>
        <v>BX352</v>
      </c>
      <c r="E671" s="4" t="e" vm="494">
        <f>IF($C671="","",_xlfn.XLOOKUP($C671,Order!$C:$C,Order!$E:$E,"",0,1))</f>
        <v>#VALUE!</v>
      </c>
      <c r="F671" s="4">
        <f>IF($C671="","",_xlfn.XLOOKUP($C671,Order!$C:$C,Order!$F:$F,"",0,1))</f>
        <v>6000</v>
      </c>
      <c r="G671" s="4" t="str">
        <f>IF($C671="","",_xlfn.XLOOKUP($C671,Order!$C:$C,Order!$G:$G,"",0,1))</f>
        <v>6063T5</v>
      </c>
      <c r="H671" s="4">
        <f>IF($C671="","",_xlfn.XLOOKUP($C671,Order!$C:$C,Order!$H:$H,"",0,1))</f>
        <v>0.192</v>
      </c>
      <c r="I671" s="36">
        <f>IF($C671="","",_xlfn.XLOOKUP($C671,Order!$C:$C,Order!$J:$J,"",0,1))</f>
        <v>0</v>
      </c>
      <c r="J671" s="4" t="str">
        <f>IF(C671="","",Order!$J$16)</f>
        <v>SILVER ANODIZED (FAYP01)</v>
      </c>
      <c r="K671" s="36">
        <f>IF($C671="","",_xlfn.XLOOKUP($C671,Order!$C:$C,Order!$P:$P,"",0,1))</f>
        <v>0</v>
      </c>
      <c r="L671" s="4">
        <f t="shared" si="10"/>
        <v>0</v>
      </c>
    </row>
    <row r="672" spans="2:12" ht="23.25" hidden="1" customHeight="1" x14ac:dyDescent="0.25">
      <c r="B672" s="4">
        <v>667</v>
      </c>
      <c r="C672" s="36" t="str">
        <f>IF(Order!$C$338="","",Order!$C$338)</f>
        <v/>
      </c>
      <c r="D672" s="36" t="str">
        <f>IF($C672="","",_xlfn.XLOOKUP($C672,Order!$C:$C,Order!$D:$D,"",0,1))</f>
        <v/>
      </c>
      <c r="E672" s="4" t="str">
        <f>IF($C672="","",_xlfn.XLOOKUP($C672,Order!$C:$C,Order!$E:$E,"",0,1))</f>
        <v/>
      </c>
      <c r="F672" s="4" t="str">
        <f>IF($C672="","",_xlfn.XLOOKUP($C672,Order!$C:$C,Order!$F:$F,"",0,1))</f>
        <v/>
      </c>
      <c r="G672" s="4" t="str">
        <f>IF($C672="","",_xlfn.XLOOKUP($C672,Order!$C:$C,Order!$G:$G,"",0,1))</f>
        <v/>
      </c>
      <c r="H672" s="4" t="str">
        <f>IF($C672="","",_xlfn.XLOOKUP($C672,Order!$C:$C,Order!$H:$H,"",0,1))</f>
        <v/>
      </c>
      <c r="I672" s="36" t="str">
        <f>IF($C672="","",_xlfn.XLOOKUP($C672,Order!$C:$C,Order!$J:$J,"",0,1))</f>
        <v/>
      </c>
      <c r="J672" s="4" t="str">
        <f>IF(C672="","",Order!$J$16)</f>
        <v/>
      </c>
      <c r="K672" s="36" t="str">
        <f>IF($C672="","",_xlfn.XLOOKUP($C672,Order!$C:$C,Order!$P:$P,"",0,1))</f>
        <v/>
      </c>
      <c r="L672" s="4" t="str">
        <f t="shared" si="10"/>
        <v/>
      </c>
    </row>
    <row r="673" spans="2:12" ht="23.25" hidden="1" customHeight="1" x14ac:dyDescent="0.25">
      <c r="B673" s="4">
        <v>668</v>
      </c>
      <c r="C673" s="36" t="str">
        <f>IF(Order!$C$339="","",Order!$C$339)</f>
        <v/>
      </c>
      <c r="D673" s="36" t="str">
        <f>IF($C673="","",_xlfn.XLOOKUP($C673,Order!$C:$C,Order!$D:$D,"",0,1))</f>
        <v/>
      </c>
      <c r="E673" s="4" t="str">
        <f>IF($C673="","",_xlfn.XLOOKUP($C673,Order!$C:$C,Order!$E:$E,"",0,1))</f>
        <v/>
      </c>
      <c r="F673" s="4" t="str">
        <f>IF($C673="","",_xlfn.XLOOKUP($C673,Order!$C:$C,Order!$F:$F,"",0,1))</f>
        <v/>
      </c>
      <c r="G673" s="4" t="str">
        <f>IF($C673="","",_xlfn.XLOOKUP($C673,Order!$C:$C,Order!$G:$G,"",0,1))</f>
        <v/>
      </c>
      <c r="H673" s="4" t="str">
        <f>IF($C673="","",_xlfn.XLOOKUP($C673,Order!$C:$C,Order!$H:$H,"",0,1))</f>
        <v/>
      </c>
      <c r="I673" s="36" t="str">
        <f>IF($C673="","",_xlfn.XLOOKUP($C673,Order!$C:$C,Order!$J:$J,"",0,1))</f>
        <v/>
      </c>
      <c r="J673" s="4" t="str">
        <f>IF(C673="","",Order!$J$16)</f>
        <v/>
      </c>
      <c r="K673" s="36" t="str">
        <f>IF($C673="","",_xlfn.XLOOKUP($C673,Order!$C:$C,Order!$P:$P,"",0,1))</f>
        <v/>
      </c>
      <c r="L673" s="4" t="str">
        <f t="shared" si="10"/>
        <v/>
      </c>
    </row>
    <row r="674" spans="2:12" ht="23.25" hidden="1" customHeight="1" x14ac:dyDescent="0.25">
      <c r="B674" s="4">
        <v>669</v>
      </c>
      <c r="C674" s="36" t="str">
        <f>IF(Order!$C$340="","",Order!$C$340)</f>
        <v/>
      </c>
      <c r="D674" s="36" t="str">
        <f>IF($C674="","",_xlfn.XLOOKUP($C674,Order!$C:$C,Order!$D:$D,"",0,1))</f>
        <v/>
      </c>
      <c r="E674" s="4" t="str">
        <f>IF($C674="","",_xlfn.XLOOKUP($C674,Order!$C:$C,Order!$E:$E,"",0,1))</f>
        <v/>
      </c>
      <c r="F674" s="4" t="str">
        <f>IF($C674="","",_xlfn.XLOOKUP($C674,Order!$C:$C,Order!$F:$F,"",0,1))</f>
        <v/>
      </c>
      <c r="G674" s="4" t="str">
        <f>IF($C674="","",_xlfn.XLOOKUP($C674,Order!$C:$C,Order!$G:$G,"",0,1))</f>
        <v/>
      </c>
      <c r="H674" s="4" t="str">
        <f>IF($C674="","",_xlfn.XLOOKUP($C674,Order!$C:$C,Order!$H:$H,"",0,1))</f>
        <v/>
      </c>
      <c r="I674" s="36" t="str">
        <f>IF($C674="","",_xlfn.XLOOKUP($C674,Order!$C:$C,Order!$J:$J,"",0,1))</f>
        <v/>
      </c>
      <c r="J674" s="4" t="str">
        <f>IF(C674="","",Order!$J$16)</f>
        <v/>
      </c>
      <c r="K674" s="36" t="str">
        <f>IF($C674="","",_xlfn.XLOOKUP($C674,Order!$C:$C,Order!$P:$P,"",0,1))</f>
        <v/>
      </c>
      <c r="L674" s="4" t="str">
        <f t="shared" si="10"/>
        <v/>
      </c>
    </row>
    <row r="675" spans="2:12" ht="23.25" hidden="1" customHeight="1" x14ac:dyDescent="0.25">
      <c r="B675" s="4">
        <v>670</v>
      </c>
      <c r="C675" s="36" t="str">
        <f>IF(Order!$C$341="","",Order!$C$341)</f>
        <v xml:space="preserve"> U 15 (PU 004 5/8 x 1/16")  </v>
      </c>
      <c r="D675" s="36" t="str">
        <f>IF($C675="","",_xlfn.XLOOKUP($C675,Order!$C:$C,Order!$D:$D,"",0,1))</f>
        <v>BX567</v>
      </c>
      <c r="E675" s="4" t="e" vm="495">
        <f>IF($C675="","",_xlfn.XLOOKUP($C675,Order!$C:$C,Order!$E:$E,"",0,1))</f>
        <v>#VALUE!</v>
      </c>
      <c r="F675" s="4">
        <f>IF($C675="","",_xlfn.XLOOKUP($C675,Order!$C:$C,Order!$F:$F,"",0,1))</f>
        <v>6000</v>
      </c>
      <c r="G675" s="4" t="str">
        <f>IF($C675="","",_xlfn.XLOOKUP($C675,Order!$C:$C,Order!$G:$G,"",0,1))</f>
        <v>6063T5</v>
      </c>
      <c r="H675" s="4">
        <f>IF($C675="","",_xlfn.XLOOKUP($C675,Order!$C:$C,Order!$H:$H,"",0,1))</f>
        <v>0.17100000000000001</v>
      </c>
      <c r="I675" s="36">
        <f>IF($C675="","",_xlfn.XLOOKUP($C675,Order!$C:$C,Order!$J:$J,"",0,1))</f>
        <v>0</v>
      </c>
      <c r="J675" s="4" t="str">
        <f>IF(C675="","",Order!$J$16)</f>
        <v>SILVER ANODIZED (FAYP01)</v>
      </c>
      <c r="K675" s="36">
        <f>IF($C675="","",_xlfn.XLOOKUP($C675,Order!$C:$C,Order!$P:$P,"",0,1))</f>
        <v>0</v>
      </c>
      <c r="L675" s="4">
        <f t="shared" si="10"/>
        <v>0</v>
      </c>
    </row>
    <row r="676" spans="2:12" ht="23.25" hidden="1" customHeight="1" x14ac:dyDescent="0.25">
      <c r="B676" s="4">
        <v>671</v>
      </c>
      <c r="C676" s="36" t="str">
        <f>IF(Order!$C$342="","",Order!$C$342)</f>
        <v/>
      </c>
      <c r="D676" s="36" t="str">
        <f>IF($C676="","",_xlfn.XLOOKUP($C676,Order!$C:$C,Order!$D:$D,"",0,1))</f>
        <v/>
      </c>
      <c r="E676" s="4" t="str">
        <f>IF($C676="","",_xlfn.XLOOKUP($C676,Order!$C:$C,Order!$E:$E,"",0,1))</f>
        <v/>
      </c>
      <c r="F676" s="4" t="str">
        <f>IF($C676="","",_xlfn.XLOOKUP($C676,Order!$C:$C,Order!$F:$F,"",0,1))</f>
        <v/>
      </c>
      <c r="G676" s="4" t="str">
        <f>IF($C676="","",_xlfn.XLOOKUP($C676,Order!$C:$C,Order!$G:$G,"",0,1))</f>
        <v/>
      </c>
      <c r="H676" s="4" t="str">
        <f>IF($C676="","",_xlfn.XLOOKUP($C676,Order!$C:$C,Order!$H:$H,"",0,1))</f>
        <v/>
      </c>
      <c r="I676" s="36" t="str">
        <f>IF($C676="","",_xlfn.XLOOKUP($C676,Order!$C:$C,Order!$J:$J,"",0,1))</f>
        <v/>
      </c>
      <c r="J676" s="4" t="str">
        <f>IF(C676="","",Order!$J$16)</f>
        <v/>
      </c>
      <c r="K676" s="36" t="str">
        <f>IF($C676="","",_xlfn.XLOOKUP($C676,Order!$C:$C,Order!$P:$P,"",0,1))</f>
        <v/>
      </c>
      <c r="L676" s="4" t="str">
        <f t="shared" si="10"/>
        <v/>
      </c>
    </row>
    <row r="677" spans="2:12" ht="23.25" hidden="1" customHeight="1" x14ac:dyDescent="0.25">
      <c r="B677" s="4">
        <v>672</v>
      </c>
      <c r="C677" s="36" t="str">
        <f>IF(Order!$C$343="","",Order!$C$343)</f>
        <v/>
      </c>
      <c r="D677" s="36" t="str">
        <f>IF($C677="","",_xlfn.XLOOKUP($C677,Order!$C:$C,Order!$D:$D,"",0,1))</f>
        <v/>
      </c>
      <c r="E677" s="4" t="str">
        <f>IF($C677="","",_xlfn.XLOOKUP($C677,Order!$C:$C,Order!$E:$E,"",0,1))</f>
        <v/>
      </c>
      <c r="F677" s="4" t="str">
        <f>IF($C677="","",_xlfn.XLOOKUP($C677,Order!$C:$C,Order!$F:$F,"",0,1))</f>
        <v/>
      </c>
      <c r="G677" s="4" t="str">
        <f>IF($C677="","",_xlfn.XLOOKUP($C677,Order!$C:$C,Order!$G:$G,"",0,1))</f>
        <v/>
      </c>
      <c r="H677" s="4" t="str">
        <f>IF($C677="","",_xlfn.XLOOKUP($C677,Order!$C:$C,Order!$H:$H,"",0,1))</f>
        <v/>
      </c>
      <c r="I677" s="36" t="str">
        <f>IF($C677="","",_xlfn.XLOOKUP($C677,Order!$C:$C,Order!$J:$J,"",0,1))</f>
        <v/>
      </c>
      <c r="J677" s="4" t="str">
        <f>IF(C677="","",Order!$J$16)</f>
        <v/>
      </c>
      <c r="K677" s="36" t="str">
        <f>IF($C677="","",_xlfn.XLOOKUP($C677,Order!$C:$C,Order!$P:$P,"",0,1))</f>
        <v/>
      </c>
      <c r="L677" s="4" t="str">
        <f t="shared" si="10"/>
        <v/>
      </c>
    </row>
    <row r="678" spans="2:12" ht="23.25" hidden="1" customHeight="1" x14ac:dyDescent="0.25">
      <c r="B678" s="4">
        <v>673</v>
      </c>
      <c r="C678" s="36" t="str">
        <f>IF(Order!$C$344="","",Order!$C$344)</f>
        <v/>
      </c>
      <c r="D678" s="36" t="str">
        <f>IF($C678="","",_xlfn.XLOOKUP($C678,Order!$C:$C,Order!$D:$D,"",0,1))</f>
        <v/>
      </c>
      <c r="E678" s="4" t="str">
        <f>IF($C678="","",_xlfn.XLOOKUP($C678,Order!$C:$C,Order!$E:$E,"",0,1))</f>
        <v/>
      </c>
      <c r="F678" s="4" t="str">
        <f>IF($C678="","",_xlfn.XLOOKUP($C678,Order!$C:$C,Order!$F:$F,"",0,1))</f>
        <v/>
      </c>
      <c r="G678" s="4" t="str">
        <f>IF($C678="","",_xlfn.XLOOKUP($C678,Order!$C:$C,Order!$G:$G,"",0,1))</f>
        <v/>
      </c>
      <c r="H678" s="4" t="str">
        <f>IF($C678="","",_xlfn.XLOOKUP($C678,Order!$C:$C,Order!$H:$H,"",0,1))</f>
        <v/>
      </c>
      <c r="I678" s="36" t="str">
        <f>IF($C678="","",_xlfn.XLOOKUP($C678,Order!$C:$C,Order!$J:$J,"",0,1))</f>
        <v/>
      </c>
      <c r="J678" s="4" t="str">
        <f>IF(C678="","",Order!$J$16)</f>
        <v/>
      </c>
      <c r="K678" s="36" t="str">
        <f>IF($C678="","",_xlfn.XLOOKUP($C678,Order!$C:$C,Order!$P:$P,"",0,1))</f>
        <v/>
      </c>
      <c r="L678" s="4" t="str">
        <f t="shared" si="10"/>
        <v/>
      </c>
    </row>
    <row r="679" spans="2:12" ht="23.25" hidden="1" customHeight="1" x14ac:dyDescent="0.25">
      <c r="B679" s="4">
        <v>674</v>
      </c>
      <c r="C679" s="36" t="str">
        <f>IF(Order!$C$345="","",Order!$C$345)</f>
        <v/>
      </c>
      <c r="D679" s="36" t="str">
        <f>IF($C679="","",_xlfn.XLOOKUP($C679,Order!$C:$C,Order!$D:$D,"",0,1))</f>
        <v/>
      </c>
      <c r="E679" s="4" t="str">
        <f>IF($C679="","",_xlfn.XLOOKUP($C679,Order!$C:$C,Order!$E:$E,"",0,1))</f>
        <v/>
      </c>
      <c r="F679" s="4" t="str">
        <f>IF($C679="","",_xlfn.XLOOKUP($C679,Order!$C:$C,Order!$F:$F,"",0,1))</f>
        <v/>
      </c>
      <c r="G679" s="4" t="str">
        <f>IF($C679="","",_xlfn.XLOOKUP($C679,Order!$C:$C,Order!$G:$G,"",0,1))</f>
        <v/>
      </c>
      <c r="H679" s="4" t="str">
        <f>IF($C679="","",_xlfn.XLOOKUP($C679,Order!$C:$C,Order!$H:$H,"",0,1))</f>
        <v/>
      </c>
      <c r="I679" s="36" t="str">
        <f>IF($C679="","",_xlfn.XLOOKUP($C679,Order!$C:$C,Order!$J:$J,"",0,1))</f>
        <v/>
      </c>
      <c r="J679" s="4" t="str">
        <f>IF(C679="","",Order!$J$16)</f>
        <v/>
      </c>
      <c r="K679" s="36" t="str">
        <f>IF($C679="","",_xlfn.XLOOKUP($C679,Order!$C:$C,Order!$P:$P,"",0,1))</f>
        <v/>
      </c>
      <c r="L679" s="4" t="str">
        <f t="shared" si="10"/>
        <v/>
      </c>
    </row>
    <row r="680" spans="2:12" ht="23.25" hidden="1" customHeight="1" x14ac:dyDescent="0.25">
      <c r="B680" s="4">
        <v>675</v>
      </c>
      <c r="C680" s="36" t="str">
        <f>IF(Order!$C$346="","",Order!$C$346)</f>
        <v/>
      </c>
      <c r="D680" s="36" t="str">
        <f>IF($C680="","",_xlfn.XLOOKUP($C680,Order!$C:$C,Order!$D:$D,"",0,1))</f>
        <v/>
      </c>
      <c r="E680" s="4" t="str">
        <f>IF($C680="","",_xlfn.XLOOKUP($C680,Order!$C:$C,Order!$E:$E,"",0,1))</f>
        <v/>
      </c>
      <c r="F680" s="4" t="str">
        <f>IF($C680="","",_xlfn.XLOOKUP($C680,Order!$C:$C,Order!$F:$F,"",0,1))</f>
        <v/>
      </c>
      <c r="G680" s="4" t="str">
        <f>IF($C680="","",_xlfn.XLOOKUP($C680,Order!$C:$C,Order!$G:$G,"",0,1))</f>
        <v/>
      </c>
      <c r="H680" s="4" t="str">
        <f>IF($C680="","",_xlfn.XLOOKUP($C680,Order!$C:$C,Order!$H:$H,"",0,1))</f>
        <v/>
      </c>
      <c r="I680" s="36" t="str">
        <f>IF($C680="","",_xlfn.XLOOKUP($C680,Order!$C:$C,Order!$J:$J,"",0,1))</f>
        <v/>
      </c>
      <c r="J680" s="4" t="str">
        <f>IF(C680="","",Order!$J$16)</f>
        <v/>
      </c>
      <c r="K680" s="36" t="str">
        <f>IF($C680="","",_xlfn.XLOOKUP($C680,Order!$C:$C,Order!$P:$P,"",0,1))</f>
        <v/>
      </c>
      <c r="L680" s="4" t="str">
        <f t="shared" si="10"/>
        <v/>
      </c>
    </row>
    <row r="681" spans="2:12" ht="23.25" hidden="1" customHeight="1" x14ac:dyDescent="0.25">
      <c r="B681" s="4">
        <v>676</v>
      </c>
      <c r="C681" s="36" t="str">
        <f>IF(Order!$C$347="","",Order!$C$347)</f>
        <v/>
      </c>
      <c r="D681" s="36" t="str">
        <f>IF($C681="","",_xlfn.XLOOKUP($C681,Order!$C:$C,Order!$D:$D,"",0,1))</f>
        <v/>
      </c>
      <c r="E681" s="4" t="str">
        <f>IF($C681="","",_xlfn.XLOOKUP($C681,Order!$C:$C,Order!$E:$E,"",0,1))</f>
        <v/>
      </c>
      <c r="F681" s="4" t="str">
        <f>IF($C681="","",_xlfn.XLOOKUP($C681,Order!$C:$C,Order!$F:$F,"",0,1))</f>
        <v/>
      </c>
      <c r="G681" s="4" t="str">
        <f>IF($C681="","",_xlfn.XLOOKUP($C681,Order!$C:$C,Order!$G:$G,"",0,1))</f>
        <v/>
      </c>
      <c r="H681" s="4" t="str">
        <f>IF($C681="","",_xlfn.XLOOKUP($C681,Order!$C:$C,Order!$H:$H,"",0,1))</f>
        <v/>
      </c>
      <c r="I681" s="36" t="str">
        <f>IF($C681="","",_xlfn.XLOOKUP($C681,Order!$C:$C,Order!$J:$J,"",0,1))</f>
        <v/>
      </c>
      <c r="J681" s="4" t="str">
        <f>IF(C681="","",Order!$J$16)</f>
        <v/>
      </c>
      <c r="K681" s="36" t="str">
        <f>IF($C681="","",_xlfn.XLOOKUP($C681,Order!$C:$C,Order!$P:$P,"",0,1))</f>
        <v/>
      </c>
      <c r="L681" s="4" t="str">
        <f t="shared" si="10"/>
        <v/>
      </c>
    </row>
    <row r="682" spans="2:12" ht="23.25" hidden="1" customHeight="1" x14ac:dyDescent="0.25">
      <c r="B682" s="4">
        <v>677</v>
      </c>
      <c r="C682" s="36" t="str">
        <f>IF(Order!$C$348="","",Order!$C$348)</f>
        <v/>
      </c>
      <c r="D682" s="36" t="str">
        <f>IF($C682="","",_xlfn.XLOOKUP($C682,Order!$C:$C,Order!$D:$D,"",0,1))</f>
        <v/>
      </c>
      <c r="E682" s="4" t="str">
        <f>IF($C682="","",_xlfn.XLOOKUP($C682,Order!$C:$C,Order!$E:$E,"",0,1))</f>
        <v/>
      </c>
      <c r="F682" s="4" t="str">
        <f>IF($C682="","",_xlfn.XLOOKUP($C682,Order!$C:$C,Order!$F:$F,"",0,1))</f>
        <v/>
      </c>
      <c r="G682" s="4" t="str">
        <f>IF($C682="","",_xlfn.XLOOKUP($C682,Order!$C:$C,Order!$G:$G,"",0,1))</f>
        <v/>
      </c>
      <c r="H682" s="4" t="str">
        <f>IF($C682="","",_xlfn.XLOOKUP($C682,Order!$C:$C,Order!$H:$H,"",0,1))</f>
        <v/>
      </c>
      <c r="I682" s="36" t="str">
        <f>IF($C682="","",_xlfn.XLOOKUP($C682,Order!$C:$C,Order!$J:$J,"",0,1))</f>
        <v/>
      </c>
      <c r="J682" s="4" t="str">
        <f>IF(C682="","",Order!$J$16)</f>
        <v/>
      </c>
      <c r="K682" s="36" t="str">
        <f>IF($C682="","",_xlfn.XLOOKUP($C682,Order!$C:$C,Order!$P:$P,"",0,1))</f>
        <v/>
      </c>
      <c r="L682" s="4" t="str">
        <f t="shared" si="10"/>
        <v/>
      </c>
    </row>
    <row r="683" spans="2:12" ht="23.25" hidden="1" customHeight="1" x14ac:dyDescent="0.25">
      <c r="B683" s="4">
        <v>678</v>
      </c>
      <c r="C683" s="36" t="str">
        <f>IF(Order!$C$349="","",Order!$C$349)</f>
        <v/>
      </c>
      <c r="D683" s="36" t="str">
        <f>IF($C683="","",_xlfn.XLOOKUP($C683,Order!$C:$C,Order!$D:$D,"",0,1))</f>
        <v/>
      </c>
      <c r="E683" s="4" t="str">
        <f>IF($C683="","",_xlfn.XLOOKUP($C683,Order!$C:$C,Order!$E:$E,"",0,1))</f>
        <v/>
      </c>
      <c r="F683" s="4" t="str">
        <f>IF($C683="","",_xlfn.XLOOKUP($C683,Order!$C:$C,Order!$F:$F,"",0,1))</f>
        <v/>
      </c>
      <c r="G683" s="4" t="str">
        <f>IF($C683="","",_xlfn.XLOOKUP($C683,Order!$C:$C,Order!$G:$G,"",0,1))</f>
        <v/>
      </c>
      <c r="H683" s="4" t="str">
        <f>IF($C683="","",_xlfn.XLOOKUP($C683,Order!$C:$C,Order!$H:$H,"",0,1))</f>
        <v/>
      </c>
      <c r="I683" s="36" t="str">
        <f>IF($C683="","",_xlfn.XLOOKUP($C683,Order!$C:$C,Order!$J:$J,"",0,1))</f>
        <v/>
      </c>
      <c r="J683" s="4" t="str">
        <f>IF(C683="","",Order!$J$16)</f>
        <v/>
      </c>
      <c r="K683" s="36" t="str">
        <f>IF($C683="","",_xlfn.XLOOKUP($C683,Order!$C:$C,Order!$P:$P,"",0,1))</f>
        <v/>
      </c>
      <c r="L683" s="4" t="str">
        <f t="shared" si="10"/>
        <v/>
      </c>
    </row>
    <row r="684" spans="2:12" ht="23.25" hidden="1" customHeight="1" x14ac:dyDescent="0.25">
      <c r="B684" s="4">
        <v>679</v>
      </c>
      <c r="C684" s="36" t="str">
        <f>IF(Order!$C$350="","",Order!$C$350)</f>
        <v/>
      </c>
      <c r="D684" s="36" t="str">
        <f>IF($C684="","",_xlfn.XLOOKUP($C684,Order!$C:$C,Order!$D:$D,"",0,1))</f>
        <v/>
      </c>
      <c r="E684" s="4" t="str">
        <f>IF($C684="","",_xlfn.XLOOKUP($C684,Order!$C:$C,Order!$E:$E,"",0,1))</f>
        <v/>
      </c>
      <c r="F684" s="4" t="str">
        <f>IF($C684="","",_xlfn.XLOOKUP($C684,Order!$C:$C,Order!$F:$F,"",0,1))</f>
        <v/>
      </c>
      <c r="G684" s="4" t="str">
        <f>IF($C684="","",_xlfn.XLOOKUP($C684,Order!$C:$C,Order!$G:$G,"",0,1))</f>
        <v/>
      </c>
      <c r="H684" s="4" t="str">
        <f>IF($C684="","",_xlfn.XLOOKUP($C684,Order!$C:$C,Order!$H:$H,"",0,1))</f>
        <v/>
      </c>
      <c r="I684" s="36" t="str">
        <f>IF($C684="","",_xlfn.XLOOKUP($C684,Order!$C:$C,Order!$J:$J,"",0,1))</f>
        <v/>
      </c>
      <c r="J684" s="4" t="str">
        <f>IF(C684="","",Order!$J$16)</f>
        <v/>
      </c>
      <c r="K684" s="36" t="str">
        <f>IF($C684="","",_xlfn.XLOOKUP($C684,Order!$C:$C,Order!$P:$P,"",0,1))</f>
        <v/>
      </c>
      <c r="L684" s="4" t="str">
        <f t="shared" si="10"/>
        <v/>
      </c>
    </row>
    <row r="685" spans="2:12" ht="23.25" hidden="1" customHeight="1" x14ac:dyDescent="0.25">
      <c r="B685" s="4">
        <v>680</v>
      </c>
      <c r="C685" s="36" t="str">
        <f>IF(Order!$C$351="","",Order!$C$351)</f>
        <v/>
      </c>
      <c r="D685" s="36" t="str">
        <f>IF($C685="","",_xlfn.XLOOKUP($C685,Order!$C:$C,Order!$D:$D,"",0,1))</f>
        <v/>
      </c>
      <c r="E685" s="4" t="str">
        <f>IF($C685="","",_xlfn.XLOOKUP($C685,Order!$C:$C,Order!$E:$E,"",0,1))</f>
        <v/>
      </c>
      <c r="F685" s="4" t="str">
        <f>IF($C685="","",_xlfn.XLOOKUP($C685,Order!$C:$C,Order!$F:$F,"",0,1))</f>
        <v/>
      </c>
      <c r="G685" s="4" t="str">
        <f>IF($C685="","",_xlfn.XLOOKUP($C685,Order!$C:$C,Order!$G:$G,"",0,1))</f>
        <v/>
      </c>
      <c r="H685" s="4" t="str">
        <f>IF($C685="","",_xlfn.XLOOKUP($C685,Order!$C:$C,Order!$H:$H,"",0,1))</f>
        <v/>
      </c>
      <c r="I685" s="36" t="str">
        <f>IF($C685="","",_xlfn.XLOOKUP($C685,Order!$C:$C,Order!$J:$J,"",0,1))</f>
        <v/>
      </c>
      <c r="J685" s="4" t="str">
        <f>IF(C685="","",Order!$J$16)</f>
        <v/>
      </c>
      <c r="K685" s="36" t="str">
        <f>IF($C685="","",_xlfn.XLOOKUP($C685,Order!$C:$C,Order!$P:$P,"",0,1))</f>
        <v/>
      </c>
      <c r="L685" s="4" t="str">
        <f t="shared" si="10"/>
        <v/>
      </c>
    </row>
    <row r="686" spans="2:12" ht="23.25" hidden="1" customHeight="1" x14ac:dyDescent="0.25">
      <c r="B686" s="4">
        <v>681</v>
      </c>
      <c r="C686" s="36" t="str">
        <f>IF(Order!$C$352="","",Order!$C$352)</f>
        <v/>
      </c>
      <c r="D686" s="36" t="str">
        <f>IF($C686="","",_xlfn.XLOOKUP($C686,Order!$C:$C,Order!$D:$D,"",0,1))</f>
        <v/>
      </c>
      <c r="E686" s="4" t="str">
        <f>IF($C686="","",_xlfn.XLOOKUP($C686,Order!$C:$C,Order!$E:$E,"",0,1))</f>
        <v/>
      </c>
      <c r="F686" s="4" t="str">
        <f>IF($C686="","",_xlfn.XLOOKUP($C686,Order!$C:$C,Order!$F:$F,"",0,1))</f>
        <v/>
      </c>
      <c r="G686" s="4" t="str">
        <f>IF($C686="","",_xlfn.XLOOKUP($C686,Order!$C:$C,Order!$G:$G,"",0,1))</f>
        <v/>
      </c>
      <c r="H686" s="4" t="str">
        <f>IF($C686="","",_xlfn.XLOOKUP($C686,Order!$C:$C,Order!$H:$H,"",0,1))</f>
        <v/>
      </c>
      <c r="I686" s="36" t="str">
        <f>IF($C686="","",_xlfn.XLOOKUP($C686,Order!$C:$C,Order!$J:$J,"",0,1))</f>
        <v/>
      </c>
      <c r="J686" s="4" t="str">
        <f>IF(C686="","",Order!$J$16)</f>
        <v/>
      </c>
      <c r="K686" s="36" t="str">
        <f>IF($C686="","",_xlfn.XLOOKUP($C686,Order!$C:$C,Order!$P:$P,"",0,1))</f>
        <v/>
      </c>
      <c r="L686" s="4" t="str">
        <f t="shared" si="10"/>
        <v/>
      </c>
    </row>
    <row r="687" spans="2:12" ht="23.25" hidden="1" customHeight="1" x14ac:dyDescent="0.25">
      <c r="B687" s="4">
        <v>682</v>
      </c>
      <c r="C687" s="36" t="str">
        <f>IF(Order!$C$353="","",Order!$C$353)</f>
        <v/>
      </c>
      <c r="D687" s="36" t="str">
        <f>IF($C687="","",_xlfn.XLOOKUP($C687,Order!$C:$C,Order!$D:$D,"",0,1))</f>
        <v/>
      </c>
      <c r="E687" s="4" t="str">
        <f>IF($C687="","",_xlfn.XLOOKUP($C687,Order!$C:$C,Order!$E:$E,"",0,1))</f>
        <v/>
      </c>
      <c r="F687" s="4" t="str">
        <f>IF($C687="","",_xlfn.XLOOKUP($C687,Order!$C:$C,Order!$F:$F,"",0,1))</f>
        <v/>
      </c>
      <c r="G687" s="4" t="str">
        <f>IF($C687="","",_xlfn.XLOOKUP($C687,Order!$C:$C,Order!$G:$G,"",0,1))</f>
        <v/>
      </c>
      <c r="H687" s="4" t="str">
        <f>IF($C687="","",_xlfn.XLOOKUP($C687,Order!$C:$C,Order!$H:$H,"",0,1))</f>
        <v/>
      </c>
      <c r="I687" s="36" t="str">
        <f>IF($C687="","",_xlfn.XLOOKUP($C687,Order!$C:$C,Order!$J:$J,"",0,1))</f>
        <v/>
      </c>
      <c r="J687" s="4" t="str">
        <f>IF(C687="","",Order!$J$16)</f>
        <v/>
      </c>
      <c r="K687" s="36" t="str">
        <f>IF($C687="","",_xlfn.XLOOKUP($C687,Order!$C:$C,Order!$P:$P,"",0,1))</f>
        <v/>
      </c>
      <c r="L687" s="4" t="str">
        <f t="shared" si="10"/>
        <v/>
      </c>
    </row>
    <row r="688" spans="2:12" ht="23.25" hidden="1" customHeight="1" x14ac:dyDescent="0.25">
      <c r="B688" s="4">
        <v>683</v>
      </c>
      <c r="C688" s="36" t="str">
        <f>IF(Order!$C$354="","",Order!$C$354)</f>
        <v/>
      </c>
      <c r="D688" s="36" t="str">
        <f>IF($C688="","",_xlfn.XLOOKUP($C688,Order!$C:$C,Order!$D:$D,"",0,1))</f>
        <v/>
      </c>
      <c r="E688" s="4" t="str">
        <f>IF($C688="","",_xlfn.XLOOKUP($C688,Order!$C:$C,Order!$E:$E,"",0,1))</f>
        <v/>
      </c>
      <c r="F688" s="4" t="str">
        <f>IF($C688="","",_xlfn.XLOOKUP($C688,Order!$C:$C,Order!$F:$F,"",0,1))</f>
        <v/>
      </c>
      <c r="G688" s="4" t="str">
        <f>IF($C688="","",_xlfn.XLOOKUP($C688,Order!$C:$C,Order!$G:$G,"",0,1))</f>
        <v/>
      </c>
      <c r="H688" s="4" t="str">
        <f>IF($C688="","",_xlfn.XLOOKUP($C688,Order!$C:$C,Order!$H:$H,"",0,1))</f>
        <v/>
      </c>
      <c r="I688" s="36" t="str">
        <f>IF($C688="","",_xlfn.XLOOKUP($C688,Order!$C:$C,Order!$J:$J,"",0,1))</f>
        <v/>
      </c>
      <c r="J688" s="4" t="str">
        <f>IF(C688="","",Order!$J$16)</f>
        <v/>
      </c>
      <c r="K688" s="36" t="str">
        <f>IF($C688="","",_xlfn.XLOOKUP($C688,Order!$C:$C,Order!$P:$P,"",0,1))</f>
        <v/>
      </c>
      <c r="L688" s="4" t="str">
        <f t="shared" si="10"/>
        <v/>
      </c>
    </row>
    <row r="689" spans="2:12" ht="23.25" hidden="1" customHeight="1" x14ac:dyDescent="0.25">
      <c r="B689" s="4">
        <v>684</v>
      </c>
      <c r="C689" s="36" t="str">
        <f>IF(Order!$C$355="","",Order!$C$355)</f>
        <v/>
      </c>
      <c r="D689" s="36" t="str">
        <f>IF($C689="","",_xlfn.XLOOKUP($C689,Order!$C:$C,Order!$D:$D,"",0,1))</f>
        <v/>
      </c>
      <c r="E689" s="4" t="str">
        <f>IF($C689="","",_xlfn.XLOOKUP($C689,Order!$C:$C,Order!$E:$E,"",0,1))</f>
        <v/>
      </c>
      <c r="F689" s="4" t="str">
        <f>IF($C689="","",_xlfn.XLOOKUP($C689,Order!$C:$C,Order!$F:$F,"",0,1))</f>
        <v/>
      </c>
      <c r="G689" s="4" t="str">
        <f>IF($C689="","",_xlfn.XLOOKUP($C689,Order!$C:$C,Order!$G:$G,"",0,1))</f>
        <v/>
      </c>
      <c r="H689" s="4" t="str">
        <f>IF($C689="","",_xlfn.XLOOKUP($C689,Order!$C:$C,Order!$H:$H,"",0,1))</f>
        <v/>
      </c>
      <c r="I689" s="36" t="str">
        <f>IF($C689="","",_xlfn.XLOOKUP($C689,Order!$C:$C,Order!$J:$J,"",0,1))</f>
        <v/>
      </c>
      <c r="J689" s="4" t="str">
        <f>IF(C689="","",Order!$J$16)</f>
        <v/>
      </c>
      <c r="K689" s="36" t="str">
        <f>IF($C689="","",_xlfn.XLOOKUP($C689,Order!$C:$C,Order!$P:$P,"",0,1))</f>
        <v/>
      </c>
      <c r="L689" s="4" t="str">
        <f t="shared" si="10"/>
        <v/>
      </c>
    </row>
    <row r="690" spans="2:12" ht="23.25" hidden="1" customHeight="1" x14ac:dyDescent="0.25">
      <c r="B690" s="4">
        <v>685</v>
      </c>
      <c r="C690" s="36" t="str">
        <f>IF(Order!$C$356="","",Order!$C$356)</f>
        <v/>
      </c>
      <c r="D690" s="36" t="str">
        <f>IF($C690="","",_xlfn.XLOOKUP($C690,Order!$C:$C,Order!$D:$D,"",0,1))</f>
        <v/>
      </c>
      <c r="E690" s="4" t="str">
        <f>IF($C690="","",_xlfn.XLOOKUP($C690,Order!$C:$C,Order!$E:$E,"",0,1))</f>
        <v/>
      </c>
      <c r="F690" s="4" t="str">
        <f>IF($C690="","",_xlfn.XLOOKUP($C690,Order!$C:$C,Order!$F:$F,"",0,1))</f>
        <v/>
      </c>
      <c r="G690" s="4" t="str">
        <f>IF($C690="","",_xlfn.XLOOKUP($C690,Order!$C:$C,Order!$G:$G,"",0,1))</f>
        <v/>
      </c>
      <c r="H690" s="4" t="str">
        <f>IF($C690="","",_xlfn.XLOOKUP($C690,Order!$C:$C,Order!$H:$H,"",0,1))</f>
        <v/>
      </c>
      <c r="I690" s="36" t="str">
        <f>IF($C690="","",_xlfn.XLOOKUP($C690,Order!$C:$C,Order!$J:$J,"",0,1))</f>
        <v/>
      </c>
      <c r="J690" s="4" t="str">
        <f>IF(C690="","",Order!$J$16)</f>
        <v/>
      </c>
      <c r="K690" s="36" t="str">
        <f>IF($C690="","",_xlfn.XLOOKUP($C690,Order!$C:$C,Order!$P:$P,"",0,1))</f>
        <v/>
      </c>
      <c r="L690" s="4" t="str">
        <f t="shared" si="10"/>
        <v/>
      </c>
    </row>
    <row r="691" spans="2:12" ht="23.25" hidden="1" customHeight="1" x14ac:dyDescent="0.25">
      <c r="B691" s="4">
        <v>686</v>
      </c>
      <c r="C691" s="36" t="str">
        <f>IF(Order!$C$357="","",Order!$C$357)</f>
        <v/>
      </c>
      <c r="D691" s="36" t="str">
        <f>IF($C691="","",_xlfn.XLOOKUP($C691,Order!$C:$C,Order!$D:$D,"",0,1))</f>
        <v/>
      </c>
      <c r="E691" s="4" t="str">
        <f>IF($C691="","",_xlfn.XLOOKUP($C691,Order!$C:$C,Order!$E:$E,"",0,1))</f>
        <v/>
      </c>
      <c r="F691" s="4" t="str">
        <f>IF($C691="","",_xlfn.XLOOKUP($C691,Order!$C:$C,Order!$F:$F,"",0,1))</f>
        <v/>
      </c>
      <c r="G691" s="4" t="str">
        <f>IF($C691="","",_xlfn.XLOOKUP($C691,Order!$C:$C,Order!$G:$G,"",0,1))</f>
        <v/>
      </c>
      <c r="H691" s="4" t="str">
        <f>IF($C691="","",_xlfn.XLOOKUP($C691,Order!$C:$C,Order!$H:$H,"",0,1))</f>
        <v/>
      </c>
      <c r="I691" s="36" t="str">
        <f>IF($C691="","",_xlfn.XLOOKUP($C691,Order!$C:$C,Order!$J:$J,"",0,1))</f>
        <v/>
      </c>
      <c r="J691" s="4" t="str">
        <f>IF(C691="","",Order!$J$16)</f>
        <v/>
      </c>
      <c r="K691" s="36" t="str">
        <f>IF($C691="","",_xlfn.XLOOKUP($C691,Order!$C:$C,Order!$P:$P,"",0,1))</f>
        <v/>
      </c>
      <c r="L691" s="4" t="str">
        <f t="shared" si="10"/>
        <v/>
      </c>
    </row>
    <row r="692" spans="2:12" ht="23.25" hidden="1" customHeight="1" x14ac:dyDescent="0.25">
      <c r="B692" s="4">
        <v>687</v>
      </c>
      <c r="C692" s="36" t="str">
        <f>IF(Order!$C$358="","",Order!$C$358)</f>
        <v/>
      </c>
      <c r="D692" s="36" t="str">
        <f>IF($C692="","",_xlfn.XLOOKUP($C692,Order!$C:$C,Order!$D:$D,"",0,1))</f>
        <v/>
      </c>
      <c r="E692" s="4" t="str">
        <f>IF($C692="","",_xlfn.XLOOKUP($C692,Order!$C:$C,Order!$E:$E,"",0,1))</f>
        <v/>
      </c>
      <c r="F692" s="4" t="str">
        <f>IF($C692="","",_xlfn.XLOOKUP($C692,Order!$C:$C,Order!$F:$F,"",0,1))</f>
        <v/>
      </c>
      <c r="G692" s="4" t="str">
        <f>IF($C692="","",_xlfn.XLOOKUP($C692,Order!$C:$C,Order!$G:$G,"",0,1))</f>
        <v/>
      </c>
      <c r="H692" s="4" t="str">
        <f>IF($C692="","",_xlfn.XLOOKUP($C692,Order!$C:$C,Order!$H:$H,"",0,1))</f>
        <v/>
      </c>
      <c r="I692" s="36" t="str">
        <f>IF($C692="","",_xlfn.XLOOKUP($C692,Order!$C:$C,Order!$J:$J,"",0,1))</f>
        <v/>
      </c>
      <c r="J692" s="4" t="str">
        <f>IF(C692="","",Order!$J$16)</f>
        <v/>
      </c>
      <c r="K692" s="36" t="str">
        <f>IF($C692="","",_xlfn.XLOOKUP($C692,Order!$C:$C,Order!$P:$P,"",0,1))</f>
        <v/>
      </c>
      <c r="L692" s="4" t="str">
        <f t="shared" si="10"/>
        <v/>
      </c>
    </row>
    <row r="693" spans="2:12" ht="23.25" hidden="1" customHeight="1" x14ac:dyDescent="0.25">
      <c r="B693" s="4">
        <v>688</v>
      </c>
      <c r="C693" s="36" t="str">
        <f>IF(Order!$C$359="","",Order!$C$359)</f>
        <v/>
      </c>
      <c r="D693" s="36" t="str">
        <f>IF($C693="","",_xlfn.XLOOKUP($C693,Order!$C:$C,Order!$D:$D,"",0,1))</f>
        <v/>
      </c>
      <c r="E693" s="4" t="str">
        <f>IF($C693="","",_xlfn.XLOOKUP($C693,Order!$C:$C,Order!$E:$E,"",0,1))</f>
        <v/>
      </c>
      <c r="F693" s="4" t="str">
        <f>IF($C693="","",_xlfn.XLOOKUP($C693,Order!$C:$C,Order!$F:$F,"",0,1))</f>
        <v/>
      </c>
      <c r="G693" s="4" t="str">
        <f>IF($C693="","",_xlfn.XLOOKUP($C693,Order!$C:$C,Order!$G:$G,"",0,1))</f>
        <v/>
      </c>
      <c r="H693" s="4" t="str">
        <f>IF($C693="","",_xlfn.XLOOKUP($C693,Order!$C:$C,Order!$H:$H,"",0,1))</f>
        <v/>
      </c>
      <c r="I693" s="36" t="str">
        <f>IF($C693="","",_xlfn.XLOOKUP($C693,Order!$C:$C,Order!$J:$J,"",0,1))</f>
        <v/>
      </c>
      <c r="J693" s="4" t="str">
        <f>IF(C693="","",Order!$J$16)</f>
        <v/>
      </c>
      <c r="K693" s="36" t="str">
        <f>IF($C693="","",_xlfn.XLOOKUP($C693,Order!$C:$C,Order!$P:$P,"",0,1))</f>
        <v/>
      </c>
      <c r="L693" s="4" t="str">
        <f t="shared" si="10"/>
        <v/>
      </c>
    </row>
    <row r="694" spans="2:12" ht="23.25" hidden="1" customHeight="1" x14ac:dyDescent="0.25">
      <c r="B694" s="4">
        <v>689</v>
      </c>
      <c r="C694" s="36" t="str">
        <f>IF(Order!$C$360="","",Order!$C$360)</f>
        <v/>
      </c>
      <c r="D694" s="36" t="str">
        <f>IF($C694="","",_xlfn.XLOOKUP($C694,Order!$C:$C,Order!$D:$D,"",0,1))</f>
        <v/>
      </c>
      <c r="E694" s="4" t="str">
        <f>IF($C694="","",_xlfn.XLOOKUP($C694,Order!$C:$C,Order!$E:$E,"",0,1))</f>
        <v/>
      </c>
      <c r="F694" s="4" t="str">
        <f>IF($C694="","",_xlfn.XLOOKUP($C694,Order!$C:$C,Order!$F:$F,"",0,1))</f>
        <v/>
      </c>
      <c r="G694" s="4" t="str">
        <f>IF($C694="","",_xlfn.XLOOKUP($C694,Order!$C:$C,Order!$G:$G,"",0,1))</f>
        <v/>
      </c>
      <c r="H694" s="4" t="str">
        <f>IF($C694="","",_xlfn.XLOOKUP($C694,Order!$C:$C,Order!$H:$H,"",0,1))</f>
        <v/>
      </c>
      <c r="I694" s="36" t="str">
        <f>IF($C694="","",_xlfn.XLOOKUP($C694,Order!$C:$C,Order!$J:$J,"",0,1))</f>
        <v/>
      </c>
      <c r="J694" s="4" t="str">
        <f>IF(C694="","",Order!$J$16)</f>
        <v/>
      </c>
      <c r="K694" s="36" t="str">
        <f>IF($C694="","",_xlfn.XLOOKUP($C694,Order!$C:$C,Order!$P:$P,"",0,1))</f>
        <v/>
      </c>
      <c r="L694" s="4" t="str">
        <f t="shared" si="10"/>
        <v/>
      </c>
    </row>
    <row r="695" spans="2:12" ht="23.25" hidden="1" customHeight="1" x14ac:dyDescent="0.25">
      <c r="B695" s="4">
        <v>690</v>
      </c>
      <c r="C695" s="36" t="str">
        <f>IF(Order!$C$361="","",Order!$C$361)</f>
        <v/>
      </c>
      <c r="D695" s="36" t="str">
        <f>IF($C695="","",_xlfn.XLOOKUP($C695,Order!$C:$C,Order!$D:$D,"",0,1))</f>
        <v/>
      </c>
      <c r="E695" s="4" t="str">
        <f>IF($C695="","",_xlfn.XLOOKUP($C695,Order!$C:$C,Order!$E:$E,"",0,1))</f>
        <v/>
      </c>
      <c r="F695" s="4" t="str">
        <f>IF($C695="","",_xlfn.XLOOKUP($C695,Order!$C:$C,Order!$F:$F,"",0,1))</f>
        <v/>
      </c>
      <c r="G695" s="4" t="str">
        <f>IF($C695="","",_xlfn.XLOOKUP($C695,Order!$C:$C,Order!$G:$G,"",0,1))</f>
        <v/>
      </c>
      <c r="H695" s="4" t="str">
        <f>IF($C695="","",_xlfn.XLOOKUP($C695,Order!$C:$C,Order!$H:$H,"",0,1))</f>
        <v/>
      </c>
      <c r="I695" s="36" t="str">
        <f>IF($C695="","",_xlfn.XLOOKUP($C695,Order!$C:$C,Order!$J:$J,"",0,1))</f>
        <v/>
      </c>
      <c r="J695" s="4" t="str">
        <f>IF(C695="","",Order!$J$16)</f>
        <v/>
      </c>
      <c r="K695" s="36" t="str">
        <f>IF($C695="","",_xlfn.XLOOKUP($C695,Order!$C:$C,Order!$P:$P,"",0,1))</f>
        <v/>
      </c>
      <c r="L695" s="4" t="str">
        <f t="shared" si="10"/>
        <v/>
      </c>
    </row>
    <row r="696" spans="2:12" s="1" customFormat="1" ht="23.25" hidden="1" customHeight="1" x14ac:dyDescent="0.25">
      <c r="B696" s="4">
        <v>691</v>
      </c>
      <c r="C696" s="36" t="str">
        <f>IF(Order!$C$17="","",Order!$C$17)</f>
        <v>BC 1/2X1/8 (Flat bar 1/2 X 1/8" )</v>
      </c>
      <c r="D696" s="36" t="str">
        <f>IF($C696="","",_xlfn.XLOOKUP($C696,Order!$C:$C,Order!$D:$D,"",0,1))</f>
        <v>BC1/2X1/8</v>
      </c>
      <c r="E696" s="4" t="e" vm="249">
        <f>IF($C696="","",_xlfn.XLOOKUP($C696,Order!$C:$C,Order!$E:$E,"",0,1))</f>
        <v>#VALUE!</v>
      </c>
      <c r="F696" s="4">
        <f>IF($C696="","",_xlfn.XLOOKUP($C696,Order!$C:$C,Order!$F:$F,"",0,1))</f>
        <v>6000</v>
      </c>
      <c r="G696" s="4" t="str">
        <f>IF($C696="","",_xlfn.XLOOKUP($C696,Order!$C:$C,Order!$G:$G,"",0,1))</f>
        <v>6063T5</v>
      </c>
      <c r="H696" s="4">
        <f>IF($C696="","",_xlfn.XLOOKUP($C696,Order!$C:$C,Order!$H:$H,"",0,1))</f>
        <v>0.11</v>
      </c>
      <c r="I696" s="36">
        <f>IF($C696="","",_xlfn.XLOOKUP($C696,Order!$C:$C,Order!$K:$K,"",0,1))</f>
        <v>0</v>
      </c>
      <c r="J696" s="4" t="str">
        <f>IF(C696="","",Order!$K$16)</f>
        <v>WHITE POWDER COAT (PE/BA)</v>
      </c>
      <c r="K696" s="36">
        <f>IF($C696="","",_xlfn.XLOOKUP($C696,Order!$C:$C,Order!$P:$P,"",0,1))</f>
        <v>0</v>
      </c>
      <c r="L696" s="4">
        <f t="shared" si="10"/>
        <v>0</v>
      </c>
    </row>
    <row r="697" spans="2:12" s="1" customFormat="1" ht="23.25" hidden="1" customHeight="1" x14ac:dyDescent="0.25">
      <c r="B697" s="4">
        <v>692</v>
      </c>
      <c r="C697" s="36" t="str">
        <f>IF(Order!$C$18="","",Order!$C$18)</f>
        <v>BC 1X1/8 (Flat bar 1 X 1/8")</v>
      </c>
      <c r="D697" s="36" t="str">
        <f>IF($C697="","",_xlfn.XLOOKUP($C697,Order!$C:$C,Order!$D:$D,"",0,1))</f>
        <v>BC1X1/8</v>
      </c>
      <c r="E697" s="4" t="e" vm="250">
        <f>IF($C697="","",_xlfn.XLOOKUP($C697,Order!$C:$C,Order!$E:$E,"",0,1))</f>
        <v>#VALUE!</v>
      </c>
      <c r="F697" s="4">
        <f>IF($C697="","",_xlfn.XLOOKUP($C697,Order!$C:$C,Order!$F:$F,"",0,1))</f>
        <v>6000</v>
      </c>
      <c r="G697" s="4" t="str">
        <f>IF($C697="","",_xlfn.XLOOKUP($C697,Order!$C:$C,Order!$G:$G,"",0,1))</f>
        <v>6063T5</v>
      </c>
      <c r="H697" s="4">
        <f>IF($C697="","",_xlfn.XLOOKUP($C697,Order!$C:$C,Order!$H:$H,"",0,1))</f>
        <v>0.221</v>
      </c>
      <c r="I697" s="36">
        <f>IF($C697="","",_xlfn.XLOOKUP($C697,Order!$C:$C,Order!$K:$K,"",0,1))</f>
        <v>0</v>
      </c>
      <c r="J697" s="4" t="str">
        <f>IF(C697="","",Order!$K$16)</f>
        <v>WHITE POWDER COAT (PE/BA)</v>
      </c>
      <c r="K697" s="36">
        <f>IF($C697="","",_xlfn.XLOOKUP($C697,Order!$C:$C,Order!$P:$P,"",0,1))</f>
        <v>0</v>
      </c>
      <c r="L697" s="4">
        <f t="shared" si="10"/>
        <v>0</v>
      </c>
    </row>
    <row r="698" spans="2:12" ht="23.25" hidden="1" customHeight="1" x14ac:dyDescent="0.25">
      <c r="B698" s="4">
        <v>693</v>
      </c>
      <c r="C698" s="36" t="str">
        <f>IF(Order!$C$19="","",Order!$C$19)</f>
        <v>TR3/8 (Round tube 3/8" with 0.80 mm tickness)</v>
      </c>
      <c r="D698" s="36" t="str">
        <f>IF($C698="","",_xlfn.XLOOKUP($C698,Order!$C:$C,Order!$D:$D,"",0,1))</f>
        <v>TR3/8</v>
      </c>
      <c r="E698" s="4" t="e" vm="251">
        <f>IF($C698="","",_xlfn.XLOOKUP($C698,Order!$C:$C,Order!$E:$E,"",0,1))</f>
        <v>#VALUE!</v>
      </c>
      <c r="F698" s="4">
        <f>IF($C698="","",_xlfn.XLOOKUP($C698,Order!$C:$C,Order!$F:$F,"",0,1))</f>
        <v>6000</v>
      </c>
      <c r="G698" s="4" t="str">
        <f>IF($C698="","",_xlfn.XLOOKUP($C698,Order!$C:$C,Order!$G:$G,"",0,1))</f>
        <v>6063T5</v>
      </c>
      <c r="H698" s="4">
        <f>IF($C698="","",_xlfn.XLOOKUP($C698,Order!$C:$C,Order!$H:$H,"",0,1))</f>
        <v>0.06</v>
      </c>
      <c r="I698" s="36">
        <f>IF($C698="","",_xlfn.XLOOKUP($C698,Order!$C:$C,Order!$K:$K,"",0,1))</f>
        <v>0</v>
      </c>
      <c r="J698" s="4" t="str">
        <f>IF(C698="","",Order!$K$16)</f>
        <v>WHITE POWDER COAT (PE/BA)</v>
      </c>
      <c r="K698" s="36">
        <f>IF($C698="","",_xlfn.XLOOKUP($C698,Order!$C:$C,Order!$P:$P,"",0,1))</f>
        <v>0</v>
      </c>
      <c r="L698" s="4">
        <f t="shared" si="10"/>
        <v>0</v>
      </c>
    </row>
    <row r="699" spans="2:12" ht="23.25" customHeight="1" x14ac:dyDescent="0.25">
      <c r="B699" s="4">
        <v>694</v>
      </c>
      <c r="C699" s="36" t="str">
        <f>IF(Order!$C$20="","",Order!$C$20)</f>
        <v>TR1/2 (Round tube 1/2 with 0.90 mm tickness)</v>
      </c>
      <c r="D699" s="36" t="str">
        <f>IF($C699="","",_xlfn.XLOOKUP($C699,Order!$C:$C,Order!$D:$D,"",0,1))</f>
        <v>TR12</v>
      </c>
      <c r="E699" s="4" t="e" vm="251">
        <f>IF($C699="","",_xlfn.XLOOKUP($C699,Order!$C:$C,Order!$E:$E,"",0,1))</f>
        <v>#VALUE!</v>
      </c>
      <c r="F699" s="4">
        <f>IF($C699="","",_xlfn.XLOOKUP($C699,Order!$C:$C,Order!$F:$F,"",0,1))</f>
        <v>6000</v>
      </c>
      <c r="G699" s="4" t="str">
        <f>IF($C699="","",_xlfn.XLOOKUP($C699,Order!$C:$C,Order!$G:$G,"",0,1))</f>
        <v>6063T5</v>
      </c>
      <c r="H699" s="4">
        <f>IF($C699="","",_xlfn.XLOOKUP($C699,Order!$C:$C,Order!$H:$H,"",0,1))</f>
        <v>9.0999999999999998E-2</v>
      </c>
      <c r="I699" s="36">
        <f>IF($C699="","",_xlfn.XLOOKUP($C699,Order!$C:$C,Order!$K:$K,"",0,1))</f>
        <v>100</v>
      </c>
      <c r="J699" s="4" t="str">
        <f>IF(C699="","",Order!$K$16)</f>
        <v>WHITE POWDER COAT (PE/BA)</v>
      </c>
      <c r="K699" s="36">
        <f>IF($C699="","",_xlfn.XLOOKUP($C699,Order!$C:$C,Order!$P:$P,"",0,1))</f>
        <v>0</v>
      </c>
      <c r="L699" s="4">
        <f t="shared" si="10"/>
        <v>54.6</v>
      </c>
    </row>
    <row r="700" spans="2:12" ht="23.25" customHeight="1" x14ac:dyDescent="0.25">
      <c r="B700" s="4">
        <v>695</v>
      </c>
      <c r="C700" s="36" t="str">
        <f>IF(Order!$C$21="","",Order!$C$21)</f>
        <v>TR 5/8 (Round tube 5/8" with 0.80 mm thickness)</v>
      </c>
      <c r="D700" s="36" t="str">
        <f>IF($C700="","",_xlfn.XLOOKUP($C700,Order!$C:$C,Order!$D:$D,"",0,1))</f>
        <v>TR58</v>
      </c>
      <c r="E700" s="4" t="e" vm="251">
        <f>IF($C700="","",_xlfn.XLOOKUP($C700,Order!$C:$C,Order!$E:$E,"",0,1))</f>
        <v>#VALUE!</v>
      </c>
      <c r="F700" s="4">
        <f>IF($C700="","",_xlfn.XLOOKUP($C700,Order!$C:$C,Order!$F:$F,"",0,1))</f>
        <v>6000</v>
      </c>
      <c r="G700" s="4" t="str">
        <f>IF($C700="","",_xlfn.XLOOKUP($C700,Order!$C:$C,Order!$G:$G,"",0,1))</f>
        <v>6063T5</v>
      </c>
      <c r="H700" s="4">
        <f>IF($C700="","",_xlfn.XLOOKUP($C700,Order!$C:$C,Order!$H:$H,"",0,1))</f>
        <v>0.10299999999999999</v>
      </c>
      <c r="I700" s="36">
        <f>IF($C700="","",_xlfn.XLOOKUP($C700,Order!$C:$C,Order!$K:$K,"",0,1))</f>
        <v>80</v>
      </c>
      <c r="J700" s="4" t="str">
        <f>IF(C700="","",Order!$K$16)</f>
        <v>WHITE POWDER COAT (PE/BA)</v>
      </c>
      <c r="K700" s="36">
        <f>IF($C700="","",_xlfn.XLOOKUP($C700,Order!$C:$C,Order!$P:$P,"",0,1))</f>
        <v>0</v>
      </c>
      <c r="L700" s="4">
        <f t="shared" si="10"/>
        <v>49.44</v>
      </c>
    </row>
    <row r="701" spans="2:12" ht="23.25" hidden="1" customHeight="1" x14ac:dyDescent="0.25">
      <c r="B701" s="4">
        <v>696</v>
      </c>
      <c r="C701" s="36" t="str">
        <f>IF(Order!$C$22="","",Order!$C$22)</f>
        <v>TR3/4A (Round tube 3/4" with 0.80 mm thickness)</v>
      </c>
      <c r="D701" s="36" t="str">
        <f>IF($C701="","",_xlfn.XLOOKUP($C701,Order!$C:$C,Order!$D:$D,"",0,1))</f>
        <v>TR34A</v>
      </c>
      <c r="E701" s="4" t="e" vm="251">
        <f>IF($C701="","",_xlfn.XLOOKUP($C701,Order!$C:$C,Order!$E:$E,"",0,1))</f>
        <v>#VALUE!</v>
      </c>
      <c r="F701" s="4">
        <f>IF($C701="","",_xlfn.XLOOKUP($C701,Order!$C:$C,Order!$F:$F,"",0,1))</f>
        <v>6000</v>
      </c>
      <c r="G701" s="4" t="str">
        <f>IF($C701="","",_xlfn.XLOOKUP($C701,Order!$C:$C,Order!$G:$G,"",0,1))</f>
        <v>6063T5</v>
      </c>
      <c r="H701" s="4">
        <f>IF($C701="","",_xlfn.XLOOKUP($C701,Order!$C:$C,Order!$H:$H,"",0,1))</f>
        <v>0.125</v>
      </c>
      <c r="I701" s="36">
        <f>IF($C701="","",_xlfn.XLOOKUP($C701,Order!$C:$C,Order!$K:$K,"",0,1))</f>
        <v>0</v>
      </c>
      <c r="J701" s="4" t="str">
        <f>IF(C701="","",Order!$K$16)</f>
        <v>WHITE POWDER COAT (PE/BA)</v>
      </c>
      <c r="K701" s="36">
        <f>IF($C701="","",_xlfn.XLOOKUP($C701,Order!$C:$C,Order!$P:$P,"",0,1))</f>
        <v>0</v>
      </c>
      <c r="L701" s="4">
        <f t="shared" si="10"/>
        <v>0</v>
      </c>
    </row>
    <row r="702" spans="2:12" ht="23.25" hidden="1" customHeight="1" x14ac:dyDescent="0.25">
      <c r="B702" s="4">
        <v>697</v>
      </c>
      <c r="C702" s="36" t="str">
        <f>IF(Order!$C$23="","",Order!$C$23)</f>
        <v>TR7/8 (Round tube 7/8" with 0.90 mm thickness)</v>
      </c>
      <c r="D702" s="36" t="str">
        <f>IF($C702="","",_xlfn.XLOOKUP($C702,Order!$C:$C,Order!$D:$D,"",0,1))</f>
        <v>TR7/8</v>
      </c>
      <c r="E702" s="4" t="e" vm="251">
        <f>IF($C702="","",_xlfn.XLOOKUP($C702,Order!$C:$C,Order!$E:$E,"",0,1))</f>
        <v>#VALUE!</v>
      </c>
      <c r="F702" s="4">
        <f>IF($C702="","",_xlfn.XLOOKUP($C702,Order!$C:$C,Order!$F:$F,"",0,1))</f>
        <v>6000</v>
      </c>
      <c r="G702" s="4" t="str">
        <f>IF($C702="","",_xlfn.XLOOKUP($C702,Order!$C:$C,Order!$G:$G,"",0,1))</f>
        <v>6063T5</v>
      </c>
      <c r="H702" s="4">
        <f>IF($C702="","",_xlfn.XLOOKUP($C702,Order!$C:$C,Order!$H:$H,"",0,1))</f>
        <v>0.16400000000000001</v>
      </c>
      <c r="I702" s="36">
        <f>IF($C702="","",_xlfn.XLOOKUP($C702,Order!$C:$C,Order!$K:$K,"",0,1))</f>
        <v>0</v>
      </c>
      <c r="J702" s="4" t="str">
        <f>IF(C702="","",Order!$K$16)</f>
        <v>WHITE POWDER COAT (PE/BA)</v>
      </c>
      <c r="K702" s="36">
        <f>IF($C702="","",_xlfn.XLOOKUP($C702,Order!$C:$C,Order!$P:$P,"",0,1))</f>
        <v>0</v>
      </c>
      <c r="L702" s="4">
        <f t="shared" si="10"/>
        <v>0</v>
      </c>
    </row>
    <row r="703" spans="2:12" ht="23.25" hidden="1" customHeight="1" x14ac:dyDescent="0.25">
      <c r="B703" s="4">
        <v>698</v>
      </c>
      <c r="C703" s="36" t="str">
        <f>IF(Order!$C$24="","",Order!$C$24)</f>
        <v>TR24.8 (Round tube 24.8 mm with 0.90 mm thickness)</v>
      </c>
      <c r="D703" s="36" t="str">
        <f>IF($C703="","",_xlfn.XLOOKUP($C703,Order!$C:$C,Order!$D:$D,"",0,1))</f>
        <v>TR24.8</v>
      </c>
      <c r="E703" s="4" t="e" vm="251">
        <f>IF($C703="","",_xlfn.XLOOKUP($C703,Order!$C:$C,Order!$E:$E,"",0,1))</f>
        <v>#VALUE!</v>
      </c>
      <c r="F703" s="4">
        <f>IF($C703="","",_xlfn.XLOOKUP($C703,Order!$C:$C,Order!$F:$F,"",0,1))</f>
        <v>6000</v>
      </c>
      <c r="G703" s="4" t="str">
        <f>IF($C703="","",_xlfn.XLOOKUP($C703,Order!$C:$C,Order!$G:$G,"",0,1))</f>
        <v>6063T5</v>
      </c>
      <c r="H703" s="4">
        <f>IF($C703="","",_xlfn.XLOOKUP($C703,Order!$C:$C,Order!$H:$H,"",0,1))</f>
        <v>0</v>
      </c>
      <c r="I703" s="36">
        <f>IF($C703="","",_xlfn.XLOOKUP($C703,Order!$C:$C,Order!$K:$K,"",0,1))</f>
        <v>0</v>
      </c>
      <c r="J703" s="4" t="str">
        <f>IF(C703="","",Order!$K$16)</f>
        <v>WHITE POWDER COAT (PE/BA)</v>
      </c>
      <c r="K703" s="36">
        <f>IF($C703="","",_xlfn.XLOOKUP($C703,Order!$C:$C,Order!$P:$P,"",0,1))</f>
        <v>0</v>
      </c>
      <c r="L703" s="4">
        <f t="shared" si="10"/>
        <v>0</v>
      </c>
    </row>
    <row r="704" spans="2:12" ht="23.25" customHeight="1" x14ac:dyDescent="0.25">
      <c r="B704" s="4">
        <v>699</v>
      </c>
      <c r="C704" s="36" t="str">
        <f>IF(Order!$C$25="","",Order!$C$25)</f>
        <v>TR1 (Round tube 1" with 0.80 mm thickness)</v>
      </c>
      <c r="D704" s="36" t="str">
        <f>IF($C704="","",_xlfn.XLOOKUP($C704,Order!$C:$C,Order!$D:$D,"",0,1))</f>
        <v>TR1</v>
      </c>
      <c r="E704" s="4" t="e" vm="251">
        <f>IF($C704="","",_xlfn.XLOOKUP($C704,Order!$C:$C,Order!$E:$E,"",0,1))</f>
        <v>#VALUE!</v>
      </c>
      <c r="F704" s="4">
        <f>IF($C704="","",_xlfn.XLOOKUP($C704,Order!$C:$C,Order!$F:$F,"",0,1))</f>
        <v>6000</v>
      </c>
      <c r="G704" s="4" t="str">
        <f>IF($C704="","",_xlfn.XLOOKUP($C704,Order!$C:$C,Order!$G:$G,"",0,1))</f>
        <v>6063T5</v>
      </c>
      <c r="H704" s="4">
        <f>IF($C704="","",_xlfn.XLOOKUP($C704,Order!$C:$C,Order!$H:$H,"",0,1))</f>
        <v>0.16900000000000001</v>
      </c>
      <c r="I704" s="36">
        <f>IF($C704="","",_xlfn.XLOOKUP($C704,Order!$C:$C,Order!$K:$K,"",0,1))</f>
        <v>200</v>
      </c>
      <c r="J704" s="4" t="str">
        <f>IF(C704="","",Order!$K$16)</f>
        <v>WHITE POWDER COAT (PE/BA)</v>
      </c>
      <c r="K704" s="36">
        <f>IF($C704="","",_xlfn.XLOOKUP($C704,Order!$C:$C,Order!$P:$P,"",0,1))</f>
        <v>0</v>
      </c>
      <c r="L704" s="4">
        <f t="shared" si="10"/>
        <v>202.8</v>
      </c>
    </row>
    <row r="705" spans="2:12" ht="23.25" hidden="1" customHeight="1" x14ac:dyDescent="0.25">
      <c r="B705" s="4">
        <v>700</v>
      </c>
      <c r="C705" s="36" t="str">
        <f>IF(Order!$C$26="","",Order!$C$26)</f>
        <v>TR1x1.0 (Round tube 1" with 1.00 mm thickness)</v>
      </c>
      <c r="D705" s="36" t="str">
        <f>IF($C705="","",_xlfn.XLOOKUP($C705,Order!$C:$C,Order!$D:$D,"",0,1))</f>
        <v>TR1X1.0</v>
      </c>
      <c r="E705" s="4" t="e" vm="251">
        <f>IF($C705="","",_xlfn.XLOOKUP($C705,Order!$C:$C,Order!$E:$E,"",0,1))</f>
        <v>#VALUE!</v>
      </c>
      <c r="F705" s="4">
        <f>IF($C705="","",_xlfn.XLOOKUP($C705,Order!$C:$C,Order!$F:$F,"",0,1))</f>
        <v>6000</v>
      </c>
      <c r="G705" s="4" t="str">
        <f>IF($C705="","",_xlfn.XLOOKUP($C705,Order!$C:$C,Order!$G:$G,"",0,1))</f>
        <v>6063T5</v>
      </c>
      <c r="H705" s="4">
        <f>IF($C705="","",_xlfn.XLOOKUP($C705,Order!$C:$C,Order!$H:$H,"",0,1))</f>
        <v>0</v>
      </c>
      <c r="I705" s="36">
        <f>IF($C705="","",_xlfn.XLOOKUP($C705,Order!$C:$C,Order!$K:$K,"",0,1))</f>
        <v>0</v>
      </c>
      <c r="J705" s="4" t="str">
        <f>IF(C705="","",Order!$K$16)</f>
        <v>WHITE POWDER COAT (PE/BA)</v>
      </c>
      <c r="K705" s="36">
        <f>IF($C705="","",_xlfn.XLOOKUP($C705,Order!$C:$C,Order!$P:$P,"",0,1))</f>
        <v>0</v>
      </c>
      <c r="L705" s="4">
        <f t="shared" si="10"/>
        <v>0</v>
      </c>
    </row>
    <row r="706" spans="2:12" ht="23.25" hidden="1" customHeight="1" x14ac:dyDescent="0.25">
      <c r="B706" s="4">
        <v>701</v>
      </c>
      <c r="C706" s="36" t="str">
        <f>IF(Order!$C$27="","",Order!$C$27)</f>
        <v>TR1.1/4 (Round tube  1.1/4" with 1.00 mm thickness)</v>
      </c>
      <c r="D706" s="36" t="str">
        <f>IF($C706="","",_xlfn.XLOOKUP($C706,Order!$C:$C,Order!$D:$D,"",0,1))</f>
        <v>TR1.1-4</v>
      </c>
      <c r="E706" s="4" t="e" vm="251">
        <f>IF($C706="","",_xlfn.XLOOKUP($C706,Order!$C:$C,Order!$E:$E,"",0,1))</f>
        <v>#VALUE!</v>
      </c>
      <c r="F706" s="4">
        <f>IF($C706="","",_xlfn.XLOOKUP($C706,Order!$C:$C,Order!$F:$F,"",0,1))</f>
        <v>6000</v>
      </c>
      <c r="G706" s="4" t="str">
        <f>IF($C706="","",_xlfn.XLOOKUP($C706,Order!$C:$C,Order!$G:$G,"",0,1))</f>
        <v>6063T5</v>
      </c>
      <c r="H706" s="4">
        <f>IF($C706="","",_xlfn.XLOOKUP($C706,Order!$C:$C,Order!$H:$H,"",0,1))</f>
        <v>0.26400000000000001</v>
      </c>
      <c r="I706" s="36">
        <f>IF($C706="","",_xlfn.XLOOKUP($C706,Order!$C:$C,Order!$K:$K,"",0,1))</f>
        <v>0</v>
      </c>
      <c r="J706" s="4" t="str">
        <f>IF(C706="","",Order!$K$16)</f>
        <v>WHITE POWDER COAT (PE/BA)</v>
      </c>
      <c r="K706" s="36">
        <f>IF($C706="","",_xlfn.XLOOKUP($C706,Order!$C:$C,Order!$P:$P,"",0,1))</f>
        <v>0</v>
      </c>
      <c r="L706" s="4">
        <f t="shared" si="10"/>
        <v>0</v>
      </c>
    </row>
    <row r="707" spans="2:12" ht="23.25" hidden="1" customHeight="1" x14ac:dyDescent="0.25">
      <c r="B707" s="4">
        <v>702</v>
      </c>
      <c r="C707" s="36" t="str">
        <f>IF(Order!$C$28="","",Order!$C$28)</f>
        <v>TR1.1/2 (Round tube  1.1/2" with 1.00 mmthickness)</v>
      </c>
      <c r="D707" s="36" t="str">
        <f>IF($C707="","",_xlfn.XLOOKUP($C707,Order!$C:$C,Order!$D:$D,"",0,1))</f>
        <v>TR1.1/2</v>
      </c>
      <c r="E707" s="4" t="e" vm="251">
        <f>IF($C707="","",_xlfn.XLOOKUP($C707,Order!$C:$C,Order!$E:$E,"",0,1))</f>
        <v>#VALUE!</v>
      </c>
      <c r="F707" s="4">
        <f>IF($C707="","",_xlfn.XLOOKUP($C707,Order!$C:$C,Order!$F:$F,"",0,1))</f>
        <v>6000</v>
      </c>
      <c r="G707" s="4" t="str">
        <f>IF($C707="","",_xlfn.XLOOKUP($C707,Order!$C:$C,Order!$G:$G,"",0,1))</f>
        <v>6063T5</v>
      </c>
      <c r="H707" s="4">
        <f>IF($C707="","",_xlfn.XLOOKUP($C707,Order!$C:$C,Order!$H:$H,"",0,1))</f>
        <v>0.318</v>
      </c>
      <c r="I707" s="36">
        <f>IF($C707="","",_xlfn.XLOOKUP($C707,Order!$C:$C,Order!$K:$K,"",0,1))</f>
        <v>0</v>
      </c>
      <c r="J707" s="4" t="str">
        <f>IF(C707="","",Order!$K$16)</f>
        <v>WHITE POWDER COAT (PE/BA)</v>
      </c>
      <c r="K707" s="36">
        <f>IF($C707="","",_xlfn.XLOOKUP($C707,Order!$C:$C,Order!$P:$P,"",0,1))</f>
        <v>0</v>
      </c>
      <c r="L707" s="4">
        <f t="shared" si="10"/>
        <v>0</v>
      </c>
    </row>
    <row r="708" spans="2:12" ht="23.25" hidden="1" customHeight="1" x14ac:dyDescent="0.25">
      <c r="B708" s="4">
        <v>703</v>
      </c>
      <c r="C708" s="36" t="str">
        <f>IF(Order!$C$29="","",Order!$C$29)</f>
        <v>TR2A (Round tube 2" with 0.95 mm thickness)</v>
      </c>
      <c r="D708" s="36" t="str">
        <f>IF($C708="","",_xlfn.XLOOKUP($C708,Order!$C:$C,Order!$D:$D,"",0,1))</f>
        <v>TR2A</v>
      </c>
      <c r="E708" s="4" t="e" vm="251">
        <f>IF($C708="","",_xlfn.XLOOKUP($C708,Order!$C:$C,Order!$E:$E,"",0,1))</f>
        <v>#VALUE!</v>
      </c>
      <c r="F708" s="4">
        <f>IF($C708="","",_xlfn.XLOOKUP($C708,Order!$C:$C,Order!$F:$F,"",0,1))</f>
        <v>6000</v>
      </c>
      <c r="G708" s="4" t="str">
        <f>IF($C708="","",_xlfn.XLOOKUP($C708,Order!$C:$C,Order!$G:$G,"",0,1))</f>
        <v>6063T5</v>
      </c>
      <c r="H708" s="4">
        <f>IF($C708="","",_xlfn.XLOOKUP($C708,Order!$C:$C,Order!$H:$H,"",0,1))</f>
        <v>0.40600000000000003</v>
      </c>
      <c r="I708" s="36">
        <f>IF($C708="","",_xlfn.XLOOKUP($C708,Order!$C:$C,Order!$K:$K,"",0,1))</f>
        <v>0</v>
      </c>
      <c r="J708" s="4" t="str">
        <f>IF(C708="","",Order!$K$16)</f>
        <v>WHITE POWDER COAT (PE/BA)</v>
      </c>
      <c r="K708" s="36">
        <f>IF($C708="","",_xlfn.XLOOKUP($C708,Order!$C:$C,Order!$P:$P,"",0,1))</f>
        <v>0</v>
      </c>
      <c r="L708" s="4">
        <f t="shared" si="10"/>
        <v>0</v>
      </c>
    </row>
    <row r="709" spans="2:12" ht="23.25" hidden="1" customHeight="1" x14ac:dyDescent="0.25">
      <c r="B709" s="4">
        <v>704</v>
      </c>
      <c r="C709" s="36" t="str">
        <f>IF(Order!$C$30="","",Order!$C$30)</f>
        <v>TR3 (Round tube 3" with 1.27 mm thickness)</v>
      </c>
      <c r="D709" s="36" t="str">
        <f>IF($C709="","",_xlfn.XLOOKUP($C709,Order!$C:$C,Order!$D:$D,"",0,1))</f>
        <v>TR3</v>
      </c>
      <c r="E709" s="4" t="e" vm="251">
        <f>IF($C709="","",_xlfn.XLOOKUP($C709,Order!$C:$C,Order!$E:$E,"",0,1))</f>
        <v>#VALUE!</v>
      </c>
      <c r="F709" s="4">
        <f>IF($C709="","",_xlfn.XLOOKUP($C709,Order!$C:$C,Order!$F:$F,"",0,1))</f>
        <v>6000</v>
      </c>
      <c r="G709" s="4" t="str">
        <f>IF($C709="","",_xlfn.XLOOKUP($C709,Order!$C:$C,Order!$G:$G,"",0,1))</f>
        <v>6063T5</v>
      </c>
      <c r="H709" s="4">
        <f>IF($C709="","",_xlfn.XLOOKUP($C709,Order!$C:$C,Order!$H:$H,"",0,1))</f>
        <v>0.81599999999999995</v>
      </c>
      <c r="I709" s="36">
        <f>IF($C709="","",_xlfn.XLOOKUP($C709,Order!$C:$C,Order!$K:$K,"",0,1))</f>
        <v>0</v>
      </c>
      <c r="J709" s="4" t="str">
        <f>IF(C709="","",Order!$K$16)</f>
        <v>WHITE POWDER COAT (PE/BA)</v>
      </c>
      <c r="K709" s="36">
        <f>IF($C709="","",_xlfn.XLOOKUP($C709,Order!$C:$C,Order!$P:$P,"",0,1))</f>
        <v>0</v>
      </c>
      <c r="L709" s="4">
        <f t="shared" si="10"/>
        <v>0</v>
      </c>
    </row>
    <row r="710" spans="2:12" ht="23.25" hidden="1" customHeight="1" x14ac:dyDescent="0.25">
      <c r="B710" s="4">
        <v>705</v>
      </c>
      <c r="C710" s="36" t="str">
        <f>IF(Order!$C$31="","",Order!$C$31)</f>
        <v/>
      </c>
      <c r="D710" s="36" t="str">
        <f>IF($C710="","",_xlfn.XLOOKUP($C710,Order!$C:$C,Order!$D:$D,"",0,1))</f>
        <v/>
      </c>
      <c r="E710" s="4" t="str">
        <f>IF($C710="","",_xlfn.XLOOKUP($C710,Order!$C:$C,Order!$E:$E,"",0,1))</f>
        <v/>
      </c>
      <c r="F710" s="4" t="str">
        <f>IF($C710="","",_xlfn.XLOOKUP($C710,Order!$C:$C,Order!$F:$F,"",0,1))</f>
        <v/>
      </c>
      <c r="G710" s="4" t="str">
        <f>IF($C710="","",_xlfn.XLOOKUP($C710,Order!$C:$C,Order!$G:$G,"",0,1))</f>
        <v/>
      </c>
      <c r="H710" s="4" t="str">
        <f>IF($C710="","",_xlfn.XLOOKUP($C710,Order!$C:$C,Order!$H:$H,"",0,1))</f>
        <v/>
      </c>
      <c r="I710" s="36" t="str">
        <f>IF($C710="","",_xlfn.XLOOKUP($C710,Order!$C:$C,Order!$K:$K,"",0,1))</f>
        <v/>
      </c>
      <c r="J710" s="4" t="str">
        <f>IF(C710="","",Order!$K$16)</f>
        <v/>
      </c>
      <c r="K710" s="36" t="str">
        <f>IF($C710="","",_xlfn.XLOOKUP($C710,Order!$C:$C,Order!$P:$P,"",0,1))</f>
        <v/>
      </c>
      <c r="L710" s="4" t="str">
        <f t="shared" si="10"/>
        <v/>
      </c>
    </row>
    <row r="711" spans="2:12" ht="23.25" hidden="1" customHeight="1" x14ac:dyDescent="0.25">
      <c r="B711" s="4">
        <v>706</v>
      </c>
      <c r="C711" s="36" t="str">
        <f>IF(Order!$C$32="","",Order!$C$32)</f>
        <v>TQ3/4 (Square tube 3/4 with 0.90 mm thickness)</v>
      </c>
      <c r="D711" s="36" t="str">
        <f>IF($C711="","",_xlfn.XLOOKUP($C711,Order!$C:$C,Order!$D:$D,"",0,1))</f>
        <v>TQ34</v>
      </c>
      <c r="E711" s="4" t="e" vm="252">
        <f>IF($C711="","",_xlfn.XLOOKUP($C711,Order!$C:$C,Order!$E:$E,"",0,1))</f>
        <v>#VALUE!</v>
      </c>
      <c r="F711" s="4">
        <f>IF($C711="","",_xlfn.XLOOKUP($C711,Order!$C:$C,Order!$F:$F,"",0,1))</f>
        <v>6000</v>
      </c>
      <c r="G711" s="4" t="str">
        <f>IF($C711="","",_xlfn.XLOOKUP($C711,Order!$C:$C,Order!$G:$G,"",0,1))</f>
        <v>6063T5</v>
      </c>
      <c r="H711" s="4">
        <f>IF($C711="","",_xlfn.XLOOKUP($C711,Order!$C:$C,Order!$H:$H,"",0,1))</f>
        <v>0.17799999999999999</v>
      </c>
      <c r="I711" s="36">
        <f>IF($C711="","",_xlfn.XLOOKUP($C711,Order!$C:$C,Order!$K:$K,"",0,1))</f>
        <v>0</v>
      </c>
      <c r="J711" s="4" t="str">
        <f>IF(C711="","",Order!$K$16)</f>
        <v>WHITE POWDER COAT (PE/BA)</v>
      </c>
      <c r="K711" s="36">
        <f>IF($C711="","",_xlfn.XLOOKUP($C711,Order!$C:$C,Order!$P:$P,"",0,1))</f>
        <v>0</v>
      </c>
      <c r="L711" s="4">
        <f t="shared" ref="L711:L774" si="11">IF(C711="","",F711/1000*H711*I711)</f>
        <v>0</v>
      </c>
    </row>
    <row r="712" spans="2:12" ht="23.25" customHeight="1" x14ac:dyDescent="0.25">
      <c r="B712" s="4">
        <v>707</v>
      </c>
      <c r="C712" s="36" t="str">
        <f>IF(Order!$C$33="","",Order!$C$33)</f>
        <v>TQ1 (Squar tube 1" with 0.80 mm thickness)</v>
      </c>
      <c r="D712" s="36" t="str">
        <f>IF($C712="","",_xlfn.XLOOKUP($C712,Order!$C:$C,Order!$D:$D,"",0,1))</f>
        <v>TQ1</v>
      </c>
      <c r="E712" s="4" t="e" vm="252">
        <f>IF($C712="","",_xlfn.XLOOKUP($C712,Order!$C:$C,Order!$E:$E,"",0,1))</f>
        <v>#VALUE!</v>
      </c>
      <c r="F712" s="4">
        <f>IF($C712="","",_xlfn.XLOOKUP($C712,Order!$C:$C,Order!$F:$F,"",0,1))</f>
        <v>6000</v>
      </c>
      <c r="G712" s="4" t="str">
        <f>IF($C712="","",_xlfn.XLOOKUP($C712,Order!$C:$C,Order!$G:$G,"",0,1))</f>
        <v>6063T5</v>
      </c>
      <c r="H712" s="4">
        <f>IF($C712="","",_xlfn.XLOOKUP($C712,Order!$C:$C,Order!$H:$H,"",0,1))</f>
        <v>0.215</v>
      </c>
      <c r="I712" s="36">
        <f>IF($C712="","",_xlfn.XLOOKUP($C712,Order!$C:$C,Order!$K:$K,"",0,1))</f>
        <v>500</v>
      </c>
      <c r="J712" s="4" t="str">
        <f>IF(C712="","",Order!$K$16)</f>
        <v>WHITE POWDER COAT (PE/BA)</v>
      </c>
      <c r="K712" s="36">
        <f>IF($C712="","",_xlfn.XLOOKUP($C712,Order!$C:$C,Order!$P:$P,"",0,1))</f>
        <v>0</v>
      </c>
      <c r="L712" s="4">
        <f t="shared" si="11"/>
        <v>645</v>
      </c>
    </row>
    <row r="713" spans="2:12" ht="23.25" hidden="1" customHeight="1" x14ac:dyDescent="0.25">
      <c r="B713" s="4">
        <v>708</v>
      </c>
      <c r="C713" s="36" t="str">
        <f>IF(Order!$C$34="","",Order!$C$34)</f>
        <v>TQ1.1/2A (Square tube 1.1/2" with 0.80 mm thickness)</v>
      </c>
      <c r="D713" s="36" t="str">
        <f>IF($C713="","",_xlfn.XLOOKUP($C713,Order!$C:$C,Order!$D:$D,"",0,1))</f>
        <v>TQ1.12A</v>
      </c>
      <c r="E713" s="4" t="e" vm="252">
        <f>IF($C713="","",_xlfn.XLOOKUP($C713,Order!$C:$C,Order!$E:$E,"",0,1))</f>
        <v>#VALUE!</v>
      </c>
      <c r="F713" s="4">
        <f>IF($C713="","",_xlfn.XLOOKUP($C713,Order!$C:$C,Order!$F:$F,"",0,1))</f>
        <v>6000</v>
      </c>
      <c r="G713" s="4" t="str">
        <f>IF($C713="","",_xlfn.XLOOKUP($C713,Order!$C:$C,Order!$G:$G,"",0,1))</f>
        <v>6063T5</v>
      </c>
      <c r="H713" s="4">
        <f>IF($C713="","",_xlfn.XLOOKUP($C713,Order!$C:$C,Order!$H:$H,"",0,1))</f>
        <v>0.32600000000000001</v>
      </c>
      <c r="I713" s="36">
        <f>IF($C713="","",_xlfn.XLOOKUP($C713,Order!$C:$C,Order!$K:$K,"",0,1))</f>
        <v>0</v>
      </c>
      <c r="J713" s="4" t="str">
        <f>IF(C713="","",Order!$K$16)</f>
        <v>WHITE POWDER COAT (PE/BA)</v>
      </c>
      <c r="K713" s="36">
        <f>IF($C713="","",_xlfn.XLOOKUP($C713,Order!$C:$C,Order!$P:$P,"",0,1))</f>
        <v>0</v>
      </c>
      <c r="L713" s="4">
        <f t="shared" si="11"/>
        <v>0</v>
      </c>
    </row>
    <row r="714" spans="2:12" ht="23.25" customHeight="1" x14ac:dyDescent="0.25">
      <c r="B714" s="4">
        <v>709</v>
      </c>
      <c r="C714" s="36" t="str">
        <f>IF(Order!$C$35="","",Order!$C$35)</f>
        <v>TQ2L (Square tube 2" with 0.90 mm thickness)</v>
      </c>
      <c r="D714" s="36" t="str">
        <f>IF($C714="","",_xlfn.XLOOKUP($C714,Order!$C:$C,Order!$D:$D,"",0,1))</f>
        <v>TQ2L</v>
      </c>
      <c r="E714" s="4" t="e" vm="252">
        <f>IF($C714="","",_xlfn.XLOOKUP($C714,Order!$C:$C,Order!$E:$E,"",0,1))</f>
        <v>#VALUE!</v>
      </c>
      <c r="F714" s="4">
        <f>IF($C714="","",_xlfn.XLOOKUP($C714,Order!$C:$C,Order!$F:$F,"",0,1))</f>
        <v>6000</v>
      </c>
      <c r="G714" s="4" t="str">
        <f>IF($C714="","",_xlfn.XLOOKUP($C714,Order!$C:$C,Order!$G:$G,"",0,1))</f>
        <v>6063T5</v>
      </c>
      <c r="H714" s="4">
        <f>IF($C714="","",_xlfn.XLOOKUP($C714,Order!$C:$C,Order!$H:$H,"",0,1))</f>
        <v>0.49</v>
      </c>
      <c r="I714" s="36">
        <f>IF($C714="","",_xlfn.XLOOKUP($C714,Order!$C:$C,Order!$K:$K,"",0,1))</f>
        <v>200</v>
      </c>
      <c r="J714" s="4" t="str">
        <f>IF(C714="","",Order!$K$16)</f>
        <v>WHITE POWDER COAT (PE/BA)</v>
      </c>
      <c r="K714" s="36">
        <f>IF($C714="","",_xlfn.XLOOKUP($C714,Order!$C:$C,Order!$P:$P,"",0,1))</f>
        <v>0</v>
      </c>
      <c r="L714" s="4">
        <f t="shared" si="11"/>
        <v>588</v>
      </c>
    </row>
    <row r="715" spans="2:12" ht="23.25" hidden="1" customHeight="1" x14ac:dyDescent="0.25">
      <c r="B715" s="4">
        <v>710</v>
      </c>
      <c r="C715" s="36" t="str">
        <f>IF(Order!$C$36="","",Order!$C$36)</f>
        <v>TQ2A (Square tube 2" with 0.95 mm thickness)</v>
      </c>
      <c r="D715" s="36" t="str">
        <f>IF($C715="","",_xlfn.XLOOKUP($C715,Order!$C:$C,Order!$D:$D,"",0,1))</f>
        <v>TQ2A</v>
      </c>
      <c r="E715" s="4" t="e" vm="252">
        <f>IF($C715="","",_xlfn.XLOOKUP($C715,Order!$C:$C,Order!$E:$E,"",0,1))</f>
        <v>#VALUE!</v>
      </c>
      <c r="F715" s="4">
        <f>IF($C715="","",_xlfn.XLOOKUP($C715,Order!$C:$C,Order!$F:$F,"",0,1))</f>
        <v>6000</v>
      </c>
      <c r="G715" s="4" t="str">
        <f>IF($C715="","",_xlfn.XLOOKUP($C715,Order!$C:$C,Order!$G:$G,"",0,1))</f>
        <v>6063T5</v>
      </c>
      <c r="H715" s="4">
        <f>IF($C715="","",_xlfn.XLOOKUP($C715,Order!$C:$C,Order!$H:$H,"",0,1))</f>
        <v>0.51700000000000002</v>
      </c>
      <c r="I715" s="36">
        <f>IF($C715="","",_xlfn.XLOOKUP($C715,Order!$C:$C,Order!$K:$K,"",0,1))</f>
        <v>0</v>
      </c>
      <c r="J715" s="4" t="str">
        <f>IF(C715="","",Order!$K$16)</f>
        <v>WHITE POWDER COAT (PE/BA)</v>
      </c>
      <c r="K715" s="36">
        <f>IF($C715="","",_xlfn.XLOOKUP($C715,Order!$C:$C,Order!$P:$P,"",0,1))</f>
        <v>0</v>
      </c>
      <c r="L715" s="4">
        <f t="shared" si="11"/>
        <v>0</v>
      </c>
    </row>
    <row r="716" spans="2:12" ht="23.25" hidden="1" customHeight="1" x14ac:dyDescent="0.25">
      <c r="B716" s="4">
        <v>711</v>
      </c>
      <c r="C716" s="36" t="str">
        <f>IF(Order!$C$37="","",Order!$C$37)</f>
        <v>TQ2 (Square tube 2" with 1.10 mm thickness)</v>
      </c>
      <c r="D716" s="36" t="str">
        <f>IF($C716="","",_xlfn.XLOOKUP($C716,Order!$C:$C,Order!$D:$D,"",0,1))</f>
        <v>TQ2</v>
      </c>
      <c r="E716" s="4" t="e" vm="252">
        <f>IF($C716="","",_xlfn.XLOOKUP($C716,Order!$C:$C,Order!$E:$E,"",0,1))</f>
        <v>#VALUE!</v>
      </c>
      <c r="F716" s="4">
        <f>IF($C716="","",_xlfn.XLOOKUP($C716,Order!$C:$C,Order!$F:$F,"",0,1))</f>
        <v>6000</v>
      </c>
      <c r="G716" s="4" t="str">
        <f>IF($C716="","",_xlfn.XLOOKUP($C716,Order!$C:$C,Order!$G:$G,"",0,1))</f>
        <v>6063T5</v>
      </c>
      <c r="H716" s="4">
        <f>IF($C716="","",_xlfn.XLOOKUP($C716,Order!$C:$C,Order!$H:$H,"",0,1))</f>
        <v>0.59699999999999998</v>
      </c>
      <c r="I716" s="36">
        <f>IF($C716="","",_xlfn.XLOOKUP($C716,Order!$C:$C,Order!$K:$K,"",0,1))</f>
        <v>0</v>
      </c>
      <c r="J716" s="4" t="str">
        <f>IF(C716="","",Order!$K$16)</f>
        <v>WHITE POWDER COAT (PE/BA)</v>
      </c>
      <c r="K716" s="36">
        <f>IF($C716="","",_xlfn.XLOOKUP($C716,Order!$C:$C,Order!$P:$P,"",0,1))</f>
        <v>0</v>
      </c>
      <c r="L716" s="4">
        <f t="shared" si="11"/>
        <v>0</v>
      </c>
    </row>
    <row r="717" spans="2:12" ht="23.25" hidden="1" customHeight="1" x14ac:dyDescent="0.25">
      <c r="B717" s="4">
        <v>712</v>
      </c>
      <c r="C717" s="36" t="str">
        <f>IF(Order!$C$38="","",Order!$C$38)</f>
        <v>TQ3 (Square tube 3" with 1.10 mm thickness)</v>
      </c>
      <c r="D717" s="36" t="str">
        <f>IF($C717="","",_xlfn.XLOOKUP($C717,Order!$C:$C,Order!$D:$D,"",0,1))</f>
        <v>TQ3</v>
      </c>
      <c r="E717" s="4" t="e" vm="252">
        <f>IF($C717="","",_xlfn.XLOOKUP($C717,Order!$C:$C,Order!$E:$E,"",0,1))</f>
        <v>#VALUE!</v>
      </c>
      <c r="F717" s="4">
        <f>IF($C717="","",_xlfn.XLOOKUP($C717,Order!$C:$C,Order!$F:$F,"",0,1))</f>
        <v>6000</v>
      </c>
      <c r="G717" s="4" t="str">
        <f>IF($C717="","",_xlfn.XLOOKUP($C717,Order!$C:$C,Order!$G:$G,"",0,1))</f>
        <v>6063T5</v>
      </c>
      <c r="H717" s="4">
        <f>IF($C717="","",_xlfn.XLOOKUP($C717,Order!$C:$C,Order!$H:$H,"",0,1))</f>
        <v>0.90200000000000002</v>
      </c>
      <c r="I717" s="36">
        <f>IF($C717="","",_xlfn.XLOOKUP($C717,Order!$C:$C,Order!$K:$K,"",0,1))</f>
        <v>0</v>
      </c>
      <c r="J717" s="4" t="str">
        <f>IF(C717="","",Order!$K$16)</f>
        <v>WHITE POWDER COAT (PE/BA)</v>
      </c>
      <c r="K717" s="36">
        <f>IF($C717="","",_xlfn.XLOOKUP($C717,Order!$C:$C,Order!$P:$P,"",0,1))</f>
        <v>0</v>
      </c>
      <c r="L717" s="4">
        <f t="shared" si="11"/>
        <v>0</v>
      </c>
    </row>
    <row r="718" spans="2:12" ht="23.25" hidden="1" customHeight="1" x14ac:dyDescent="0.25">
      <c r="B718" s="4">
        <v>713</v>
      </c>
      <c r="C718" s="36" t="str">
        <f>IF(Order!$C$39="","",Order!$C$39)</f>
        <v>TQ4 (Square tube 4" with 1.30 mm thickness)</v>
      </c>
      <c r="D718" s="36" t="str">
        <f>IF($C718="","",_xlfn.XLOOKUP($C718,Order!$C:$C,Order!$D:$D,"",0,1))</f>
        <v>TQ4</v>
      </c>
      <c r="E718" s="4" t="e" vm="252">
        <f>IF($C718="","",_xlfn.XLOOKUP($C718,Order!$C:$C,Order!$E:$E,"",0,1))</f>
        <v>#VALUE!</v>
      </c>
      <c r="F718" s="4">
        <f>IF($C718="","",_xlfn.XLOOKUP($C718,Order!$C:$C,Order!$F:$F,"",0,1))</f>
        <v>6000</v>
      </c>
      <c r="G718" s="4" t="str">
        <f>IF($C718="","",_xlfn.XLOOKUP($C718,Order!$C:$C,Order!$G:$G,"",0,1))</f>
        <v>6063T5</v>
      </c>
      <c r="H718" s="4">
        <f>IF($C718="","",_xlfn.XLOOKUP($C718,Order!$C:$C,Order!$H:$H,"",0,1))</f>
        <v>1.4239999999999999</v>
      </c>
      <c r="I718" s="36">
        <f>IF($C718="","",_xlfn.XLOOKUP($C718,Order!$C:$C,Order!$K:$K,"",0,1))</f>
        <v>0</v>
      </c>
      <c r="J718" s="4" t="str">
        <f>IF(C718="","",Order!$K$16)</f>
        <v>WHITE POWDER COAT (PE/BA)</v>
      </c>
      <c r="K718" s="36">
        <f>IF($C718="","",_xlfn.XLOOKUP($C718,Order!$C:$C,Order!$P:$P,"",0,1))</f>
        <v>0</v>
      </c>
      <c r="L718" s="4">
        <f t="shared" si="11"/>
        <v>0</v>
      </c>
    </row>
    <row r="719" spans="2:12" ht="23.25" hidden="1" customHeight="1" x14ac:dyDescent="0.25">
      <c r="B719" s="4">
        <v>714</v>
      </c>
      <c r="C719" s="36" t="str">
        <f>IF(Order!$C$40="","",Order!$C$40)</f>
        <v>TG1X1/2 (Rectangular tube 1" x 1/2  with 0.80 mm thickness)</v>
      </c>
      <c r="D719" s="36" t="str">
        <f>IF($C719="","",_xlfn.XLOOKUP($C719,Order!$C:$C,Order!$D:$D,"",0,1))</f>
        <v>TG1X12</v>
      </c>
      <c r="E719" s="4" t="e" vm="253">
        <f>IF($C719="","",_xlfn.XLOOKUP($C719,Order!$C:$C,Order!$E:$E,"",0,1))</f>
        <v>#VALUE!</v>
      </c>
      <c r="F719" s="4">
        <f>IF($C719="","",_xlfn.XLOOKUP($C719,Order!$C:$C,Order!$F:$F,"",0,1))</f>
        <v>6000</v>
      </c>
      <c r="G719" s="4" t="str">
        <f>IF($C719="","",_xlfn.XLOOKUP($C719,Order!$C:$C,Order!$G:$G,"",0,1))</f>
        <v>6063T5</v>
      </c>
      <c r="H719" s="4">
        <f>IF($C719="","",_xlfn.XLOOKUP($C719,Order!$C:$C,Order!$H:$H,"",0,1))</f>
        <v>0.159</v>
      </c>
      <c r="I719" s="36">
        <f>IF($C719="","",_xlfn.XLOOKUP($C719,Order!$C:$C,Order!$K:$K,"",0,1))</f>
        <v>0</v>
      </c>
      <c r="J719" s="4" t="str">
        <f>IF(C719="","",Order!$K$16)</f>
        <v>WHITE POWDER COAT (PE/BA)</v>
      </c>
      <c r="K719" s="36">
        <f>IF($C719="","",_xlfn.XLOOKUP($C719,Order!$C:$C,Order!$P:$P,"",0,1))</f>
        <v>0</v>
      </c>
      <c r="L719" s="4">
        <f t="shared" si="11"/>
        <v>0</v>
      </c>
    </row>
    <row r="720" spans="2:12" ht="23.25" hidden="1" customHeight="1" x14ac:dyDescent="0.25">
      <c r="B720" s="4">
        <v>715</v>
      </c>
      <c r="C720" s="36" t="str">
        <f>IF(Order!$C$41="","",Order!$C$41)</f>
        <v>TG2X1/2A (Retangular tube 2 X 1/2 with 0.80 mm tickness)</v>
      </c>
      <c r="D720" s="36" t="str">
        <f>IF($C720="","",_xlfn.XLOOKUP($C720,Order!$C:$C,Order!$D:$D,"",0,1))</f>
        <v>TG2X12A</v>
      </c>
      <c r="E720" s="4" t="e" vm="254">
        <f>IF($C720="","",_xlfn.XLOOKUP($C720,Order!$C:$C,Order!$E:$E,"",0,1))</f>
        <v>#VALUE!</v>
      </c>
      <c r="F720" s="4">
        <f>IF($C720="","",_xlfn.XLOOKUP($C720,Order!$C:$C,Order!$F:$F,"",0,1))</f>
        <v>6000</v>
      </c>
      <c r="G720" s="4" t="str">
        <f>IF($C720="","",_xlfn.XLOOKUP($C720,Order!$C:$C,Order!$G:$G,"",0,1))</f>
        <v>6063T5</v>
      </c>
      <c r="H720" s="4">
        <f>IF($C720="","",_xlfn.XLOOKUP($C720,Order!$C:$C,Order!$H:$H,"",0,1))</f>
        <v>0.27</v>
      </c>
      <c r="I720" s="36">
        <f>IF($C720="","",_xlfn.XLOOKUP($C720,Order!$C:$C,Order!$K:$K,"",0,1))</f>
        <v>0</v>
      </c>
      <c r="J720" s="4" t="str">
        <f>IF(C720="","",Order!$K$16)</f>
        <v>WHITE POWDER COAT (PE/BA)</v>
      </c>
      <c r="K720" s="36">
        <f>IF($C720="","",_xlfn.XLOOKUP($C720,Order!$C:$C,Order!$P:$P,"",0,1))</f>
        <v>0</v>
      </c>
      <c r="L720" s="4">
        <f t="shared" si="11"/>
        <v>0</v>
      </c>
    </row>
    <row r="721" spans="2:12" ht="23.25" hidden="1" customHeight="1" x14ac:dyDescent="0.25">
      <c r="B721" s="4">
        <v>716</v>
      </c>
      <c r="C721" s="36" t="str">
        <f>IF(Order!$C$42="","",Order!$C$42)</f>
        <v>TG2X1/2 (Retangular tube 2 X 1/2 with 0.90 mm tickness)</v>
      </c>
      <c r="D721" s="36" t="str">
        <f>IF($C721="","",_xlfn.XLOOKUP($C721,Order!$C:$C,Order!$D:$D,"",0,1))</f>
        <v>TG2X12</v>
      </c>
      <c r="E721" s="4" t="e" vm="254">
        <f>IF($C721="","",_xlfn.XLOOKUP($C721,Order!$C:$C,Order!$E:$E,"",0,1))</f>
        <v>#VALUE!</v>
      </c>
      <c r="F721" s="4">
        <f>IF($C721="","",_xlfn.XLOOKUP($C721,Order!$C:$C,Order!$F:$F,"",0,1))</f>
        <v>6000</v>
      </c>
      <c r="G721" s="4" t="str">
        <f>IF($C721="","",_xlfn.XLOOKUP($C721,Order!$C:$C,Order!$G:$G,"",0,1))</f>
        <v>6063T5</v>
      </c>
      <c r="H721" s="4">
        <f>IF($C721="","",_xlfn.XLOOKUP($C721,Order!$C:$C,Order!$H:$H,"",0,1))</f>
        <v>0.30299999999999999</v>
      </c>
      <c r="I721" s="36">
        <f>IF($C721="","",_xlfn.XLOOKUP($C721,Order!$C:$C,Order!$K:$K,"",0,1))</f>
        <v>0</v>
      </c>
      <c r="J721" s="4" t="str">
        <f>IF(C721="","",Order!$K$16)</f>
        <v>WHITE POWDER COAT (PE/BA)</v>
      </c>
      <c r="K721" s="36">
        <f>IF($C721="","",_xlfn.XLOOKUP($C721,Order!$C:$C,Order!$P:$P,"",0,1))</f>
        <v>0</v>
      </c>
      <c r="L721" s="4">
        <f t="shared" si="11"/>
        <v>0</v>
      </c>
    </row>
    <row r="722" spans="2:12" ht="23.25" customHeight="1" x14ac:dyDescent="0.25">
      <c r="B722" s="4">
        <v>717</v>
      </c>
      <c r="C722" s="36" t="str">
        <f>IF(Order!$C$43="","",Order!$C$43)</f>
        <v>TG2X1 0.7 ( Retangular tube 2"X1" with 0.70 mm tickness)</v>
      </c>
      <c r="D722" s="36" t="str">
        <f>IF($C722="","",_xlfn.XLOOKUP($C722,Order!$C:$C,Order!$D:$D,"",0,1))</f>
        <v>TG2X1 0.7</v>
      </c>
      <c r="E722" s="4" t="e" vm="253">
        <f>IF($C722="","",_xlfn.XLOOKUP($C722,Order!$C:$C,Order!$E:$E,"",0,1))</f>
        <v>#VALUE!</v>
      </c>
      <c r="F722" s="4">
        <f>IF($C722="","",_xlfn.XLOOKUP($C722,Order!$C:$C,Order!$F:$F,"",0,1))</f>
        <v>6000</v>
      </c>
      <c r="G722" s="4" t="str">
        <f>IF($C722="","",_xlfn.XLOOKUP($C722,Order!$C:$C,Order!$G:$G,"",0,1))</f>
        <v>6063T5</v>
      </c>
      <c r="H722" s="4">
        <f>IF($C722="","",_xlfn.XLOOKUP($C722,Order!$C:$C,Order!$H:$H,"",0,1))</f>
        <v>0.28599999999999998</v>
      </c>
      <c r="I722" s="36">
        <f>IF($C722="","",_xlfn.XLOOKUP($C722,Order!$C:$C,Order!$K:$K,"",0,1))</f>
        <v>1800</v>
      </c>
      <c r="J722" s="4" t="str">
        <f>IF(C722="","",Order!$K$16)</f>
        <v>WHITE POWDER COAT (PE/BA)</v>
      </c>
      <c r="K722" s="36">
        <f>IF($C722="","",_xlfn.XLOOKUP($C722,Order!$C:$C,Order!$P:$P,"",0,1))</f>
        <v>0</v>
      </c>
      <c r="L722" s="4">
        <f t="shared" si="11"/>
        <v>3088.7999999999997</v>
      </c>
    </row>
    <row r="723" spans="2:12" ht="23.25" hidden="1" customHeight="1" x14ac:dyDescent="0.25">
      <c r="B723" s="4">
        <v>718</v>
      </c>
      <c r="C723" s="36" t="str">
        <f>IF(Order!$C$44="","",Order!$C$44)</f>
        <v>TG2X1 ( Retangular tube 2"X1" with 0.80 mm tickness)</v>
      </c>
      <c r="D723" s="36" t="str">
        <f>IF($C723="","",_xlfn.XLOOKUP($C723,Order!$C:$C,Order!$D:$D,"",0,1))</f>
        <v>TG2X1</v>
      </c>
      <c r="E723" s="4" t="e" vm="253">
        <f>IF($C723="","",_xlfn.XLOOKUP($C723,Order!$C:$C,Order!$E:$E,"",0,1))</f>
        <v>#VALUE!</v>
      </c>
      <c r="F723" s="4">
        <f>IF($C723="","",_xlfn.XLOOKUP($C723,Order!$C:$C,Order!$F:$F,"",0,1))</f>
        <v>6000</v>
      </c>
      <c r="G723" s="4" t="str">
        <f>IF($C723="","",_xlfn.XLOOKUP($C723,Order!$C:$C,Order!$G:$G,"",0,1))</f>
        <v>6063T5</v>
      </c>
      <c r="H723" s="4">
        <f>IF($C723="","",_xlfn.XLOOKUP($C723,Order!$C:$C,Order!$H:$H,"",0,1))</f>
        <v>0.32600000000000001</v>
      </c>
      <c r="I723" s="36">
        <f>IF($C723="","",_xlfn.XLOOKUP($C723,Order!$C:$C,Order!$K:$K,"",0,1))</f>
        <v>0</v>
      </c>
      <c r="J723" s="4" t="str">
        <f>IF(C723="","",Order!$K$16)</f>
        <v>WHITE POWDER COAT (PE/BA)</v>
      </c>
      <c r="K723" s="36">
        <f>IF($C723="","",_xlfn.XLOOKUP($C723,Order!$C:$C,Order!$P:$P,"",0,1))</f>
        <v>0</v>
      </c>
      <c r="L723" s="4">
        <f t="shared" si="11"/>
        <v>0</v>
      </c>
    </row>
    <row r="724" spans="2:12" ht="23.25" customHeight="1" x14ac:dyDescent="0.25">
      <c r="B724" s="4">
        <v>719</v>
      </c>
      <c r="C724" s="36" t="str">
        <f>IF(Order!$C$45="","",Order!$C$45)</f>
        <v>TG2X1.1/2 ( Retangular tube 2"x1.1 /2" with 0.90 mm tickness)</v>
      </c>
      <c r="D724" s="36" t="str">
        <f>IF($C724="","",_xlfn.XLOOKUP($C724,Order!$C:$C,Order!$D:$D,"",0,1))</f>
        <v>TG2X1.12</v>
      </c>
      <c r="E724" s="4" t="e" vm="255">
        <f>IF($C724="","",_xlfn.XLOOKUP($C724,Order!$C:$C,Order!$E:$E,"",0,1))</f>
        <v>#VALUE!</v>
      </c>
      <c r="F724" s="4">
        <f>IF($C724="","",_xlfn.XLOOKUP($C724,Order!$C:$C,Order!$F:$F,"",0,1))</f>
        <v>6000</v>
      </c>
      <c r="G724" s="4" t="str">
        <f>IF($C724="","",_xlfn.XLOOKUP($C724,Order!$C:$C,Order!$G:$G,"",0,1))</f>
        <v>6063T5</v>
      </c>
      <c r="H724" s="4">
        <f>IF($C724="","",_xlfn.XLOOKUP($C724,Order!$C:$C,Order!$H:$H,"",0,1))</f>
        <v>0.42799999999999999</v>
      </c>
      <c r="I724" s="36">
        <f>IF($C724="","",_xlfn.XLOOKUP($C724,Order!$C:$C,Order!$K:$K,"",0,1))</f>
        <v>200</v>
      </c>
      <c r="J724" s="4" t="str">
        <f>IF(C724="","",Order!$K$16)</f>
        <v>WHITE POWDER COAT (PE/BA)</v>
      </c>
      <c r="K724" s="36">
        <f>IF($C724="","",_xlfn.XLOOKUP($C724,Order!$C:$C,Order!$P:$P,"",0,1))</f>
        <v>0</v>
      </c>
      <c r="L724" s="4">
        <f t="shared" si="11"/>
        <v>513.6</v>
      </c>
    </row>
    <row r="725" spans="2:12" ht="23.25" customHeight="1" x14ac:dyDescent="0.25">
      <c r="B725" s="4">
        <v>720</v>
      </c>
      <c r="C725" s="36" t="str">
        <f>IF(Order!$C$46="","",Order!$C$46)</f>
        <v>TG3X1.1/2 ( Retangular tube 3"x1.1 /2" with 1.00 mm tickness)</v>
      </c>
      <c r="D725" s="36" t="str">
        <f>IF($C725="","",_xlfn.XLOOKUP($C725,Order!$C:$C,Order!$D:$D,"",0,1))</f>
        <v>TG3X1.12</v>
      </c>
      <c r="E725" s="4" t="e" vm="253">
        <f>IF($C725="","",_xlfn.XLOOKUP($C725,Order!$C:$C,Order!$E:$E,"",0,1))</f>
        <v>#VALUE!</v>
      </c>
      <c r="F725" s="4">
        <f>IF($C725="","",_xlfn.XLOOKUP($C725,Order!$C:$C,Order!$F:$F,"",0,1))</f>
        <v>6000</v>
      </c>
      <c r="G725" s="4" t="str">
        <f>IF($C725="","",_xlfn.XLOOKUP($C725,Order!$C:$C,Order!$G:$G,"",0,1))</f>
        <v>6063T5</v>
      </c>
      <c r="H725" s="4">
        <f>IF($C725="","",_xlfn.XLOOKUP($C725,Order!$C:$C,Order!$H:$H,"",0,1))</f>
        <v>0.61299999999999999</v>
      </c>
      <c r="I725" s="36">
        <f>IF($C725="","",_xlfn.XLOOKUP($C725,Order!$C:$C,Order!$K:$K,"",0,1))</f>
        <v>300</v>
      </c>
      <c r="J725" s="4" t="str">
        <f>IF(C725="","",Order!$K$16)</f>
        <v>WHITE POWDER COAT (PE/BA)</v>
      </c>
      <c r="K725" s="36">
        <f>IF($C725="","",_xlfn.XLOOKUP($C725,Order!$C:$C,Order!$P:$P,"",0,1))</f>
        <v>0</v>
      </c>
      <c r="L725" s="4">
        <f t="shared" si="11"/>
        <v>1103.4000000000001</v>
      </c>
    </row>
    <row r="726" spans="2:12" ht="23.25" customHeight="1" x14ac:dyDescent="0.25">
      <c r="B726" s="4">
        <v>721</v>
      </c>
      <c r="C726" s="36" t="str">
        <f>IF(Order!$C$47="","",Order!$C$47)</f>
        <v>TG4X2 (Rectangular Tube 4" X 2" with 1.00 mm tickness)</v>
      </c>
      <c r="D726" s="36" t="str">
        <f>IF($C726="","",_xlfn.XLOOKUP($C726,Order!$C:$C,Order!$D:$D,"",0,1))</f>
        <v>TG4X2</v>
      </c>
      <c r="E726" s="4" t="e" vm="253">
        <f>IF($C726="","",_xlfn.XLOOKUP($C726,Order!$C:$C,Order!$E:$E,"",0,1))</f>
        <v>#VALUE!</v>
      </c>
      <c r="F726" s="4">
        <f>IF($C726="","",_xlfn.XLOOKUP($C726,Order!$C:$C,Order!$F:$F,"",0,1))</f>
        <v>6000</v>
      </c>
      <c r="G726" s="4" t="str">
        <f>IF($C726="","",_xlfn.XLOOKUP($C726,Order!$C:$C,Order!$G:$G,"",0,1))</f>
        <v>6063T5</v>
      </c>
      <c r="H726" s="4">
        <f>IF($C726="","",_xlfn.XLOOKUP($C726,Order!$C:$C,Order!$H:$H,"",0,1))</f>
        <v>0.82099999999999995</v>
      </c>
      <c r="I726" s="36">
        <f>IF($C726="","",_xlfn.XLOOKUP($C726,Order!$C:$C,Order!$K:$K,"",0,1))</f>
        <v>200</v>
      </c>
      <c r="J726" s="4" t="str">
        <f>IF(C726="","",Order!$K$16)</f>
        <v>WHITE POWDER COAT (PE/BA)</v>
      </c>
      <c r="K726" s="36">
        <f>IF($C726="","",_xlfn.XLOOKUP($C726,Order!$C:$C,Order!$P:$P,"",0,1))</f>
        <v>0</v>
      </c>
      <c r="L726" s="4">
        <f t="shared" si="11"/>
        <v>985.2</v>
      </c>
    </row>
    <row r="727" spans="2:12" ht="23.25" customHeight="1" x14ac:dyDescent="0.25">
      <c r="B727" s="4">
        <v>722</v>
      </c>
      <c r="C727" s="36" t="str">
        <f>IF(Order!$C$48="","",Order!$C$48)</f>
        <v>PT008A (Perfil T de 1" com 0.80 mm tickness)</v>
      </c>
      <c r="D727" s="36" t="str">
        <f>IF($C727="","",_xlfn.XLOOKUP($C727,Order!$C:$C,Order!$D:$D,"",0,1))</f>
        <v>PT008A</v>
      </c>
      <c r="E727" s="4" t="e" vm="256">
        <f>IF($C727="","",_xlfn.XLOOKUP($C727,Order!$C:$C,Order!$E:$E,"",0,1))</f>
        <v>#VALUE!</v>
      </c>
      <c r="F727" s="4">
        <f>IF($C727="","",_xlfn.XLOOKUP($C727,Order!$C:$C,Order!$F:$F,"",0,1))</f>
        <v>6000</v>
      </c>
      <c r="G727" s="4" t="str">
        <f>IF($C727="","",_xlfn.XLOOKUP($C727,Order!$C:$C,Order!$G:$G,"",0,1))</f>
        <v>6063T5</v>
      </c>
      <c r="H727" s="4">
        <f>IF($C727="","",_xlfn.XLOOKUP($C727,Order!$C:$C,Order!$H:$H,"",0,1))</f>
        <v>0.109</v>
      </c>
      <c r="I727" s="36">
        <f>IF($C727="","",_xlfn.XLOOKUP($C727,Order!$C:$C,Order!$K:$K,"",0,1))</f>
        <v>100</v>
      </c>
      <c r="J727" s="4" t="str">
        <f>IF(C727="","",Order!$K$16)</f>
        <v>WHITE POWDER COAT (PE/BA)</v>
      </c>
      <c r="K727" s="36">
        <f>IF($C727="","",_xlfn.XLOOKUP($C727,Order!$C:$C,Order!$P:$P,"",0,1))</f>
        <v>0</v>
      </c>
      <c r="L727" s="4">
        <f t="shared" si="11"/>
        <v>65.400000000000006</v>
      </c>
    </row>
    <row r="728" spans="2:12" ht="23.25" hidden="1" customHeight="1" x14ac:dyDescent="0.25">
      <c r="B728" s="4">
        <v>723</v>
      </c>
      <c r="C728" s="36" t="str">
        <f>IF(Order!$C$49="","",Order!$C$49)</f>
        <v>PT008 (Perfil T de 1" com 0.90 mm tickness)</v>
      </c>
      <c r="D728" s="36" t="str">
        <f>IF($C728="","",_xlfn.XLOOKUP($C728,Order!$C:$C,Order!$D:$D,"",0,1))</f>
        <v>PT008</v>
      </c>
      <c r="E728" s="4" t="e" vm="256">
        <f>IF($C728="","",_xlfn.XLOOKUP($C728,Order!$C:$C,Order!$E:$E,"",0,1))</f>
        <v>#VALUE!</v>
      </c>
      <c r="F728" s="4">
        <f>IF($C728="","",_xlfn.XLOOKUP($C728,Order!$C:$C,Order!$F:$F,"",0,1))</f>
        <v>6000</v>
      </c>
      <c r="G728" s="4" t="str">
        <f>IF($C728="","",_xlfn.XLOOKUP($C728,Order!$C:$C,Order!$G:$G,"",0,1))</f>
        <v>6063T5</v>
      </c>
      <c r="H728" s="4">
        <f>IF($C728="","",_xlfn.XLOOKUP($C728,Order!$C:$C,Order!$H:$H,"",0,1))</f>
        <v>0.123</v>
      </c>
      <c r="I728" s="36">
        <f>IF($C728="","",_xlfn.XLOOKUP($C728,Order!$C:$C,Order!$K:$K,"",0,1))</f>
        <v>0</v>
      </c>
      <c r="J728" s="4" t="str">
        <f>IF(C728="","",Order!$K$16)</f>
        <v>WHITE POWDER COAT (PE/BA)</v>
      </c>
      <c r="K728" s="36">
        <f>IF($C728="","",_xlfn.XLOOKUP($C728,Order!$C:$C,Order!$P:$P,"",0,1))</f>
        <v>0</v>
      </c>
      <c r="L728" s="4">
        <f t="shared" si="11"/>
        <v>0</v>
      </c>
    </row>
    <row r="729" spans="2:12" ht="23.25" hidden="1" customHeight="1" x14ac:dyDescent="0.25">
      <c r="B729" s="4">
        <v>724</v>
      </c>
      <c r="C729" s="36" t="str">
        <f>IF(Order!$C$50="","",Order!$C$50)</f>
        <v>AF052U (U13MM)</v>
      </c>
      <c r="D729" s="36" t="str">
        <f>IF($C729="","",_xlfn.XLOOKUP($C729,Order!$C:$C,Order!$D:$D,"",0,1))</f>
        <v>AF052U</v>
      </c>
      <c r="E729" s="4" t="e" vm="257">
        <f>IF($C729="","",_xlfn.XLOOKUP($C729,Order!$C:$C,Order!$E:$E,"",0,1))</f>
        <v>#VALUE!</v>
      </c>
      <c r="F729" s="4">
        <f>IF($C729="","",_xlfn.XLOOKUP($C729,Order!$C:$C,Order!$F:$F,"",0,1))</f>
        <v>6000</v>
      </c>
      <c r="G729" s="4" t="str">
        <f>IF($C729="","",_xlfn.XLOOKUP($C729,Order!$C:$C,Order!$G:$G,"",0,1))</f>
        <v>6063T5</v>
      </c>
      <c r="H729" s="4">
        <f>IF($C729="","",_xlfn.XLOOKUP($C729,Order!$C:$C,Order!$H:$H,"",0,1))</f>
        <v>0.129</v>
      </c>
      <c r="I729" s="36">
        <f>IF($C729="","",_xlfn.XLOOKUP($C729,Order!$C:$C,Order!$K:$K,"",0,1))</f>
        <v>0</v>
      </c>
      <c r="J729" s="4" t="str">
        <f>IF(C729="","",Order!$K$16)</f>
        <v>WHITE POWDER COAT (PE/BA)</v>
      </c>
      <c r="K729" s="36">
        <f>IF($C729="","",_xlfn.XLOOKUP($C729,Order!$C:$C,Order!$P:$P,"",0,1))</f>
        <v>0</v>
      </c>
      <c r="L729" s="4">
        <f t="shared" si="11"/>
        <v>0</v>
      </c>
    </row>
    <row r="730" spans="2:12" ht="23.25" hidden="1" customHeight="1" x14ac:dyDescent="0.25">
      <c r="B730" s="4">
        <v>725</v>
      </c>
      <c r="C730" s="36" t="str">
        <f>IF(Order!$C$51="","",Order!$C$51)</f>
        <v>PU639A</v>
      </c>
      <c r="D730" s="36" t="str">
        <f>IF($C730="","",_xlfn.XLOOKUP($C730,Order!$C:$C,Order!$D:$D,"",0,1))</f>
        <v>PU639A</v>
      </c>
      <c r="E730" s="4" t="e" vm="258">
        <f>IF($C730="","",_xlfn.XLOOKUP($C730,Order!$C:$C,Order!$E:$E,"",0,1))</f>
        <v>#VALUE!</v>
      </c>
      <c r="F730" s="4">
        <f>IF($C730="","",_xlfn.XLOOKUP($C730,Order!$C:$C,Order!$F:$F,"",0,1))</f>
        <v>6000</v>
      </c>
      <c r="G730" s="4" t="str">
        <f>IF($C730="","",_xlfn.XLOOKUP($C730,Order!$C:$C,Order!$G:$G,"",0,1))</f>
        <v>6063T5</v>
      </c>
      <c r="H730" s="4">
        <f>IF($C730="","",_xlfn.XLOOKUP($C730,Order!$C:$C,Order!$H:$H,"",0,1))</f>
        <v>0.254</v>
      </c>
      <c r="I730" s="36">
        <f>IF($C730="","",_xlfn.XLOOKUP($C730,Order!$C:$C,Order!$K:$K,"",0,1))</f>
        <v>0</v>
      </c>
      <c r="J730" s="4" t="str">
        <f>IF(C730="","",Order!$K$16)</f>
        <v>WHITE POWDER COAT (PE/BA)</v>
      </c>
      <c r="K730" s="36">
        <f>IF($C730="","",_xlfn.XLOOKUP($C730,Order!$C:$C,Order!$P:$P,"",0,1))</f>
        <v>0</v>
      </c>
      <c r="L730" s="4">
        <f t="shared" si="11"/>
        <v>0</v>
      </c>
    </row>
    <row r="731" spans="2:12" ht="23.25" hidden="1" customHeight="1" x14ac:dyDescent="0.25">
      <c r="B731" s="4">
        <v>726</v>
      </c>
      <c r="C731" s="36" t="str">
        <f>IF(Order!$C$52="","",Order!$C$52)</f>
        <v>PU639</v>
      </c>
      <c r="D731" s="36" t="str">
        <f>IF($C731="","",_xlfn.XLOOKUP($C731,Order!$C:$C,Order!$D:$D,"",0,1))</f>
        <v>PU639</v>
      </c>
      <c r="E731" s="4" t="e" vm="258">
        <f>IF($C731="","",_xlfn.XLOOKUP($C731,Order!$C:$C,Order!$E:$E,"",0,1))</f>
        <v>#VALUE!</v>
      </c>
      <c r="F731" s="4">
        <f>IF($C731="","",_xlfn.XLOOKUP($C731,Order!$C:$C,Order!$F:$F,"",0,1))</f>
        <v>6000</v>
      </c>
      <c r="G731" s="4" t="str">
        <f>IF($C731="","",_xlfn.XLOOKUP($C731,Order!$C:$C,Order!$G:$G,"",0,1))</f>
        <v>6063T5</v>
      </c>
      <c r="H731" s="4">
        <f>IF($C731="","",_xlfn.XLOOKUP($C731,Order!$C:$C,Order!$H:$H,"",0,1))</f>
        <v>0.34499999999999997</v>
      </c>
      <c r="I731" s="36">
        <f>IF($C731="","",_xlfn.XLOOKUP($C731,Order!$C:$C,Order!$K:$K,"",0,1))</f>
        <v>0</v>
      </c>
      <c r="J731" s="4" t="str">
        <f>IF(C731="","",Order!$K$16)</f>
        <v>WHITE POWDER COAT (PE/BA)</v>
      </c>
      <c r="K731" s="36">
        <f>IF($C731="","",_xlfn.XLOOKUP($C731,Order!$C:$C,Order!$P:$P,"",0,1))</f>
        <v>0</v>
      </c>
      <c r="L731" s="4">
        <f t="shared" si="11"/>
        <v>0</v>
      </c>
    </row>
    <row r="732" spans="2:12" ht="23.25" hidden="1" customHeight="1" x14ac:dyDescent="0.25">
      <c r="B732" s="4">
        <v>727</v>
      </c>
      <c r="C732" s="36" t="str">
        <f>IF(Order!$C$53="","",Order!$C$53)</f>
        <v>L1/2 (Angle L 1/2" with 0.90 mm tickness)</v>
      </c>
      <c r="D732" s="36" t="str">
        <f>IF($C732="","",_xlfn.XLOOKUP($C732,Order!$C:$C,Order!$D:$D,"",0,1))</f>
        <v>L12</v>
      </c>
      <c r="E732" s="4" t="e" vm="259">
        <f>IF($C732="","",_xlfn.XLOOKUP($C732,Order!$C:$C,Order!$E:$E,"",0,1))</f>
        <v>#VALUE!</v>
      </c>
      <c r="F732" s="4">
        <f>IF($C732="","",_xlfn.XLOOKUP($C732,Order!$C:$C,Order!$F:$F,"",0,1))</f>
        <v>6000</v>
      </c>
      <c r="G732" s="4" t="str">
        <f>IF($C732="","",_xlfn.XLOOKUP($C732,Order!$C:$C,Order!$G:$G,"",0,1))</f>
        <v>6063T5</v>
      </c>
      <c r="H732" s="4">
        <f>IF($C732="","",_xlfn.XLOOKUP($C732,Order!$C:$C,Order!$H:$H,"",0,1))</f>
        <v>0.06</v>
      </c>
      <c r="I732" s="36">
        <f>IF($C732="","",_xlfn.XLOOKUP($C732,Order!$C:$C,Order!$K:$K,"",0,1))</f>
        <v>0</v>
      </c>
      <c r="J732" s="4" t="str">
        <f>IF(C732="","",Order!$K$16)</f>
        <v>WHITE POWDER COAT (PE/BA)</v>
      </c>
      <c r="K732" s="36">
        <f>IF($C732="","",_xlfn.XLOOKUP($C732,Order!$C:$C,Order!$P:$P,"",0,1))</f>
        <v>0</v>
      </c>
      <c r="L732" s="4">
        <f t="shared" si="11"/>
        <v>0</v>
      </c>
    </row>
    <row r="733" spans="2:12" ht="23.25" hidden="1" customHeight="1" x14ac:dyDescent="0.25">
      <c r="B733" s="4">
        <v>728</v>
      </c>
      <c r="C733" s="36" t="str">
        <f>IF(Order!$C$54="","",Order!$C$54)</f>
        <v>L5/8 (Angle L 5/8" with 0.90 mm tickness)</v>
      </c>
      <c r="D733" s="36" t="str">
        <f>IF($C733="","",_xlfn.XLOOKUP($C733,Order!$C:$C,Order!$D:$D,"",0,1))</f>
        <v>L5-8</v>
      </c>
      <c r="E733" s="4" t="e" vm="259">
        <f>IF($C733="","",_xlfn.XLOOKUP($C733,Order!$C:$C,Order!$E:$E,"",0,1))</f>
        <v>#VALUE!</v>
      </c>
      <c r="F733" s="4">
        <f>IF($C733="","",_xlfn.XLOOKUP($C733,Order!$C:$C,Order!$F:$F,"",0,1))</f>
        <v>6000</v>
      </c>
      <c r="G733" s="4" t="str">
        <f>IF($C733="","",_xlfn.XLOOKUP($C733,Order!$C:$C,Order!$G:$G,"",0,1))</f>
        <v>6063T5</v>
      </c>
      <c r="H733" s="4">
        <f>IF($C733="","",_xlfn.XLOOKUP($C733,Order!$C:$C,Order!$H:$H,"",0,1))</f>
        <v>7.5999999999999998E-2</v>
      </c>
      <c r="I733" s="36">
        <f>IF($C733="","",_xlfn.XLOOKUP($C733,Order!$C:$C,Order!$K:$K,"",0,1))</f>
        <v>0</v>
      </c>
      <c r="J733" s="4" t="str">
        <f>IF(C733="","",Order!$K$16)</f>
        <v>WHITE POWDER COAT (PE/BA)</v>
      </c>
      <c r="K733" s="36">
        <f>IF($C733="","",_xlfn.XLOOKUP($C733,Order!$C:$C,Order!$P:$P,"",0,1))</f>
        <v>0</v>
      </c>
      <c r="L733" s="4">
        <f t="shared" si="11"/>
        <v>0</v>
      </c>
    </row>
    <row r="734" spans="2:12" ht="23.25" customHeight="1" x14ac:dyDescent="0.25">
      <c r="B734" s="4">
        <v>729</v>
      </c>
      <c r="C734" s="36" t="str">
        <f>IF(Order!$C$55="","",Order!$C$55)</f>
        <v>L3/4 (Angle L 3/4" with 0.80 mm tickness)</v>
      </c>
      <c r="D734" s="36" t="str">
        <f>IF($C734="","",_xlfn.XLOOKUP($C734,Order!$C:$C,Order!$D:$D,"",0,1))</f>
        <v>L34</v>
      </c>
      <c r="E734" s="4" t="e" vm="259">
        <f>IF($C734="","",_xlfn.XLOOKUP($C734,Order!$C:$C,Order!$E:$E,"",0,1))</f>
        <v>#VALUE!</v>
      </c>
      <c r="F734" s="4">
        <f>IF($C734="","",_xlfn.XLOOKUP($C734,Order!$C:$C,Order!$F:$F,"",0,1))</f>
        <v>6000</v>
      </c>
      <c r="G734" s="4" t="str">
        <f>IF($C734="","",_xlfn.XLOOKUP($C734,Order!$C:$C,Order!$G:$G,"",0,1))</f>
        <v>6063T5</v>
      </c>
      <c r="H734" s="4">
        <f>IF($C734="","",_xlfn.XLOOKUP($C734,Order!$C:$C,Order!$H:$H,"",0,1))</f>
        <v>8.1000000000000003E-2</v>
      </c>
      <c r="I734" s="36">
        <f>IF($C734="","",_xlfn.XLOOKUP($C734,Order!$C:$C,Order!$K:$K,"",0,1))</f>
        <v>1000</v>
      </c>
      <c r="J734" s="4" t="str">
        <f>IF(C734="","",Order!$K$16)</f>
        <v>WHITE POWDER COAT (PE/BA)</v>
      </c>
      <c r="K734" s="36">
        <f>IF($C734="","",_xlfn.XLOOKUP($C734,Order!$C:$C,Order!$P:$P,"",0,1))</f>
        <v>0</v>
      </c>
      <c r="L734" s="4">
        <f t="shared" si="11"/>
        <v>486</v>
      </c>
    </row>
    <row r="735" spans="2:12" ht="23.25" customHeight="1" x14ac:dyDescent="0.25">
      <c r="B735" s="4">
        <v>730</v>
      </c>
      <c r="C735" s="36" t="str">
        <f>IF(Order!$C$56="","",Order!$C$56)</f>
        <v>L1 (Angle L 1" with 0.90 mm thickness)</v>
      </c>
      <c r="D735" s="36" t="str">
        <f>IF($C735="","",_xlfn.XLOOKUP($C735,Order!$C:$C,Order!$D:$D,"",0,1))</f>
        <v>L1</v>
      </c>
      <c r="E735" s="4" t="e" vm="259">
        <f>IF($C735="","",_xlfn.XLOOKUP($C735,Order!$C:$C,Order!$E:$E,"",0,1))</f>
        <v>#VALUE!</v>
      </c>
      <c r="F735" s="4">
        <f>IF($C735="","",_xlfn.XLOOKUP($C735,Order!$C:$C,Order!$F:$F,"",0,1))</f>
        <v>6000</v>
      </c>
      <c r="G735" s="4" t="str">
        <f>IF($C735="","",_xlfn.XLOOKUP($C735,Order!$C:$C,Order!$G:$G,"",0,1))</f>
        <v>6063T5</v>
      </c>
      <c r="H735" s="4">
        <f>IF($C735="","",_xlfn.XLOOKUP($C735,Order!$C:$C,Order!$H:$H,"",0,1))</f>
        <v>0.122</v>
      </c>
      <c r="I735" s="36">
        <f>IF($C735="","",_xlfn.XLOOKUP($C735,Order!$C:$C,Order!$K:$K,"",0,1))</f>
        <v>800</v>
      </c>
      <c r="J735" s="4" t="str">
        <f>IF(C735="","",Order!$K$16)</f>
        <v>WHITE POWDER COAT (PE/BA)</v>
      </c>
      <c r="K735" s="36">
        <f>IF($C735="","",_xlfn.XLOOKUP($C735,Order!$C:$C,Order!$P:$P,"",0,1))</f>
        <v>0</v>
      </c>
      <c r="L735" s="4">
        <f t="shared" si="11"/>
        <v>585.6</v>
      </c>
    </row>
    <row r="736" spans="2:12" ht="23.25" hidden="1" customHeight="1" x14ac:dyDescent="0.25">
      <c r="B736" s="4">
        <v>731</v>
      </c>
      <c r="C736" s="36" t="str">
        <f>IF(Order!$C$57="","",Order!$C$57)</f>
        <v>L1X1/16 (Angle L1 x 1/16")</v>
      </c>
      <c r="D736" s="36" t="str">
        <f>IF($C736="","",_xlfn.XLOOKUP($C736,Order!$C:$C,Order!$D:$D,"",0,1))</f>
        <v>L1X1/16</v>
      </c>
      <c r="E736" s="4" t="e" vm="259">
        <f>IF($C736="","",_xlfn.XLOOKUP($C736,Order!$C:$C,Order!$E:$E,"",0,1))</f>
        <v>#VALUE!</v>
      </c>
      <c r="F736" s="4">
        <f>IF($C736="","",_xlfn.XLOOKUP($C736,Order!$C:$C,Order!$F:$F,"",0,1))</f>
        <v>6000</v>
      </c>
      <c r="G736" s="4" t="str">
        <f>IF($C736="","",_xlfn.XLOOKUP($C736,Order!$C:$C,Order!$G:$G,"",0,1))</f>
        <v>6063T5</v>
      </c>
      <c r="H736" s="4">
        <f>IF($C736="","",_xlfn.XLOOKUP($C736,Order!$C:$C,Order!$H:$H,"",0,1))</f>
        <v>0.21299999999999999</v>
      </c>
      <c r="I736" s="36">
        <f>IF($C736="","",_xlfn.XLOOKUP($C736,Order!$C:$C,Order!$K:$K,"",0,1))</f>
        <v>0</v>
      </c>
      <c r="J736" s="4" t="str">
        <f>IF(C736="","",Order!$K$16)</f>
        <v>WHITE POWDER COAT (PE/BA)</v>
      </c>
      <c r="K736" s="36">
        <f>IF($C736="","",_xlfn.XLOOKUP($C736,Order!$C:$C,Order!$P:$P,"",0,1))</f>
        <v>0</v>
      </c>
      <c r="L736" s="4">
        <f t="shared" si="11"/>
        <v>0</v>
      </c>
    </row>
    <row r="737" spans="2:12" ht="23.25" hidden="1" customHeight="1" x14ac:dyDescent="0.25">
      <c r="B737" s="4">
        <v>732</v>
      </c>
      <c r="C737" s="36" t="str">
        <f>IF(Order!$C$58="","",Order!$C$58)</f>
        <v>L1X1/8 (Angle L1 x 1/8" )</v>
      </c>
      <c r="D737" s="36" t="str">
        <f>IF($C737="","",_xlfn.XLOOKUP($C737,Order!$C:$C,Order!$D:$D,"",0,1))</f>
        <v>L1X1/8</v>
      </c>
      <c r="E737" s="4" t="e" vm="259">
        <f>IF($C737="","",_xlfn.XLOOKUP($C737,Order!$C:$C,Order!$E:$E,"",0,1))</f>
        <v>#VALUE!</v>
      </c>
      <c r="F737" s="4">
        <f>IF($C737="","",_xlfn.XLOOKUP($C737,Order!$C:$C,Order!$F:$F,"",0,1))</f>
        <v>6000</v>
      </c>
      <c r="G737" s="4" t="str">
        <f>IF($C737="","",_xlfn.XLOOKUP($C737,Order!$C:$C,Order!$G:$G,"",0,1))</f>
        <v>6063T5</v>
      </c>
      <c r="H737" s="4">
        <f>IF($C737="","",_xlfn.XLOOKUP($C737,Order!$C:$C,Order!$H:$H,"",0,1))</f>
        <v>0.41299999999999998</v>
      </c>
      <c r="I737" s="36">
        <f>IF($C737="","",_xlfn.XLOOKUP($C737,Order!$C:$C,Order!$K:$K,"",0,1))</f>
        <v>0</v>
      </c>
      <c r="J737" s="4" t="str">
        <f>IF(C737="","",Order!$K$16)</f>
        <v>WHITE POWDER COAT (PE/BA)</v>
      </c>
      <c r="K737" s="36">
        <f>IF($C737="","",_xlfn.XLOOKUP($C737,Order!$C:$C,Order!$P:$P,"",0,1))</f>
        <v>0</v>
      </c>
      <c r="L737" s="4">
        <f t="shared" si="11"/>
        <v>0</v>
      </c>
    </row>
    <row r="738" spans="2:12" ht="23.25" hidden="1" customHeight="1" x14ac:dyDescent="0.25">
      <c r="B738" s="4">
        <v>733</v>
      </c>
      <c r="C738" s="36" t="str">
        <f>IF(Order!$C$59="","",Order!$C$59)</f>
        <v xml:space="preserve">L1.1/2X1/16 (Angle L 1.1/2x1/16" )　 </v>
      </c>
      <c r="D738" s="36" t="str">
        <f>IF($C738="","",_xlfn.XLOOKUP($C738,Order!$C:$C,Order!$D:$D,"",0,1))</f>
        <v>L1.1/2X1/16</v>
      </c>
      <c r="E738" s="4" t="e" vm="259">
        <f>IF($C738="","",_xlfn.XLOOKUP($C738,Order!$C:$C,Order!$E:$E,"",0,1))</f>
        <v>#VALUE!</v>
      </c>
      <c r="F738" s="4">
        <f>IF($C738="","",_xlfn.XLOOKUP($C738,Order!$C:$C,Order!$F:$F,"",0,1))</f>
        <v>6000</v>
      </c>
      <c r="G738" s="4" t="str">
        <f>IF($C738="","",_xlfn.XLOOKUP($C738,Order!$C:$C,Order!$G:$G,"",0,1))</f>
        <v>6063T5</v>
      </c>
      <c r="H738" s="4">
        <f>IF($C738="","",_xlfn.XLOOKUP($C738,Order!$C:$C,Order!$H:$H,"",0,1))</f>
        <v>0.32400000000000001</v>
      </c>
      <c r="I738" s="36">
        <f>IF($C738="","",_xlfn.XLOOKUP($C738,Order!$C:$C,Order!$K:$K,"",0,1))</f>
        <v>0</v>
      </c>
      <c r="J738" s="4" t="str">
        <f>IF(C738="","",Order!$K$16)</f>
        <v>WHITE POWDER COAT (PE/BA)</v>
      </c>
      <c r="K738" s="36">
        <f>IF($C738="","",_xlfn.XLOOKUP($C738,Order!$C:$C,Order!$P:$P,"",0,1))</f>
        <v>0</v>
      </c>
      <c r="L738" s="4">
        <f t="shared" si="11"/>
        <v>0</v>
      </c>
    </row>
    <row r="739" spans="2:12" ht="23.25" hidden="1" customHeight="1" x14ac:dyDescent="0.25">
      <c r="B739" s="4">
        <v>734</v>
      </c>
      <c r="C739" s="36" t="str">
        <f>IF(Order!$C$60="","",Order!$C$60)</f>
        <v xml:space="preserve">L1.1/2X1/8 (Angle L 1.1/2x1/8") 　 </v>
      </c>
      <c r="D739" s="36" t="str">
        <f>IF($C739="","",_xlfn.XLOOKUP($C739,Order!$C:$C,Order!$D:$D,"",0,1))</f>
        <v>L1.1/2X1/8</v>
      </c>
      <c r="E739" s="4" t="e" vm="259">
        <f>IF($C739="","",_xlfn.XLOOKUP($C739,Order!$C:$C,Order!$E:$E,"",0,1))</f>
        <v>#VALUE!</v>
      </c>
      <c r="F739" s="4">
        <f>IF($C739="","",_xlfn.XLOOKUP($C739,Order!$C:$C,Order!$F:$F,"",0,1))</f>
        <v>6000</v>
      </c>
      <c r="G739" s="4" t="str">
        <f>IF($C739="","",_xlfn.XLOOKUP($C739,Order!$C:$C,Order!$G:$G,"",0,1))</f>
        <v>6063T5</v>
      </c>
      <c r="H739" s="4">
        <f>IF($C739="","",_xlfn.XLOOKUP($C739,Order!$C:$C,Order!$H:$H,"",0,1))</f>
        <v>0.63400000000000001</v>
      </c>
      <c r="I739" s="36">
        <f>IF($C739="","",_xlfn.XLOOKUP($C739,Order!$C:$C,Order!$K:$K,"",0,1))</f>
        <v>0</v>
      </c>
      <c r="J739" s="4" t="str">
        <f>IF(C739="","",Order!$K$16)</f>
        <v>WHITE POWDER COAT (PE/BA)</v>
      </c>
      <c r="K739" s="36">
        <f>IF($C739="","",_xlfn.XLOOKUP($C739,Order!$C:$C,Order!$P:$P,"",0,1))</f>
        <v>0</v>
      </c>
      <c r="L739" s="4">
        <f t="shared" si="11"/>
        <v>0</v>
      </c>
    </row>
    <row r="740" spans="2:12" ht="23.25" hidden="1" customHeight="1" x14ac:dyDescent="0.25">
      <c r="B740" s="4">
        <v>735</v>
      </c>
      <c r="C740" s="36" t="str">
        <f>IF(Order!$C$61="","",Order!$C$61)</f>
        <v>L2X1/16 (Angle L 2 x 1/16")</v>
      </c>
      <c r="D740" s="36" t="str">
        <f>IF($C740="","",_xlfn.XLOOKUP($C740,Order!$C:$C,Order!$D:$D,"",0,1))</f>
        <v>L2X1/16</v>
      </c>
      <c r="E740" s="4" t="e" vm="259">
        <f>IF($C740="","",_xlfn.XLOOKUP($C740,Order!$C:$C,Order!$E:$E,"",0,1))</f>
        <v>#VALUE!</v>
      </c>
      <c r="F740" s="4">
        <f>IF($C740="","",_xlfn.XLOOKUP($C740,Order!$C:$C,Order!$F:$F,"",0,1))</f>
        <v>6000</v>
      </c>
      <c r="G740" s="4" t="str">
        <f>IF($C740="","",_xlfn.XLOOKUP($C740,Order!$C:$C,Order!$G:$G,"",0,1))</f>
        <v>6063T5</v>
      </c>
      <c r="H740" s="4">
        <f>IF($C740="","",_xlfn.XLOOKUP($C740,Order!$C:$C,Order!$H:$H,"",0,1))</f>
        <v>0.434</v>
      </c>
      <c r="I740" s="36">
        <f>IF($C740="","",_xlfn.XLOOKUP($C740,Order!$C:$C,Order!$K:$K,"",0,1))</f>
        <v>0</v>
      </c>
      <c r="J740" s="4" t="str">
        <f>IF(C740="","",Order!$K$16)</f>
        <v>WHITE POWDER COAT (PE/BA)</v>
      </c>
      <c r="K740" s="36">
        <f>IF($C740="","",_xlfn.XLOOKUP($C740,Order!$C:$C,Order!$P:$P,"",0,1))</f>
        <v>0</v>
      </c>
      <c r="L740" s="4">
        <f t="shared" si="11"/>
        <v>0</v>
      </c>
    </row>
    <row r="741" spans="2:12" ht="23.25" hidden="1" customHeight="1" x14ac:dyDescent="0.25">
      <c r="B741" s="4">
        <v>736</v>
      </c>
      <c r="C741" s="36" t="str">
        <f>IF(Order!$C$62="","",Order!$C$62)</f>
        <v>L2 x 1/8  (Angle L 2 x 1/8")</v>
      </c>
      <c r="D741" s="36" t="str">
        <f>IF($C741="","",_xlfn.XLOOKUP($C741,Order!$C:$C,Order!$D:$D,"",0,1))</f>
        <v>L2x1/8</v>
      </c>
      <c r="E741" s="4" t="e" vm="259">
        <f>IF($C741="","",_xlfn.XLOOKUP($C741,Order!$C:$C,Order!$E:$E,"",0,1))</f>
        <v>#VALUE!</v>
      </c>
      <c r="F741" s="4">
        <f>IF($C741="","",_xlfn.XLOOKUP($C741,Order!$C:$C,Order!$F:$F,"",0,1))</f>
        <v>6000</v>
      </c>
      <c r="G741" s="4" t="str">
        <f>IF($C741="","",_xlfn.XLOOKUP($C741,Order!$C:$C,Order!$G:$G,"",0,1))</f>
        <v>6063T5</v>
      </c>
      <c r="H741" s="4">
        <f>IF($C741="","",_xlfn.XLOOKUP($C741,Order!$C:$C,Order!$H:$H,"",0,1))</f>
        <v>0.85399999999999998</v>
      </c>
      <c r="I741" s="36">
        <f>IF($C741="","",_xlfn.XLOOKUP($C741,Order!$C:$C,Order!$K:$K,"",0,1))</f>
        <v>0</v>
      </c>
      <c r="J741" s="4" t="str">
        <f>IF(C741="","",Order!$K$16)</f>
        <v>WHITE POWDER COAT (PE/BA)</v>
      </c>
      <c r="K741" s="36">
        <f>IF($C741="","",_xlfn.XLOOKUP($C741,Order!$C:$C,Order!$P:$P,"",0,1))</f>
        <v>0</v>
      </c>
      <c r="L741" s="4">
        <f t="shared" si="11"/>
        <v>0</v>
      </c>
    </row>
    <row r="742" spans="2:12" ht="23.25" hidden="1" customHeight="1" x14ac:dyDescent="0.25">
      <c r="B742" s="4">
        <v>737</v>
      </c>
      <c r="C742" s="36" t="str">
        <f>IF(Order!$C$63="","",Order!$C$63)</f>
        <v>TRS3/16 (Round  solid 3/16")</v>
      </c>
      <c r="D742" s="36" t="str">
        <f>IF($C742="","",_xlfn.XLOOKUP($C742,Order!$C:$C,Order!$D:$D,"",0,1))</f>
        <v>TRS3/16</v>
      </c>
      <c r="E742" s="4" t="e" vm="260">
        <f>IF($C742="","",_xlfn.XLOOKUP($C742,Order!$C:$C,Order!$E:$E,"",0,1))</f>
        <v>#VALUE!</v>
      </c>
      <c r="F742" s="4">
        <f>IF($C742="","",_xlfn.XLOOKUP($C742,Order!$C:$C,Order!$F:$F,"",0,1))</f>
        <v>6000</v>
      </c>
      <c r="G742" s="4" t="str">
        <f>IF($C742="","",_xlfn.XLOOKUP($C742,Order!$C:$C,Order!$G:$G,"",0,1))</f>
        <v>6063T5</v>
      </c>
      <c r="H742" s="4">
        <f>IF($C742="","",_xlfn.XLOOKUP($C742,Order!$C:$C,Order!$H:$H,"",0,1))</f>
        <v>4.7E-2</v>
      </c>
      <c r="I742" s="36">
        <f>IF($C742="","",_xlfn.XLOOKUP($C742,Order!$C:$C,Order!$K:$K,"",0,1))</f>
        <v>0</v>
      </c>
      <c r="J742" s="4" t="str">
        <f>IF(C742="","",Order!$K$16)</f>
        <v>WHITE POWDER COAT (PE/BA)</v>
      </c>
      <c r="K742" s="36">
        <f>IF($C742="","",_xlfn.XLOOKUP($C742,Order!$C:$C,Order!$P:$P,"",0,1))</f>
        <v>0</v>
      </c>
      <c r="L742" s="4">
        <f t="shared" si="11"/>
        <v>0</v>
      </c>
    </row>
    <row r="743" spans="2:12" ht="23.25" hidden="1" customHeight="1" x14ac:dyDescent="0.25">
      <c r="B743" s="4">
        <v>738</v>
      </c>
      <c r="C743" s="36" t="str">
        <f>IF(Order!$C$64="","",Order!$C$64)</f>
        <v>TRS1/4 (Round  solid 1/4")</v>
      </c>
      <c r="D743" s="36" t="str">
        <f>IF($C743="","",_xlfn.XLOOKUP($C743,Order!$C:$C,Order!$D:$D,"",0,1))</f>
        <v>TRS1/4</v>
      </c>
      <c r="E743" s="4" t="e" vm="260">
        <f>IF($C743="","",_xlfn.XLOOKUP($C743,Order!$C:$C,Order!$E:$E,"",0,1))</f>
        <v>#VALUE!</v>
      </c>
      <c r="F743" s="4">
        <f>IF($C743="","",_xlfn.XLOOKUP($C743,Order!$C:$C,Order!$F:$F,"",0,1))</f>
        <v>6000</v>
      </c>
      <c r="G743" s="4" t="str">
        <f>IF($C743="","",_xlfn.XLOOKUP($C743,Order!$C:$C,Order!$G:$G,"",0,1))</f>
        <v>6063T5</v>
      </c>
      <c r="H743" s="4">
        <f>IF($C743="","",_xlfn.XLOOKUP($C743,Order!$C:$C,Order!$H:$H,"",0,1))</f>
        <v>8.5999999999999993E-2</v>
      </c>
      <c r="I743" s="36">
        <f>IF($C743="","",_xlfn.XLOOKUP($C743,Order!$C:$C,Order!$K:$K,"",0,1))</f>
        <v>0</v>
      </c>
      <c r="J743" s="4" t="str">
        <f>IF(C743="","",Order!$K$16)</f>
        <v>WHITE POWDER COAT (PE/BA)</v>
      </c>
      <c r="K743" s="36">
        <f>IF($C743="","",_xlfn.XLOOKUP($C743,Order!$C:$C,Order!$P:$P,"",0,1))</f>
        <v>0</v>
      </c>
      <c r="L743" s="4">
        <f t="shared" si="11"/>
        <v>0</v>
      </c>
    </row>
    <row r="744" spans="2:12" ht="23.25" hidden="1" customHeight="1" x14ac:dyDescent="0.25">
      <c r="B744" s="4">
        <v>739</v>
      </c>
      <c r="C744" s="36" t="str">
        <f>IF(Order!$C$65="","",Order!$C$65)</f>
        <v>TQS1/4 (Square solid 1/4")</v>
      </c>
      <c r="D744" s="36" t="str">
        <f>IF($C744="","",_xlfn.XLOOKUP($C744,Order!$C:$C,Order!$D:$D,"",0,1))</f>
        <v>TQS1/4</v>
      </c>
      <c r="E744" s="4" t="e" vm="261">
        <f>IF($C744="","",_xlfn.XLOOKUP($C744,Order!$C:$C,Order!$E:$E,"",0,1))</f>
        <v>#VALUE!</v>
      </c>
      <c r="F744" s="4">
        <f>IF($C744="","",_xlfn.XLOOKUP($C744,Order!$C:$C,Order!$F:$F,"",0,1))</f>
        <v>6000</v>
      </c>
      <c r="G744" s="4" t="str">
        <f>IF($C744="","",_xlfn.XLOOKUP($C744,Order!$C:$C,Order!$G:$G,"",0,1))</f>
        <v>6063T5</v>
      </c>
      <c r="H744" s="4">
        <f>IF($C744="","",_xlfn.XLOOKUP($C744,Order!$C:$C,Order!$H:$H,"",0,1))</f>
        <v>0.11</v>
      </c>
      <c r="I744" s="36">
        <f>IF($C744="","",_xlfn.XLOOKUP($C744,Order!$C:$C,Order!$K:$K,"",0,1))</f>
        <v>0</v>
      </c>
      <c r="J744" s="4" t="str">
        <f>IF(C744="","",Order!$K$16)</f>
        <v>WHITE POWDER COAT (PE/BA)</v>
      </c>
      <c r="K744" s="36">
        <f>IF($C744="","",_xlfn.XLOOKUP($C744,Order!$C:$C,Order!$P:$P,"",0,1))</f>
        <v>0</v>
      </c>
      <c r="L744" s="4">
        <f t="shared" si="11"/>
        <v>0</v>
      </c>
    </row>
    <row r="745" spans="2:12" ht="23.25" hidden="1" customHeight="1" x14ac:dyDescent="0.25">
      <c r="B745" s="4">
        <v>740</v>
      </c>
      <c r="C745" s="36" t="str">
        <f>IF(Order!$C$66="","",Order!$C$66)</f>
        <v/>
      </c>
      <c r="D745" s="36" t="str">
        <f>IF($C745="","",_xlfn.XLOOKUP($C745,Order!$C:$C,Order!$D:$D,"",0,1))</f>
        <v/>
      </c>
      <c r="E745" s="4" t="str">
        <f>IF($C745="","",_xlfn.XLOOKUP($C745,Order!$C:$C,Order!$E:$E,"",0,1))</f>
        <v/>
      </c>
      <c r="F745" s="4" t="str">
        <f>IF($C745="","",_xlfn.XLOOKUP($C745,Order!$C:$C,Order!$F:$F,"",0,1))</f>
        <v/>
      </c>
      <c r="G745" s="4" t="str">
        <f>IF($C745="","",_xlfn.XLOOKUP($C745,Order!$C:$C,Order!$G:$G,"",0,1))</f>
        <v/>
      </c>
      <c r="H745" s="4" t="str">
        <f>IF($C745="","",_xlfn.XLOOKUP($C745,Order!$C:$C,Order!$H:$H,"",0,1))</f>
        <v/>
      </c>
      <c r="I745" s="36" t="str">
        <f>IF($C745="","",_xlfn.XLOOKUP($C745,Order!$C:$C,Order!$K:$K,"",0,1))</f>
        <v/>
      </c>
      <c r="J745" s="4" t="str">
        <f>IF(C745="","",Order!$K$16)</f>
        <v/>
      </c>
      <c r="K745" s="36" t="str">
        <f>IF($C745="","",_xlfn.XLOOKUP($C745,Order!$C:$C,Order!$P:$P,"",0,1))</f>
        <v/>
      </c>
      <c r="L745" s="4" t="str">
        <f t="shared" si="11"/>
        <v/>
      </c>
    </row>
    <row r="746" spans="2:12" ht="23.25" hidden="1" customHeight="1" x14ac:dyDescent="0.25">
      <c r="B746" s="4">
        <v>741</v>
      </c>
      <c r="C746" s="36" t="str">
        <f>IF(Order!$C$67="","",Order!$C$67)</f>
        <v/>
      </c>
      <c r="D746" s="36" t="str">
        <f>IF($C746="","",_xlfn.XLOOKUP($C746,Order!$C:$C,Order!$D:$D,"",0,1))</f>
        <v/>
      </c>
      <c r="E746" s="4" t="str">
        <f>IF($C746="","",_xlfn.XLOOKUP($C746,Order!$C:$C,Order!$E:$E,"",0,1))</f>
        <v/>
      </c>
      <c r="F746" s="4" t="str">
        <f>IF($C746="","",_xlfn.XLOOKUP($C746,Order!$C:$C,Order!$F:$F,"",0,1))</f>
        <v/>
      </c>
      <c r="G746" s="4" t="str">
        <f>IF($C746="","",_xlfn.XLOOKUP($C746,Order!$C:$C,Order!$G:$G,"",0,1))</f>
        <v/>
      </c>
      <c r="H746" s="4" t="str">
        <f>IF($C746="","",_xlfn.XLOOKUP($C746,Order!$C:$C,Order!$H:$H,"",0,1))</f>
        <v/>
      </c>
      <c r="I746" s="36" t="str">
        <f>IF($C746="","",_xlfn.XLOOKUP($C746,Order!$C:$C,Order!$K:$K,"",0,1))</f>
        <v/>
      </c>
      <c r="J746" s="4" t="str">
        <f>IF(C746="","",Order!$K$16)</f>
        <v/>
      </c>
      <c r="K746" s="36" t="str">
        <f>IF($C746="","",_xlfn.XLOOKUP($C746,Order!$C:$C,Order!$P:$P,"",0,1))</f>
        <v/>
      </c>
      <c r="L746" s="4" t="str">
        <f t="shared" si="11"/>
        <v/>
      </c>
    </row>
    <row r="747" spans="2:12" ht="23.25" hidden="1" customHeight="1" x14ac:dyDescent="0.25">
      <c r="B747" s="4">
        <v>742</v>
      </c>
      <c r="C747" s="36" t="str">
        <f>IF(Order!$C$68="","",Order!$C$68)</f>
        <v/>
      </c>
      <c r="D747" s="36" t="str">
        <f>IF($C747="","",_xlfn.XLOOKUP($C747,Order!$C:$C,Order!$D:$D,"",0,1))</f>
        <v/>
      </c>
      <c r="E747" s="4" t="str">
        <f>IF($C747="","",_xlfn.XLOOKUP($C747,Order!$C:$C,Order!$E:$E,"",0,1))</f>
        <v/>
      </c>
      <c r="F747" s="4" t="str">
        <f>IF($C747="","",_xlfn.XLOOKUP($C747,Order!$C:$C,Order!$F:$F,"",0,1))</f>
        <v/>
      </c>
      <c r="G747" s="4" t="str">
        <f>IF($C747="","",_xlfn.XLOOKUP($C747,Order!$C:$C,Order!$G:$G,"",0,1))</f>
        <v/>
      </c>
      <c r="H747" s="4" t="str">
        <f>IF($C747="","",_xlfn.XLOOKUP($C747,Order!$C:$C,Order!$H:$H,"",0,1))</f>
        <v/>
      </c>
      <c r="I747" s="36" t="str">
        <f>IF($C747="","",_xlfn.XLOOKUP($C747,Order!$C:$C,Order!$K:$K,"",0,1))</f>
        <v/>
      </c>
      <c r="J747" s="4" t="str">
        <f>IF(C747="","",Order!$K$16)</f>
        <v/>
      </c>
      <c r="K747" s="36" t="str">
        <f>IF($C747="","",_xlfn.XLOOKUP($C747,Order!$C:$C,Order!$P:$P,"",0,1))</f>
        <v/>
      </c>
      <c r="L747" s="4" t="str">
        <f t="shared" si="11"/>
        <v/>
      </c>
    </row>
    <row r="748" spans="2:12" ht="23.25" hidden="1" customHeight="1" x14ac:dyDescent="0.25">
      <c r="B748" s="4">
        <v>743</v>
      </c>
      <c r="C748" s="36" t="str">
        <f>IF(Order!$C$69="","",Order!$C$69)</f>
        <v/>
      </c>
      <c r="D748" s="36" t="str">
        <f>IF($C748="","",_xlfn.XLOOKUP($C748,Order!$C:$C,Order!$D:$D,"",0,1))</f>
        <v/>
      </c>
      <c r="E748" s="4" t="str">
        <f>IF($C748="","",_xlfn.XLOOKUP($C748,Order!$C:$C,Order!$E:$E,"",0,1))</f>
        <v/>
      </c>
      <c r="F748" s="4" t="str">
        <f>IF($C748="","",_xlfn.XLOOKUP($C748,Order!$C:$C,Order!$F:$F,"",0,1))</f>
        <v/>
      </c>
      <c r="G748" s="4" t="str">
        <f>IF($C748="","",_xlfn.XLOOKUP($C748,Order!$C:$C,Order!$G:$G,"",0,1))</f>
        <v/>
      </c>
      <c r="H748" s="4" t="str">
        <f>IF($C748="","",_xlfn.XLOOKUP($C748,Order!$C:$C,Order!$H:$H,"",0,1))</f>
        <v/>
      </c>
      <c r="I748" s="36" t="str">
        <f>IF($C748="","",_xlfn.XLOOKUP($C748,Order!$C:$C,Order!$K:$K,"",0,1))</f>
        <v/>
      </c>
      <c r="J748" s="4" t="str">
        <f>IF(C748="","",Order!$K$16)</f>
        <v/>
      </c>
      <c r="K748" s="36" t="str">
        <f>IF($C748="","",_xlfn.XLOOKUP($C748,Order!$C:$C,Order!$P:$P,"",0,1))</f>
        <v/>
      </c>
      <c r="L748" s="4" t="str">
        <f t="shared" si="11"/>
        <v/>
      </c>
    </row>
    <row r="749" spans="2:12" ht="23.25" hidden="1" customHeight="1" x14ac:dyDescent="0.25">
      <c r="B749" s="4">
        <v>744</v>
      </c>
      <c r="C749" s="36" t="str">
        <f>IF(Order!$C$70="","",Order!$C$70)</f>
        <v/>
      </c>
      <c r="D749" s="36" t="str">
        <f>IF($C749="","",_xlfn.XLOOKUP($C749,Order!$C:$C,Order!$D:$D,"",0,1))</f>
        <v/>
      </c>
      <c r="E749" s="4" t="str">
        <f>IF($C749="","",_xlfn.XLOOKUP($C749,Order!$C:$C,Order!$E:$E,"",0,1))</f>
        <v/>
      </c>
      <c r="F749" s="4" t="str">
        <f>IF($C749="","",_xlfn.XLOOKUP($C749,Order!$C:$C,Order!$F:$F,"",0,1))</f>
        <v/>
      </c>
      <c r="G749" s="4" t="str">
        <f>IF($C749="","",_xlfn.XLOOKUP($C749,Order!$C:$C,Order!$G:$G,"",0,1))</f>
        <v/>
      </c>
      <c r="H749" s="4" t="str">
        <f>IF($C749="","",_xlfn.XLOOKUP($C749,Order!$C:$C,Order!$H:$H,"",0,1))</f>
        <v/>
      </c>
      <c r="I749" s="36" t="str">
        <f>IF($C749="","",_xlfn.XLOOKUP($C749,Order!$C:$C,Order!$K:$K,"",0,1))</f>
        <v/>
      </c>
      <c r="J749" s="4" t="str">
        <f>IF(C749="","",Order!$K$16)</f>
        <v/>
      </c>
      <c r="K749" s="36" t="str">
        <f>IF($C749="","",_xlfn.XLOOKUP($C749,Order!$C:$C,Order!$P:$P,"",0,1))</f>
        <v/>
      </c>
      <c r="L749" s="4" t="str">
        <f t="shared" si="11"/>
        <v/>
      </c>
    </row>
    <row r="750" spans="2:12" ht="23.25" hidden="1" customHeight="1" x14ac:dyDescent="0.25">
      <c r="B750" s="4">
        <v>745</v>
      </c>
      <c r="C750" s="36" t="str">
        <f>IF(Order!$C$71="","",Order!$C$71)</f>
        <v/>
      </c>
      <c r="D750" s="36" t="str">
        <f>IF($C750="","",_xlfn.XLOOKUP($C750,Order!$C:$C,Order!$D:$D,"",0,1))</f>
        <v/>
      </c>
      <c r="E750" s="4" t="str">
        <f>IF($C750="","",_xlfn.XLOOKUP($C750,Order!$C:$C,Order!$E:$E,"",0,1))</f>
        <v/>
      </c>
      <c r="F750" s="4" t="str">
        <f>IF($C750="","",_xlfn.XLOOKUP($C750,Order!$C:$C,Order!$F:$F,"",0,1))</f>
        <v/>
      </c>
      <c r="G750" s="4" t="str">
        <f>IF($C750="","",_xlfn.XLOOKUP($C750,Order!$C:$C,Order!$G:$G,"",0,1))</f>
        <v/>
      </c>
      <c r="H750" s="4" t="str">
        <f>IF($C750="","",_xlfn.XLOOKUP($C750,Order!$C:$C,Order!$H:$H,"",0,1))</f>
        <v/>
      </c>
      <c r="I750" s="36" t="str">
        <f>IF($C750="","",_xlfn.XLOOKUP($C750,Order!$C:$C,Order!$K:$K,"",0,1))</f>
        <v/>
      </c>
      <c r="J750" s="4" t="str">
        <f>IF(C750="","",Order!$K$16)</f>
        <v/>
      </c>
      <c r="K750" s="36" t="str">
        <f>IF($C750="","",_xlfn.XLOOKUP($C750,Order!$C:$C,Order!$P:$P,"",0,1))</f>
        <v/>
      </c>
      <c r="L750" s="4" t="str">
        <f t="shared" si="11"/>
        <v/>
      </c>
    </row>
    <row r="751" spans="2:12" ht="23.25" hidden="1" customHeight="1" x14ac:dyDescent="0.25">
      <c r="B751" s="4">
        <v>746</v>
      </c>
      <c r="C751" s="36" t="str">
        <f>IF(Order!$C$72="","",Order!$C$72)</f>
        <v/>
      </c>
      <c r="D751" s="36" t="str">
        <f>IF($C751="","",_xlfn.XLOOKUP($C751,Order!$C:$C,Order!$D:$D,"",0,1))</f>
        <v/>
      </c>
      <c r="E751" s="4" t="str">
        <f>IF($C751="","",_xlfn.XLOOKUP($C751,Order!$C:$C,Order!$E:$E,"",0,1))</f>
        <v/>
      </c>
      <c r="F751" s="4" t="str">
        <f>IF($C751="","",_xlfn.XLOOKUP($C751,Order!$C:$C,Order!$F:$F,"",0,1))</f>
        <v/>
      </c>
      <c r="G751" s="4" t="str">
        <f>IF($C751="","",_xlfn.XLOOKUP($C751,Order!$C:$C,Order!$G:$G,"",0,1))</f>
        <v/>
      </c>
      <c r="H751" s="4" t="str">
        <f>IF($C751="","",_xlfn.XLOOKUP($C751,Order!$C:$C,Order!$H:$H,"",0,1))</f>
        <v/>
      </c>
      <c r="I751" s="36" t="str">
        <f>IF($C751="","",_xlfn.XLOOKUP($C751,Order!$C:$C,Order!$K:$K,"",0,1))</f>
        <v/>
      </c>
      <c r="J751" s="4" t="str">
        <f>IF(C751="","",Order!$K$16)</f>
        <v/>
      </c>
      <c r="K751" s="36" t="str">
        <f>IF($C751="","",_xlfn.XLOOKUP($C751,Order!$C:$C,Order!$P:$P,"",0,1))</f>
        <v/>
      </c>
      <c r="L751" s="4" t="str">
        <f t="shared" si="11"/>
        <v/>
      </c>
    </row>
    <row r="752" spans="2:12" ht="23.25" hidden="1" customHeight="1" x14ac:dyDescent="0.25">
      <c r="B752" s="4">
        <v>747</v>
      </c>
      <c r="C752" s="36" t="str">
        <f>IF(Order!$C$73="","",Order!$C$73)</f>
        <v/>
      </c>
      <c r="D752" s="36" t="str">
        <f>IF($C752="","",_xlfn.XLOOKUP($C752,Order!$C:$C,Order!$D:$D,"",0,1))</f>
        <v/>
      </c>
      <c r="E752" s="4" t="str">
        <f>IF($C752="","",_xlfn.XLOOKUP($C752,Order!$C:$C,Order!$E:$E,"",0,1))</f>
        <v/>
      </c>
      <c r="F752" s="4" t="str">
        <f>IF($C752="","",_xlfn.XLOOKUP($C752,Order!$C:$C,Order!$F:$F,"",0,1))</f>
        <v/>
      </c>
      <c r="G752" s="4" t="str">
        <f>IF($C752="","",_xlfn.XLOOKUP($C752,Order!$C:$C,Order!$G:$G,"",0,1))</f>
        <v/>
      </c>
      <c r="H752" s="4" t="str">
        <f>IF($C752="","",_xlfn.XLOOKUP($C752,Order!$C:$C,Order!$H:$H,"",0,1))</f>
        <v/>
      </c>
      <c r="I752" s="36" t="str">
        <f>IF($C752="","",_xlfn.XLOOKUP($C752,Order!$C:$C,Order!$K:$K,"",0,1))</f>
        <v/>
      </c>
      <c r="J752" s="4" t="str">
        <f>IF(C752="","",Order!$K$16)</f>
        <v/>
      </c>
      <c r="K752" s="36" t="str">
        <f>IF($C752="","",_xlfn.XLOOKUP($C752,Order!$C:$C,Order!$P:$P,"",0,1))</f>
        <v/>
      </c>
      <c r="L752" s="4" t="str">
        <f t="shared" si="11"/>
        <v/>
      </c>
    </row>
    <row r="753" spans="2:12" ht="23.25" hidden="1" customHeight="1" x14ac:dyDescent="0.25">
      <c r="B753" s="4">
        <v>748</v>
      </c>
      <c r="C753" s="36" t="str">
        <f>IF(Order!$C$74="","",Order!$C$74)</f>
        <v>CM200</v>
      </c>
      <c r="D753" s="36" t="str">
        <f>IF($C753="","",_xlfn.XLOOKUP($C753,Order!$C:$C,Order!$D:$D,"",0,1))</f>
        <v>CM200</v>
      </c>
      <c r="E753" s="4" t="e" vm="262">
        <f>IF($C753="","",_xlfn.XLOOKUP($C753,Order!$C:$C,Order!$E:$E,"",0,1))</f>
        <v>#VALUE!</v>
      </c>
      <c r="F753" s="4">
        <f>IF($C753="","",_xlfn.XLOOKUP($C753,Order!$C:$C,Order!$F:$F,"",0,1))</f>
        <v>6000</v>
      </c>
      <c r="G753" s="4" t="str">
        <f>IF($C753="","",_xlfn.XLOOKUP($C753,Order!$C:$C,Order!$G:$G,"",0,1))</f>
        <v>6063T5</v>
      </c>
      <c r="H753" s="4">
        <f>IF($C753="","",_xlfn.XLOOKUP($C753,Order!$C:$C,Order!$H:$H,"",0,1))</f>
        <v>0.128</v>
      </c>
      <c r="I753" s="36">
        <f>IF($C753="","",_xlfn.XLOOKUP($C753,Order!$C:$C,Order!$K:$K,"",0,1))</f>
        <v>0</v>
      </c>
      <c r="J753" s="4" t="str">
        <f>IF(C753="","",Order!$K$16)</f>
        <v>WHITE POWDER COAT (PE/BA)</v>
      </c>
      <c r="K753" s="36">
        <f>IF($C753="","",_xlfn.XLOOKUP($C753,Order!$C:$C,Order!$P:$P,"",0,1))</f>
        <v>0</v>
      </c>
      <c r="L753" s="4">
        <f t="shared" si="11"/>
        <v>0</v>
      </c>
    </row>
    <row r="754" spans="2:12" ht="23.25" hidden="1" customHeight="1" x14ac:dyDescent="0.25">
      <c r="B754" s="4">
        <v>749</v>
      </c>
      <c r="C754" s="36" t="str">
        <f>IF(Order!$C$75="","",Order!$C$75)</f>
        <v>CL006</v>
      </c>
      <c r="D754" s="36" t="str">
        <f>IF($C754="","",_xlfn.XLOOKUP($C754,Order!$C:$C,Order!$D:$D,"",0,1))</f>
        <v>CL006</v>
      </c>
      <c r="E754" s="4" t="e" vm="263">
        <f>IF($C754="","",_xlfn.XLOOKUP($C754,Order!$C:$C,Order!$E:$E,"",0,1))</f>
        <v>#VALUE!</v>
      </c>
      <c r="F754" s="4">
        <f>IF($C754="","",_xlfn.XLOOKUP($C754,Order!$C:$C,Order!$F:$F,"",0,1))</f>
        <v>6000</v>
      </c>
      <c r="G754" s="4" t="str">
        <f>IF($C754="","",_xlfn.XLOOKUP($C754,Order!$C:$C,Order!$G:$G,"",0,1))</f>
        <v>6063T5</v>
      </c>
      <c r="H754" s="4">
        <f>IF($C754="","",_xlfn.XLOOKUP($C754,Order!$C:$C,Order!$H:$H,"",0,1))</f>
        <v>1.115</v>
      </c>
      <c r="I754" s="36">
        <f>IF($C754="","",_xlfn.XLOOKUP($C754,Order!$C:$C,Order!$K:$K,"",0,1))</f>
        <v>0</v>
      </c>
      <c r="J754" s="4" t="str">
        <f>IF(C754="","",Order!$K$16)</f>
        <v>WHITE POWDER COAT (PE/BA)</v>
      </c>
      <c r="K754" s="36">
        <f>IF($C754="","",_xlfn.XLOOKUP($C754,Order!$C:$C,Order!$P:$P,"",0,1))</f>
        <v>0</v>
      </c>
      <c r="L754" s="4">
        <f t="shared" si="11"/>
        <v>0</v>
      </c>
    </row>
    <row r="755" spans="2:12" ht="23.25" hidden="1" customHeight="1" x14ac:dyDescent="0.25">
      <c r="B755" s="4">
        <v>750</v>
      </c>
      <c r="C755" s="36" t="str">
        <f>IF(Order!$C$76="","",Order!$C$76)</f>
        <v>CL011</v>
      </c>
      <c r="D755" s="36" t="str">
        <f>IF($C755="","",_xlfn.XLOOKUP($C755,Order!$C:$C,Order!$D:$D,"",0,1))</f>
        <v>CL011</v>
      </c>
      <c r="E755" s="4" t="e" vm="264">
        <f>IF($C755="","",_xlfn.XLOOKUP($C755,Order!$C:$C,Order!$E:$E,"",0,1))</f>
        <v>#VALUE!</v>
      </c>
      <c r="F755" s="4">
        <f>IF($C755="","",_xlfn.XLOOKUP($C755,Order!$C:$C,Order!$F:$F,"",0,1))</f>
        <v>6000</v>
      </c>
      <c r="G755" s="4" t="str">
        <f>IF($C755="","",_xlfn.XLOOKUP($C755,Order!$C:$C,Order!$G:$G,"",0,1))</f>
        <v>6063T5</v>
      </c>
      <c r="H755" s="4">
        <f>IF($C755="","",_xlfn.XLOOKUP($C755,Order!$C:$C,Order!$H:$H,"",0,1))</f>
        <v>0.311</v>
      </c>
      <c r="I755" s="36">
        <f>IF($C755="","",_xlfn.XLOOKUP($C755,Order!$C:$C,Order!$K:$K,"",0,1))</f>
        <v>0</v>
      </c>
      <c r="J755" s="4" t="str">
        <f>IF(C755="","",Order!$K$16)</f>
        <v>WHITE POWDER COAT (PE/BA)</v>
      </c>
      <c r="K755" s="36">
        <f>IF($C755="","",_xlfn.XLOOKUP($C755,Order!$C:$C,Order!$P:$P,"",0,1))</f>
        <v>0</v>
      </c>
      <c r="L755" s="4">
        <f t="shared" si="11"/>
        <v>0</v>
      </c>
    </row>
    <row r="756" spans="2:12" ht="23.25" hidden="1" customHeight="1" x14ac:dyDescent="0.25">
      <c r="B756" s="4">
        <v>751</v>
      </c>
      <c r="C756" s="36" t="str">
        <f>IF(Order!$C$77="","",Order!$C$77)</f>
        <v>BX810</v>
      </c>
      <c r="D756" s="36" t="str">
        <f>IF($C756="","",_xlfn.XLOOKUP($C756,Order!$C:$C,Order!$D:$D,"",0,1))</f>
        <v>BX810</v>
      </c>
      <c r="E756" s="4" t="e" vm="265">
        <f>IF($C756="","",_xlfn.XLOOKUP($C756,Order!$C:$C,Order!$E:$E,"",0,1))</f>
        <v>#VALUE!</v>
      </c>
      <c r="F756" s="4">
        <f>IF($C756="","",_xlfn.XLOOKUP($C756,Order!$C:$C,Order!$F:$F,"",0,1))</f>
        <v>6000</v>
      </c>
      <c r="G756" s="4" t="str">
        <f>IF($C756="","",_xlfn.XLOOKUP($C756,Order!$C:$C,Order!$G:$G,"",0,1))</f>
        <v>6063T5</v>
      </c>
      <c r="H756" s="4">
        <f>IF($C756="","",_xlfn.XLOOKUP($C756,Order!$C:$C,Order!$H:$H,"",0,1))</f>
        <v>0.53600000000000003</v>
      </c>
      <c r="I756" s="36">
        <f>IF($C756="","",_xlfn.XLOOKUP($C756,Order!$C:$C,Order!$K:$K,"",0,1))</f>
        <v>0</v>
      </c>
      <c r="J756" s="4" t="str">
        <f>IF(C756="","",Order!$K$16)</f>
        <v>WHITE POWDER COAT (PE/BA)</v>
      </c>
      <c r="K756" s="36">
        <f>IF($C756="","",_xlfn.XLOOKUP($C756,Order!$C:$C,Order!$P:$P,"",0,1))</f>
        <v>0</v>
      </c>
      <c r="L756" s="4">
        <f t="shared" si="11"/>
        <v>0</v>
      </c>
    </row>
    <row r="757" spans="2:12" ht="23.25" hidden="1" customHeight="1" x14ac:dyDescent="0.25">
      <c r="B757" s="4">
        <v>752</v>
      </c>
      <c r="C757" s="36" t="str">
        <f>IF(Order!$C$78="","",Order!$C$78)</f>
        <v>BX811</v>
      </c>
      <c r="D757" s="36" t="str">
        <f>IF($C757="","",_xlfn.XLOOKUP($C757,Order!$C:$C,Order!$D:$D,"",0,1))</f>
        <v>BX811</v>
      </c>
      <c r="E757" s="4" t="e" vm="266">
        <f>IF($C757="","",_xlfn.XLOOKUP($C757,Order!$C:$C,Order!$E:$E,"",0,1))</f>
        <v>#VALUE!</v>
      </c>
      <c r="F757" s="4">
        <f>IF($C757="","",_xlfn.XLOOKUP($C757,Order!$C:$C,Order!$F:$F,"",0,1))</f>
        <v>6000</v>
      </c>
      <c r="G757" s="4" t="str">
        <f>IF($C757="","",_xlfn.XLOOKUP($C757,Order!$C:$C,Order!$G:$G,"",0,1))</f>
        <v>6063T5</v>
      </c>
      <c r="H757" s="4">
        <f>IF($C757="","",_xlfn.XLOOKUP($C757,Order!$C:$C,Order!$H:$H,"",0,1))</f>
        <v>0.35799999999999998</v>
      </c>
      <c r="I757" s="36">
        <f>IF($C757="","",_xlfn.XLOOKUP($C757,Order!$C:$C,Order!$K:$K,"",0,1))</f>
        <v>0</v>
      </c>
      <c r="J757" s="4" t="str">
        <f>IF(C757="","",Order!$K$16)</f>
        <v>WHITE POWDER COAT (PE/BA)</v>
      </c>
      <c r="K757" s="36">
        <f>IF($C757="","",_xlfn.XLOOKUP($C757,Order!$C:$C,Order!$P:$P,"",0,1))</f>
        <v>0</v>
      </c>
      <c r="L757" s="4">
        <f t="shared" si="11"/>
        <v>0</v>
      </c>
    </row>
    <row r="758" spans="2:12" ht="23.25" hidden="1" customHeight="1" x14ac:dyDescent="0.25">
      <c r="B758" s="4">
        <v>753</v>
      </c>
      <c r="C758" s="36" t="str">
        <f>IF(Order!$C$79="","",Order!$C$79)</f>
        <v>BX856</v>
      </c>
      <c r="D758" s="36" t="str">
        <f>IF($C758="","",_xlfn.XLOOKUP($C758,Order!$C:$C,Order!$D:$D,"",0,1))</f>
        <v>BX856</v>
      </c>
      <c r="E758" s="4" t="e" vm="267">
        <f>IF($C758="","",_xlfn.XLOOKUP($C758,Order!$C:$C,Order!$E:$E,"",0,1))</f>
        <v>#VALUE!</v>
      </c>
      <c r="F758" s="4">
        <f>IF($C758="","",_xlfn.XLOOKUP($C758,Order!$C:$C,Order!$F:$F,"",0,1))</f>
        <v>6000</v>
      </c>
      <c r="G758" s="4" t="str">
        <f>IF($C758="","",_xlfn.XLOOKUP($C758,Order!$C:$C,Order!$G:$G,"",0,1))</f>
        <v>6063T5</v>
      </c>
      <c r="H758" s="4">
        <f>IF($C758="","",_xlfn.XLOOKUP($C758,Order!$C:$C,Order!$H:$H,"",0,1))</f>
        <v>0.22600000000000001</v>
      </c>
      <c r="I758" s="36">
        <f>IF($C758="","",_xlfn.XLOOKUP($C758,Order!$C:$C,Order!$K:$K,"",0,1))</f>
        <v>0</v>
      </c>
      <c r="J758" s="4" t="str">
        <f>IF(C758="","",Order!$K$16)</f>
        <v>WHITE POWDER COAT (PE/BA)</v>
      </c>
      <c r="K758" s="36">
        <f>IF($C758="","",_xlfn.XLOOKUP($C758,Order!$C:$C,Order!$P:$P,"",0,1))</f>
        <v>0</v>
      </c>
      <c r="L758" s="4">
        <f t="shared" si="11"/>
        <v>0</v>
      </c>
    </row>
    <row r="759" spans="2:12" ht="23.25" hidden="1" customHeight="1" x14ac:dyDescent="0.25">
      <c r="B759" s="4">
        <v>754</v>
      </c>
      <c r="C759" s="36" t="str">
        <f>IF(Order!$C$80="","",Order!$C$80)</f>
        <v>AF051</v>
      </c>
      <c r="D759" s="36" t="str">
        <f>IF($C759="","",_xlfn.XLOOKUP($C759,Order!$C:$C,Order!$D:$D,"",0,1))</f>
        <v>AF051</v>
      </c>
      <c r="E759" s="4" t="e" vm="268">
        <f>IF($C759="","",_xlfn.XLOOKUP($C759,Order!$C:$C,Order!$E:$E,"",0,1))</f>
        <v>#VALUE!</v>
      </c>
      <c r="F759" s="4">
        <f>IF($C759="","",_xlfn.XLOOKUP($C759,Order!$C:$C,Order!$F:$F,"",0,1))</f>
        <v>6000</v>
      </c>
      <c r="G759" s="4" t="str">
        <f>IF($C759="","",_xlfn.XLOOKUP($C759,Order!$C:$C,Order!$G:$G,"",0,1))</f>
        <v>6063T5</v>
      </c>
      <c r="H759" s="4">
        <f>IF($C759="","",_xlfn.XLOOKUP($C759,Order!$C:$C,Order!$H:$H,"",0,1))</f>
        <v>0.2</v>
      </c>
      <c r="I759" s="36">
        <f>IF($C759="","",_xlfn.XLOOKUP($C759,Order!$C:$C,Order!$K:$K,"",0,1))</f>
        <v>0</v>
      </c>
      <c r="J759" s="4" t="str">
        <f>IF(C759="","",Order!$K$16)</f>
        <v>WHITE POWDER COAT (PE/BA)</v>
      </c>
      <c r="K759" s="36">
        <f>IF($C759="","",_xlfn.XLOOKUP($C759,Order!$C:$C,Order!$P:$P,"",0,1))</f>
        <v>0</v>
      </c>
      <c r="L759" s="4">
        <f t="shared" si="11"/>
        <v>0</v>
      </c>
    </row>
    <row r="760" spans="2:12" ht="23.25" hidden="1" customHeight="1" x14ac:dyDescent="0.25">
      <c r="B760" s="4">
        <v>755</v>
      </c>
      <c r="C760" s="36" t="str">
        <f>IF(Order!$C$81="","",Order!$C$81)</f>
        <v>AF053</v>
      </c>
      <c r="D760" s="36" t="str">
        <f>IF($C760="","",_xlfn.XLOOKUP($C760,Order!$C:$C,Order!$D:$D,"",0,1))</f>
        <v>AF053</v>
      </c>
      <c r="E760" s="4" t="e" vm="269">
        <f>IF($C760="","",_xlfn.XLOOKUP($C760,Order!$C:$C,Order!$E:$E,"",0,1))</f>
        <v>#VALUE!</v>
      </c>
      <c r="F760" s="4">
        <f>IF($C760="","",_xlfn.XLOOKUP($C760,Order!$C:$C,Order!$F:$F,"",0,1))</f>
        <v>6000</v>
      </c>
      <c r="G760" s="4" t="str">
        <f>IF($C760="","",_xlfn.XLOOKUP($C760,Order!$C:$C,Order!$G:$G,"",0,1))</f>
        <v>6063T5</v>
      </c>
      <c r="H760" s="4">
        <f>IF($C760="","",_xlfn.XLOOKUP($C760,Order!$C:$C,Order!$H:$H,"",0,1))</f>
        <v>0.32500000000000001</v>
      </c>
      <c r="I760" s="36">
        <f>IF($C760="","",_xlfn.XLOOKUP($C760,Order!$C:$C,Order!$K:$K,"",0,1))</f>
        <v>0</v>
      </c>
      <c r="J760" s="4" t="str">
        <f>IF(C760="","",Order!$K$16)</f>
        <v>WHITE POWDER COAT (PE/BA)</v>
      </c>
      <c r="K760" s="36">
        <f>IF($C760="","",_xlfn.XLOOKUP($C760,Order!$C:$C,Order!$P:$P,"",0,1))</f>
        <v>0</v>
      </c>
      <c r="L760" s="4">
        <f t="shared" si="11"/>
        <v>0</v>
      </c>
    </row>
    <row r="761" spans="2:12" ht="23.25" hidden="1" customHeight="1" x14ac:dyDescent="0.25">
      <c r="B761" s="4">
        <v>756</v>
      </c>
      <c r="C761" s="36" t="str">
        <f>IF(Order!$C$82="","",Order!$C$82)</f>
        <v>AF055</v>
      </c>
      <c r="D761" s="36" t="str">
        <f>IF($C761="","",_xlfn.XLOOKUP($C761,Order!$C:$C,Order!$D:$D,"",0,1))</f>
        <v>AF055</v>
      </c>
      <c r="E761" s="4" t="e" vm="270">
        <f>IF($C761="","",_xlfn.XLOOKUP($C761,Order!$C:$C,Order!$E:$E,"",0,1))</f>
        <v>#VALUE!</v>
      </c>
      <c r="F761" s="4">
        <f>IF($C761="","",_xlfn.XLOOKUP($C761,Order!$C:$C,Order!$F:$F,"",0,1))</f>
        <v>6000</v>
      </c>
      <c r="G761" s="4" t="str">
        <f>IF($C761="","",_xlfn.XLOOKUP($C761,Order!$C:$C,Order!$G:$G,"",0,1))</f>
        <v>6063T5</v>
      </c>
      <c r="H761" s="4">
        <f>IF($C761="","",_xlfn.XLOOKUP($C761,Order!$C:$C,Order!$H:$H,"",0,1))</f>
        <v>0.26400000000000001</v>
      </c>
      <c r="I761" s="36">
        <f>IF($C761="","",_xlfn.XLOOKUP($C761,Order!$C:$C,Order!$K:$K,"",0,1))</f>
        <v>0</v>
      </c>
      <c r="J761" s="4" t="str">
        <f>IF(C761="","",Order!$K$16)</f>
        <v>WHITE POWDER COAT (PE/BA)</v>
      </c>
      <c r="K761" s="36">
        <f>IF($C761="","",_xlfn.XLOOKUP($C761,Order!$C:$C,Order!$P:$P,"",0,1))</f>
        <v>0</v>
      </c>
      <c r="L761" s="4">
        <f t="shared" si="11"/>
        <v>0</v>
      </c>
    </row>
    <row r="762" spans="2:12" ht="23.25" hidden="1" customHeight="1" x14ac:dyDescent="0.25">
      <c r="B762" s="4">
        <v>757</v>
      </c>
      <c r="C762" s="36" t="str">
        <f>IF(Order!$C$83="","",Order!$C$83)</f>
        <v>AF056</v>
      </c>
      <c r="D762" s="36" t="str">
        <f>IF($C762="","",_xlfn.XLOOKUP($C762,Order!$C:$C,Order!$D:$D,"",0,1))</f>
        <v>AF056</v>
      </c>
      <c r="E762" s="4" t="e" vm="271">
        <f>IF($C762="","",_xlfn.XLOOKUP($C762,Order!$C:$C,Order!$E:$E,"",0,1))</f>
        <v>#VALUE!</v>
      </c>
      <c r="F762" s="4">
        <f>IF($C762="","",_xlfn.XLOOKUP($C762,Order!$C:$C,Order!$F:$F,"",0,1))</f>
        <v>6000</v>
      </c>
      <c r="G762" s="4" t="str">
        <f>IF($C762="","",_xlfn.XLOOKUP($C762,Order!$C:$C,Order!$G:$G,"",0,1))</f>
        <v>6063T5</v>
      </c>
      <c r="H762" s="4">
        <f>IF($C762="","",_xlfn.XLOOKUP($C762,Order!$C:$C,Order!$H:$H,"",0,1))</f>
        <v>0</v>
      </c>
      <c r="I762" s="36">
        <f>IF($C762="","",_xlfn.XLOOKUP($C762,Order!$C:$C,Order!$K:$K,"",0,1))</f>
        <v>0</v>
      </c>
      <c r="J762" s="4" t="str">
        <f>IF(C762="","",Order!$K$16)</f>
        <v>WHITE POWDER COAT (PE/BA)</v>
      </c>
      <c r="K762" s="36">
        <f>IF($C762="","",_xlfn.XLOOKUP($C762,Order!$C:$C,Order!$P:$P,"",0,1))</f>
        <v>0</v>
      </c>
      <c r="L762" s="4">
        <f t="shared" si="11"/>
        <v>0</v>
      </c>
    </row>
    <row r="763" spans="2:12" ht="23.25" hidden="1" customHeight="1" x14ac:dyDescent="0.25">
      <c r="B763" s="4">
        <v>758</v>
      </c>
      <c r="C763" s="36" t="str">
        <f>IF(Order!$C$84="","",Order!$C$84)</f>
        <v>AF057</v>
      </c>
      <c r="D763" s="36" t="str">
        <f>IF($C763="","",_xlfn.XLOOKUP($C763,Order!$C:$C,Order!$D:$D,"",0,1))</f>
        <v>AF057</v>
      </c>
      <c r="E763" s="4" t="e" vm="272">
        <f>IF($C763="","",_xlfn.XLOOKUP($C763,Order!$C:$C,Order!$E:$E,"",0,1))</f>
        <v>#VALUE!</v>
      </c>
      <c r="F763" s="4">
        <f>IF($C763="","",_xlfn.XLOOKUP($C763,Order!$C:$C,Order!$F:$F,"",0,1))</f>
        <v>6000</v>
      </c>
      <c r="G763" s="4" t="str">
        <f>IF($C763="","",_xlfn.XLOOKUP($C763,Order!$C:$C,Order!$G:$G,"",0,1))</f>
        <v>6063T5</v>
      </c>
      <c r="H763" s="4">
        <f>IF($C763="","",_xlfn.XLOOKUP($C763,Order!$C:$C,Order!$H:$H,"",0,1))</f>
        <v>0.39100000000000001</v>
      </c>
      <c r="I763" s="36">
        <f>IF($C763="","",_xlfn.XLOOKUP($C763,Order!$C:$C,Order!$K:$K,"",0,1))</f>
        <v>0</v>
      </c>
      <c r="J763" s="4" t="str">
        <f>IF(C763="","",Order!$K$16)</f>
        <v>WHITE POWDER COAT (PE/BA)</v>
      </c>
      <c r="K763" s="36">
        <f>IF($C763="","",_xlfn.XLOOKUP($C763,Order!$C:$C,Order!$P:$P,"",0,1))</f>
        <v>0</v>
      </c>
      <c r="L763" s="4">
        <f t="shared" si="11"/>
        <v>0</v>
      </c>
    </row>
    <row r="764" spans="2:12" ht="23.25" hidden="1" customHeight="1" x14ac:dyDescent="0.25">
      <c r="B764" s="4">
        <v>759</v>
      </c>
      <c r="C764" s="36" t="str">
        <f>IF(Order!$C$85="","",Order!$C$85)</f>
        <v>AF059</v>
      </c>
      <c r="D764" s="36" t="str">
        <f>IF($C764="","",_xlfn.XLOOKUP($C764,Order!$C:$C,Order!$D:$D,"",0,1))</f>
        <v>AF059</v>
      </c>
      <c r="E764" s="4" t="e" vm="273">
        <f>IF($C764="","",_xlfn.XLOOKUP($C764,Order!$C:$C,Order!$E:$E,"",0,1))</f>
        <v>#VALUE!</v>
      </c>
      <c r="F764" s="4">
        <f>IF($C764="","",_xlfn.XLOOKUP($C764,Order!$C:$C,Order!$F:$F,"",0,1))</f>
        <v>6000</v>
      </c>
      <c r="G764" s="4" t="str">
        <f>IF($C764="","",_xlfn.XLOOKUP($C764,Order!$C:$C,Order!$G:$G,"",0,1))</f>
        <v>6063T5</v>
      </c>
      <c r="H764" s="4">
        <f>IF($C764="","",_xlfn.XLOOKUP($C764,Order!$C:$C,Order!$H:$H,"",0,1))</f>
        <v>0.443</v>
      </c>
      <c r="I764" s="36">
        <f>IF($C764="","",_xlfn.XLOOKUP($C764,Order!$C:$C,Order!$K:$K,"",0,1))</f>
        <v>0</v>
      </c>
      <c r="J764" s="4" t="str">
        <f>IF(C764="","",Order!$K$16)</f>
        <v>WHITE POWDER COAT (PE/BA)</v>
      </c>
      <c r="K764" s="36">
        <f>IF($C764="","",_xlfn.XLOOKUP($C764,Order!$C:$C,Order!$P:$P,"",0,1))</f>
        <v>0</v>
      </c>
      <c r="L764" s="4">
        <f t="shared" si="11"/>
        <v>0</v>
      </c>
    </row>
    <row r="765" spans="2:12" ht="23.25" hidden="1" customHeight="1" x14ac:dyDescent="0.25">
      <c r="B765" s="4">
        <v>760</v>
      </c>
      <c r="C765" s="36" t="str">
        <f>IF(Order!$C$86="","",Order!$C$86)</f>
        <v>AF060</v>
      </c>
      <c r="D765" s="36" t="str">
        <f>IF($C765="","",_xlfn.XLOOKUP($C765,Order!$C:$C,Order!$D:$D,"",0,1))</f>
        <v>AF060</v>
      </c>
      <c r="E765" s="4" t="e" vm="274">
        <f>IF($C765="","",_xlfn.XLOOKUP($C765,Order!$C:$C,Order!$E:$E,"",0,1))</f>
        <v>#VALUE!</v>
      </c>
      <c r="F765" s="4">
        <f>IF($C765="","",_xlfn.XLOOKUP($C765,Order!$C:$C,Order!$F:$F,"",0,1))</f>
        <v>6000</v>
      </c>
      <c r="G765" s="4" t="str">
        <f>IF($C765="","",_xlfn.XLOOKUP($C765,Order!$C:$C,Order!$G:$G,"",0,1))</f>
        <v>6063T5</v>
      </c>
      <c r="H765" s="4">
        <f>IF($C765="","",_xlfn.XLOOKUP($C765,Order!$C:$C,Order!$H:$H,"",0,1))</f>
        <v>0.45200000000000001</v>
      </c>
      <c r="I765" s="36">
        <f>IF($C765="","",_xlfn.XLOOKUP($C765,Order!$C:$C,Order!$K:$K,"",0,1))</f>
        <v>0</v>
      </c>
      <c r="J765" s="4" t="str">
        <f>IF(C765="","",Order!$K$16)</f>
        <v>WHITE POWDER COAT (PE/BA)</v>
      </c>
      <c r="K765" s="36">
        <f>IF($C765="","",_xlfn.XLOOKUP($C765,Order!$C:$C,Order!$P:$P,"",0,1))</f>
        <v>0</v>
      </c>
      <c r="L765" s="4">
        <f t="shared" si="11"/>
        <v>0</v>
      </c>
    </row>
    <row r="766" spans="2:12" ht="23.25" hidden="1" customHeight="1" x14ac:dyDescent="0.25">
      <c r="B766" s="4">
        <v>761</v>
      </c>
      <c r="C766" s="36" t="str">
        <f>IF(Order!$C$87="","",Order!$C$87)</f>
        <v>AF061 15E</v>
      </c>
      <c r="D766" s="36" t="str">
        <f>IF($C766="","",_xlfn.XLOOKUP($C766,Order!$C:$C,Order!$D:$D,"",0,1))</f>
        <v>AF 061 15E</v>
      </c>
      <c r="E766" s="4" t="e" vm="275">
        <f>IF($C766="","",_xlfn.XLOOKUP($C766,Order!$C:$C,Order!$E:$E,"",0,1))</f>
        <v>#VALUE!</v>
      </c>
      <c r="F766" s="4">
        <f>IF($C766="","",_xlfn.XLOOKUP($C766,Order!$C:$C,Order!$F:$F,"",0,1))</f>
        <v>6000</v>
      </c>
      <c r="G766" s="4" t="str">
        <f>IF($C766="","",_xlfn.XLOOKUP($C766,Order!$C:$C,Order!$G:$G,"",0,1))</f>
        <v>6063T5</v>
      </c>
      <c r="H766" s="4">
        <f>IF($C766="","",_xlfn.XLOOKUP($C766,Order!$C:$C,Order!$H:$H,"",0,1))</f>
        <v>0.20200000000000001</v>
      </c>
      <c r="I766" s="36">
        <f>IF($C766="","",_xlfn.XLOOKUP($C766,Order!$C:$C,Order!$K:$K,"",0,1))</f>
        <v>0</v>
      </c>
      <c r="J766" s="4" t="str">
        <f>IF(C766="","",Order!$K$16)</f>
        <v>WHITE POWDER COAT (PE/BA)</v>
      </c>
      <c r="K766" s="36">
        <f>IF($C766="","",_xlfn.XLOOKUP($C766,Order!$C:$C,Order!$P:$P,"",0,1))</f>
        <v>0</v>
      </c>
      <c r="L766" s="4">
        <f t="shared" si="11"/>
        <v>0</v>
      </c>
    </row>
    <row r="767" spans="2:12" ht="23.25" hidden="1" customHeight="1" x14ac:dyDescent="0.25">
      <c r="B767" s="4">
        <v>762</v>
      </c>
      <c r="C767" s="36" t="str">
        <f>IF(Order!$C$88="","",Order!$C$88)</f>
        <v>AF061 15</v>
      </c>
      <c r="D767" s="36" t="str">
        <f>IF($C767="","",_xlfn.XLOOKUP($C767,Order!$C:$C,Order!$D:$D,"",0,1))</f>
        <v>AF061 15</v>
      </c>
      <c r="E767" s="4" t="e" vm="276">
        <f>IF($C767="","",_xlfn.XLOOKUP($C767,Order!$C:$C,Order!$E:$E,"",0,1))</f>
        <v>#VALUE!</v>
      </c>
      <c r="F767" s="4">
        <f>IF($C767="","",_xlfn.XLOOKUP($C767,Order!$C:$C,Order!$F:$F,"",0,1))</f>
        <v>6000</v>
      </c>
      <c r="G767" s="4" t="str">
        <f>IF($C767="","",_xlfn.XLOOKUP($C767,Order!$C:$C,Order!$G:$G,"",0,1))</f>
        <v>6063T5</v>
      </c>
      <c r="H767" s="4">
        <f>IF($C767="","",_xlfn.XLOOKUP($C767,Order!$C:$C,Order!$H:$H,"",0,1))</f>
        <v>0.36399999999999999</v>
      </c>
      <c r="I767" s="36">
        <f>IF($C767="","",_xlfn.XLOOKUP($C767,Order!$C:$C,Order!$K:$K,"",0,1))</f>
        <v>0</v>
      </c>
      <c r="J767" s="4" t="str">
        <f>IF(C767="","",Order!$K$16)</f>
        <v>WHITE POWDER COAT (PE/BA)</v>
      </c>
      <c r="K767" s="36">
        <f>IF($C767="","",_xlfn.XLOOKUP($C767,Order!$C:$C,Order!$P:$P,"",0,1))</f>
        <v>0</v>
      </c>
      <c r="L767" s="4">
        <f t="shared" si="11"/>
        <v>0</v>
      </c>
    </row>
    <row r="768" spans="2:12" ht="23.25" hidden="1" customHeight="1" x14ac:dyDescent="0.25">
      <c r="B768" s="4">
        <v>763</v>
      </c>
      <c r="C768" s="36" t="str">
        <f>IF(Order!$C$89="","",Order!$C$89)</f>
        <v>AF061 18</v>
      </c>
      <c r="D768" s="36" t="str">
        <f>IF($C768="","",_xlfn.XLOOKUP($C768,Order!$C:$C,Order!$D:$D,"",0,1))</f>
        <v>AF061 18</v>
      </c>
      <c r="E768" s="4" t="e" vm="277">
        <f>IF($C768="","",_xlfn.XLOOKUP($C768,Order!$C:$C,Order!$E:$E,"",0,1))</f>
        <v>#VALUE!</v>
      </c>
      <c r="F768" s="4">
        <f>IF($C768="","",_xlfn.XLOOKUP($C768,Order!$C:$C,Order!$F:$F,"",0,1))</f>
        <v>6000</v>
      </c>
      <c r="G768" s="4" t="str">
        <f>IF($C768="","",_xlfn.XLOOKUP($C768,Order!$C:$C,Order!$G:$G,"",0,1))</f>
        <v>6063T5</v>
      </c>
      <c r="H768" s="4">
        <f>IF($C768="","",_xlfn.XLOOKUP($C768,Order!$C:$C,Order!$H:$H,"",0,1))</f>
        <v>0</v>
      </c>
      <c r="I768" s="36">
        <f>IF($C768="","",_xlfn.XLOOKUP($C768,Order!$C:$C,Order!$K:$K,"",0,1))</f>
        <v>0</v>
      </c>
      <c r="J768" s="4" t="str">
        <f>IF(C768="","",Order!$K$16)</f>
        <v>WHITE POWDER COAT (PE/BA)</v>
      </c>
      <c r="K768" s="36">
        <f>IF($C768="","",_xlfn.XLOOKUP($C768,Order!$C:$C,Order!$P:$P,"",0,1))</f>
        <v>0</v>
      </c>
      <c r="L768" s="4">
        <f t="shared" si="11"/>
        <v>0</v>
      </c>
    </row>
    <row r="769" spans="2:12" ht="23.25" hidden="1" customHeight="1" x14ac:dyDescent="0.25">
      <c r="B769" s="4">
        <v>764</v>
      </c>
      <c r="C769" s="36" t="str">
        <f>IF(Order!$C$90="","",Order!$C$90)</f>
        <v>AF066</v>
      </c>
      <c r="D769" s="36" t="str">
        <f>IF($C769="","",_xlfn.XLOOKUP($C769,Order!$C:$C,Order!$D:$D,"",0,1))</f>
        <v>AF066</v>
      </c>
      <c r="E769" s="4" t="e" vm="278">
        <f>IF($C769="","",_xlfn.XLOOKUP($C769,Order!$C:$C,Order!$E:$E,"",0,1))</f>
        <v>#VALUE!</v>
      </c>
      <c r="F769" s="4">
        <f>IF($C769="","",_xlfn.XLOOKUP($C769,Order!$C:$C,Order!$F:$F,"",0,1))</f>
        <v>6000</v>
      </c>
      <c r="G769" s="4" t="str">
        <f>IF($C769="","",_xlfn.XLOOKUP($C769,Order!$C:$C,Order!$G:$G,"",0,1))</f>
        <v>6063T5</v>
      </c>
      <c r="H769" s="4">
        <f>IF($C769="","",_xlfn.XLOOKUP($C769,Order!$C:$C,Order!$H:$H,"",0,1))</f>
        <v>0</v>
      </c>
      <c r="I769" s="36">
        <f>IF($C769="","",_xlfn.XLOOKUP($C769,Order!$C:$C,Order!$K:$K,"",0,1))</f>
        <v>0</v>
      </c>
      <c r="J769" s="4" t="str">
        <f>IF(C769="","",Order!$K$16)</f>
        <v>WHITE POWDER COAT (PE/BA)</v>
      </c>
      <c r="K769" s="36">
        <f>IF($C769="","",_xlfn.XLOOKUP($C769,Order!$C:$C,Order!$P:$P,"",0,1))</f>
        <v>0</v>
      </c>
      <c r="L769" s="4">
        <f t="shared" si="11"/>
        <v>0</v>
      </c>
    </row>
    <row r="770" spans="2:12" ht="23.25" hidden="1" customHeight="1" x14ac:dyDescent="0.25">
      <c r="B770" s="4">
        <v>765</v>
      </c>
      <c r="C770" s="36" t="str">
        <f>IF(Order!$C$91="","",Order!$C$91)</f>
        <v>AFY-15</v>
      </c>
      <c r="D770" s="36" t="str">
        <f>IF($C770="","",_xlfn.XLOOKUP($C770,Order!$C:$C,Order!$D:$D,"",0,1))</f>
        <v>AFY-15</v>
      </c>
      <c r="E770" s="4" t="e" vm="279">
        <f>IF($C770="","",_xlfn.XLOOKUP($C770,Order!$C:$C,Order!$E:$E,"",0,1))</f>
        <v>#VALUE!</v>
      </c>
      <c r="F770" s="4">
        <f>IF($C770="","",_xlfn.XLOOKUP($C770,Order!$C:$C,Order!$F:$F,"",0,1))</f>
        <v>6000</v>
      </c>
      <c r="G770" s="4" t="str">
        <f>IF($C770="","",_xlfn.XLOOKUP($C770,Order!$C:$C,Order!$G:$G,"",0,1))</f>
        <v>6063T5</v>
      </c>
      <c r="H770" s="4">
        <f>IF($C770="","",_xlfn.XLOOKUP($C770,Order!$C:$C,Order!$H:$H,"",0,1))</f>
        <v>0.308</v>
      </c>
      <c r="I770" s="36">
        <f>IF($C770="","",_xlfn.XLOOKUP($C770,Order!$C:$C,Order!$K:$K,"",0,1))</f>
        <v>0</v>
      </c>
      <c r="J770" s="4" t="str">
        <f>IF(C770="","",Order!$K$16)</f>
        <v>WHITE POWDER COAT (PE/BA)</v>
      </c>
      <c r="K770" s="36">
        <f>IF($C770="","",_xlfn.XLOOKUP($C770,Order!$C:$C,Order!$P:$P,"",0,1))</f>
        <v>0</v>
      </c>
      <c r="L770" s="4">
        <f t="shared" si="11"/>
        <v>0</v>
      </c>
    </row>
    <row r="771" spans="2:12" ht="23.25" hidden="1" customHeight="1" x14ac:dyDescent="0.25">
      <c r="B771" s="4">
        <v>766</v>
      </c>
      <c r="C771" s="36" t="str">
        <f>IF(Order!$C$92="","",Order!$C$92)</f>
        <v>BX275</v>
      </c>
      <c r="D771" s="36" t="str">
        <f>IF($C771="","",_xlfn.XLOOKUP($C771,Order!$C:$C,Order!$D:$D,"",0,1))</f>
        <v>BX275</v>
      </c>
      <c r="E771" s="4" t="e" vm="280">
        <f>IF($C771="","",_xlfn.XLOOKUP($C771,Order!$C:$C,Order!$E:$E,"",0,1))</f>
        <v>#VALUE!</v>
      </c>
      <c r="F771" s="4">
        <f>IF($C771="","",_xlfn.XLOOKUP($C771,Order!$C:$C,Order!$F:$F,"",0,1))</f>
        <v>6000</v>
      </c>
      <c r="G771" s="4" t="str">
        <f>IF($C771="","",_xlfn.XLOOKUP($C771,Order!$C:$C,Order!$G:$G,"",0,1))</f>
        <v>6063T5</v>
      </c>
      <c r="H771" s="4">
        <f>IF($C771="","",_xlfn.XLOOKUP($C771,Order!$C:$C,Order!$H:$H,"",0,1))</f>
        <v>0.72299999999999998</v>
      </c>
      <c r="I771" s="36">
        <f>IF($C771="","",_xlfn.XLOOKUP($C771,Order!$C:$C,Order!$K:$K,"",0,1))</f>
        <v>0</v>
      </c>
      <c r="J771" s="4" t="str">
        <f>IF(C771="","",Order!$K$16)</f>
        <v>WHITE POWDER COAT (PE/BA)</v>
      </c>
      <c r="K771" s="36">
        <f>IF($C771="","",_xlfn.XLOOKUP($C771,Order!$C:$C,Order!$P:$P,"",0,1))</f>
        <v>0</v>
      </c>
      <c r="L771" s="4">
        <f t="shared" si="11"/>
        <v>0</v>
      </c>
    </row>
    <row r="772" spans="2:12" ht="23.25" hidden="1" customHeight="1" x14ac:dyDescent="0.25">
      <c r="B772" s="4">
        <v>767</v>
      </c>
      <c r="C772" s="36" t="str">
        <f>IF(Order!$C$93="","",Order!$C$93)</f>
        <v>DV021</v>
      </c>
      <c r="D772" s="36" t="str">
        <f>IF($C772="","",_xlfn.XLOOKUP($C772,Order!$C:$C,Order!$D:$D,"",0,1))</f>
        <v>DV021</v>
      </c>
      <c r="E772" s="4" t="e" vm="281">
        <f>IF($C772="","",_xlfn.XLOOKUP($C772,Order!$C:$C,Order!$E:$E,"",0,1))</f>
        <v>#VALUE!</v>
      </c>
      <c r="F772" s="4">
        <f>IF($C772="","",_xlfn.XLOOKUP($C772,Order!$C:$C,Order!$F:$F,"",0,1))</f>
        <v>6000</v>
      </c>
      <c r="G772" s="4" t="str">
        <f>IF($C772="","",_xlfn.XLOOKUP($C772,Order!$C:$C,Order!$G:$G,"",0,1))</f>
        <v>6063T5</v>
      </c>
      <c r="H772" s="4">
        <f>IF($C772="","",_xlfn.XLOOKUP($C772,Order!$C:$C,Order!$H:$H,"",0,1))</f>
        <v>0.32800000000000001</v>
      </c>
      <c r="I772" s="36">
        <f>IF($C772="","",_xlfn.XLOOKUP($C772,Order!$C:$C,Order!$K:$K,"",0,1))</f>
        <v>0</v>
      </c>
      <c r="J772" s="4" t="str">
        <f>IF(C772="","",Order!$K$16)</f>
        <v>WHITE POWDER COAT (PE/BA)</v>
      </c>
      <c r="K772" s="36">
        <f>IF($C772="","",_xlfn.XLOOKUP($C772,Order!$C:$C,Order!$P:$P,"",0,1))</f>
        <v>0</v>
      </c>
      <c r="L772" s="4">
        <f t="shared" si="11"/>
        <v>0</v>
      </c>
    </row>
    <row r="773" spans="2:12" ht="23.25" hidden="1" customHeight="1" x14ac:dyDescent="0.25">
      <c r="B773" s="4">
        <v>768</v>
      </c>
      <c r="C773" s="36" t="str">
        <f>IF(Order!$C$94="","",Order!$C$94)</f>
        <v>DV021A</v>
      </c>
      <c r="D773" s="36" t="str">
        <f>IF($C773="","",_xlfn.XLOOKUP($C773,Order!$C:$C,Order!$D:$D,"",0,1))</f>
        <v>DV021A</v>
      </c>
      <c r="E773" s="4" t="e" vm="282">
        <f>IF($C773="","",_xlfn.XLOOKUP($C773,Order!$C:$C,Order!$E:$E,"",0,1))</f>
        <v>#VALUE!</v>
      </c>
      <c r="F773" s="4">
        <f>IF($C773="","",_xlfn.XLOOKUP($C773,Order!$C:$C,Order!$F:$F,"",0,1))</f>
        <v>6000</v>
      </c>
      <c r="G773" s="4" t="str">
        <f>IF($C773="","",_xlfn.XLOOKUP($C773,Order!$C:$C,Order!$G:$G,"",0,1))</f>
        <v>6063T5</v>
      </c>
      <c r="H773" s="4">
        <f>IF($C773="","",_xlfn.XLOOKUP($C773,Order!$C:$C,Order!$H:$H,"",0,1))</f>
        <v>0.317</v>
      </c>
      <c r="I773" s="36">
        <f>IF($C773="","",_xlfn.XLOOKUP($C773,Order!$C:$C,Order!$K:$K,"",0,1))</f>
        <v>0</v>
      </c>
      <c r="J773" s="4" t="str">
        <f>IF(C773="","",Order!$K$16)</f>
        <v>WHITE POWDER COAT (PE/BA)</v>
      </c>
      <c r="K773" s="36">
        <f>IF($C773="","",_xlfn.XLOOKUP($C773,Order!$C:$C,Order!$P:$P,"",0,1))</f>
        <v>0</v>
      </c>
      <c r="L773" s="4">
        <f t="shared" si="11"/>
        <v>0</v>
      </c>
    </row>
    <row r="774" spans="2:12" ht="23.25" hidden="1" customHeight="1" x14ac:dyDescent="0.25">
      <c r="B774" s="4">
        <v>769</v>
      </c>
      <c r="C774" s="36" t="str">
        <f>IF(Order!$C$95="","",Order!$C$95)</f>
        <v>DV022</v>
      </c>
      <c r="D774" s="36" t="str">
        <f>IF($C774="","",_xlfn.XLOOKUP($C774,Order!$C:$C,Order!$D:$D,"",0,1))</f>
        <v>DV022</v>
      </c>
      <c r="E774" s="4" t="e" vm="283">
        <f>IF($C774="","",_xlfn.XLOOKUP($C774,Order!$C:$C,Order!$E:$E,"",0,1))</f>
        <v>#VALUE!</v>
      </c>
      <c r="F774" s="4">
        <f>IF($C774="","",_xlfn.XLOOKUP($C774,Order!$C:$C,Order!$F:$F,"",0,1))</f>
        <v>6000</v>
      </c>
      <c r="G774" s="4" t="str">
        <f>IF($C774="","",_xlfn.XLOOKUP($C774,Order!$C:$C,Order!$G:$G,"",0,1))</f>
        <v>6063T5</v>
      </c>
      <c r="H774" s="4">
        <f>IF($C774="","",_xlfn.XLOOKUP($C774,Order!$C:$C,Order!$H:$H,"",0,1))</f>
        <v>0.32400000000000001</v>
      </c>
      <c r="I774" s="36">
        <f>IF($C774="","",_xlfn.XLOOKUP($C774,Order!$C:$C,Order!$K:$K,"",0,1))</f>
        <v>0</v>
      </c>
      <c r="J774" s="4" t="str">
        <f>IF(C774="","",Order!$K$16)</f>
        <v>WHITE POWDER COAT (PE/BA)</v>
      </c>
      <c r="K774" s="36">
        <f>IF($C774="","",_xlfn.XLOOKUP($C774,Order!$C:$C,Order!$P:$P,"",0,1))</f>
        <v>0</v>
      </c>
      <c r="L774" s="4">
        <f t="shared" si="11"/>
        <v>0</v>
      </c>
    </row>
    <row r="775" spans="2:12" ht="23.25" hidden="1" customHeight="1" x14ac:dyDescent="0.25">
      <c r="B775" s="4">
        <v>770</v>
      </c>
      <c r="C775" s="36" t="str">
        <f>IF(Order!$C$96="","",Order!$C$96)</f>
        <v>DV185</v>
      </c>
      <c r="D775" s="36" t="str">
        <f>IF($C775="","",_xlfn.XLOOKUP($C775,Order!$C:$C,Order!$D:$D,"",0,1))</f>
        <v>DV185</v>
      </c>
      <c r="E775" s="4" t="e" vm="284">
        <f>IF($C775="","",_xlfn.XLOOKUP($C775,Order!$C:$C,Order!$E:$E,"",0,1))</f>
        <v>#VALUE!</v>
      </c>
      <c r="F775" s="4">
        <f>IF($C775="","",_xlfn.XLOOKUP($C775,Order!$C:$C,Order!$F:$F,"",0,1))</f>
        <v>6000</v>
      </c>
      <c r="G775" s="4" t="str">
        <f>IF($C775="","",_xlfn.XLOOKUP($C775,Order!$C:$C,Order!$G:$G,"",0,1))</f>
        <v>6063T5</v>
      </c>
      <c r="H775" s="4">
        <f>IF($C775="","",_xlfn.XLOOKUP($C775,Order!$C:$C,Order!$H:$H,"",0,1))</f>
        <v>0.34499999999999997</v>
      </c>
      <c r="I775" s="36">
        <f>IF($C775="","",_xlfn.XLOOKUP($C775,Order!$C:$C,Order!$K:$K,"",0,1))</f>
        <v>0</v>
      </c>
      <c r="J775" s="4" t="str">
        <f>IF(C775="","",Order!$K$16)</f>
        <v>WHITE POWDER COAT (PE/BA)</v>
      </c>
      <c r="K775" s="36">
        <f>IF($C775="","",_xlfn.XLOOKUP($C775,Order!$C:$C,Order!$P:$P,"",0,1))</f>
        <v>0</v>
      </c>
      <c r="L775" s="4">
        <f t="shared" ref="L775:L838" si="12">IF(C775="","",F775/1000*H775*I775)</f>
        <v>0</v>
      </c>
    </row>
    <row r="776" spans="2:12" ht="23.25" hidden="1" customHeight="1" x14ac:dyDescent="0.25">
      <c r="B776" s="4">
        <v>771</v>
      </c>
      <c r="C776" s="36" t="str">
        <f>IF(Order!$C$97="","",Order!$C$97)</f>
        <v>DV389</v>
      </c>
      <c r="D776" s="36" t="str">
        <f>IF($C776="","",_xlfn.XLOOKUP($C776,Order!$C:$C,Order!$D:$D,"",0,1))</f>
        <v>DV389</v>
      </c>
      <c r="E776" s="4" t="e" vm="285">
        <f>IF($C776="","",_xlfn.XLOOKUP($C776,Order!$C:$C,Order!$E:$E,"",0,1))</f>
        <v>#VALUE!</v>
      </c>
      <c r="F776" s="4">
        <f>IF($C776="","",_xlfn.XLOOKUP($C776,Order!$C:$C,Order!$F:$F,"",0,1))</f>
        <v>6000</v>
      </c>
      <c r="G776" s="4" t="str">
        <f>IF($C776="","",_xlfn.XLOOKUP($C776,Order!$C:$C,Order!$G:$G,"",0,1))</f>
        <v>6063T5</v>
      </c>
      <c r="H776" s="4">
        <f>IF($C776="","",_xlfn.XLOOKUP($C776,Order!$C:$C,Order!$H:$H,"",0,1))</f>
        <v>0.79700000000000004</v>
      </c>
      <c r="I776" s="36">
        <f>IF($C776="","",_xlfn.XLOOKUP($C776,Order!$C:$C,Order!$K:$K,"",0,1))</f>
        <v>0</v>
      </c>
      <c r="J776" s="4" t="str">
        <f>IF(C776="","",Order!$K$16)</f>
        <v>WHITE POWDER COAT (PE/BA)</v>
      </c>
      <c r="K776" s="36">
        <f>IF($C776="","",_xlfn.XLOOKUP($C776,Order!$C:$C,Order!$P:$P,"",0,1))</f>
        <v>0</v>
      </c>
      <c r="L776" s="4">
        <f t="shared" si="12"/>
        <v>0</v>
      </c>
    </row>
    <row r="777" spans="2:12" ht="23.25" hidden="1" customHeight="1" x14ac:dyDescent="0.25">
      <c r="B777" s="4">
        <v>772</v>
      </c>
      <c r="C777" s="36" t="str">
        <f>IF(Order!$C$98="","",Order!$C$98)</f>
        <v>BX628</v>
      </c>
      <c r="D777" s="36" t="str">
        <f>IF($C777="","",_xlfn.XLOOKUP($C777,Order!$C:$C,Order!$D:$D,"",0,1))</f>
        <v>BX628</v>
      </c>
      <c r="E777" s="4" t="e" vm="286">
        <f>IF($C777="","",_xlfn.XLOOKUP($C777,Order!$C:$C,Order!$E:$E,"",0,1))</f>
        <v>#VALUE!</v>
      </c>
      <c r="F777" s="4">
        <f>IF($C777="","",_xlfn.XLOOKUP($C777,Order!$C:$C,Order!$F:$F,"",0,1))</f>
        <v>6000</v>
      </c>
      <c r="G777" s="4" t="str">
        <f>IF($C777="","",_xlfn.XLOOKUP($C777,Order!$C:$C,Order!$G:$G,"",0,1))</f>
        <v>6063T5</v>
      </c>
      <c r="H777" s="4">
        <f>IF($C777="","",_xlfn.XLOOKUP($C777,Order!$C:$C,Order!$H:$H,"",0,1))</f>
        <v>0.42199999999999999</v>
      </c>
      <c r="I777" s="36">
        <f>IF($C777="","",_xlfn.XLOOKUP($C777,Order!$C:$C,Order!$K:$K,"",0,1))</f>
        <v>0</v>
      </c>
      <c r="J777" s="4" t="str">
        <f>IF(C777="","",Order!$K$16)</f>
        <v>WHITE POWDER COAT (PE/BA)</v>
      </c>
      <c r="K777" s="36">
        <f>IF($C777="","",_xlfn.XLOOKUP($C777,Order!$C:$C,Order!$P:$P,"",0,1))</f>
        <v>0</v>
      </c>
      <c r="L777" s="4">
        <f t="shared" si="12"/>
        <v>0</v>
      </c>
    </row>
    <row r="778" spans="2:12" ht="23.25" hidden="1" customHeight="1" x14ac:dyDescent="0.25">
      <c r="B778" s="4">
        <v>773</v>
      </c>
      <c r="C778" s="36" t="str">
        <f>IF(Order!$C$99="","",Order!$C$99)</f>
        <v>BX705</v>
      </c>
      <c r="D778" s="36" t="str">
        <f>IF($C778="","",_xlfn.XLOOKUP($C778,Order!$C:$C,Order!$D:$D,"",0,1))</f>
        <v>BX705</v>
      </c>
      <c r="E778" s="4" t="e" vm="287">
        <f>IF($C778="","",_xlfn.XLOOKUP($C778,Order!$C:$C,Order!$E:$E,"",0,1))</f>
        <v>#VALUE!</v>
      </c>
      <c r="F778" s="4">
        <f>IF($C778="","",_xlfn.XLOOKUP($C778,Order!$C:$C,Order!$F:$F,"",0,1))</f>
        <v>6000</v>
      </c>
      <c r="G778" s="4" t="str">
        <f>IF($C778="","",_xlfn.XLOOKUP($C778,Order!$C:$C,Order!$G:$G,"",0,1))</f>
        <v>6063T5</v>
      </c>
      <c r="H778" s="4">
        <f>IF($C778="","",_xlfn.XLOOKUP($C778,Order!$C:$C,Order!$H:$H,"",0,1))</f>
        <v>0.21199999999999999</v>
      </c>
      <c r="I778" s="36">
        <f>IF($C778="","",_xlfn.XLOOKUP($C778,Order!$C:$C,Order!$K:$K,"",0,1))</f>
        <v>0</v>
      </c>
      <c r="J778" s="4" t="str">
        <f>IF(C778="","",Order!$K$16)</f>
        <v>WHITE POWDER COAT (PE/BA)</v>
      </c>
      <c r="K778" s="36">
        <f>IF($C778="","",_xlfn.XLOOKUP($C778,Order!$C:$C,Order!$P:$P,"",0,1))</f>
        <v>0</v>
      </c>
      <c r="L778" s="4">
        <f t="shared" si="12"/>
        <v>0</v>
      </c>
    </row>
    <row r="779" spans="2:12" ht="23.25" hidden="1" customHeight="1" x14ac:dyDescent="0.25">
      <c r="B779" s="4">
        <v>774</v>
      </c>
      <c r="C779" s="36" t="str">
        <f>IF(Order!$C$100="","",Order!$C$100)</f>
        <v>BX818</v>
      </c>
      <c r="D779" s="36" t="str">
        <f>IF($C779="","",_xlfn.XLOOKUP($C779,Order!$C:$C,Order!$D:$D,"",0,1))</f>
        <v>BX818</v>
      </c>
      <c r="E779" s="4" t="e" vm="288">
        <f>IF($C779="","",_xlfn.XLOOKUP($C779,Order!$C:$C,Order!$E:$E,"",0,1))</f>
        <v>#VALUE!</v>
      </c>
      <c r="F779" s="4">
        <f>IF($C779="","",_xlfn.XLOOKUP($C779,Order!$C:$C,Order!$F:$F,"",0,1))</f>
        <v>6000</v>
      </c>
      <c r="G779" s="4" t="str">
        <f>IF($C779="","",_xlfn.XLOOKUP($C779,Order!$C:$C,Order!$G:$G,"",0,1))</f>
        <v>6063T5</v>
      </c>
      <c r="H779" s="4">
        <f>IF($C779="","",_xlfn.XLOOKUP($C779,Order!$C:$C,Order!$H:$H,"",0,1))</f>
        <v>0</v>
      </c>
      <c r="I779" s="36">
        <f>IF($C779="","",_xlfn.XLOOKUP($C779,Order!$C:$C,Order!$K:$K,"",0,1))</f>
        <v>0</v>
      </c>
      <c r="J779" s="4" t="str">
        <f>IF(C779="","",Order!$K$16)</f>
        <v>WHITE POWDER COAT (PE/BA)</v>
      </c>
      <c r="K779" s="36">
        <f>IF($C779="","",_xlfn.XLOOKUP($C779,Order!$C:$C,Order!$P:$P,"",0,1))</f>
        <v>0</v>
      </c>
      <c r="L779" s="4">
        <f t="shared" si="12"/>
        <v>0</v>
      </c>
    </row>
    <row r="780" spans="2:12" ht="23.25" hidden="1" customHeight="1" x14ac:dyDescent="0.25">
      <c r="B780" s="4">
        <v>775</v>
      </c>
      <c r="C780" s="36" t="str">
        <f>IF(Order!$C$101="","",Order!$C$101)</f>
        <v>BX819</v>
      </c>
      <c r="D780" s="36" t="str">
        <f>IF($C780="","",_xlfn.XLOOKUP($C780,Order!$C:$C,Order!$D:$D,"",0,1))</f>
        <v>BX819</v>
      </c>
      <c r="E780" s="4" t="e" vm="289">
        <f>IF($C780="","",_xlfn.XLOOKUP($C780,Order!$C:$C,Order!$E:$E,"",0,1))</f>
        <v>#VALUE!</v>
      </c>
      <c r="F780" s="4">
        <f>IF($C780="","",_xlfn.XLOOKUP($C780,Order!$C:$C,Order!$F:$F,"",0,1))</f>
        <v>6000</v>
      </c>
      <c r="G780" s="4" t="str">
        <f>IF($C780="","",_xlfn.XLOOKUP($C780,Order!$C:$C,Order!$G:$G,"",0,1))</f>
        <v>6063T5</v>
      </c>
      <c r="H780" s="4">
        <f>IF($C780="","",_xlfn.XLOOKUP($C780,Order!$C:$C,Order!$H:$H,"",0,1))</f>
        <v>0.216</v>
      </c>
      <c r="I780" s="36">
        <f>IF($C780="","",_xlfn.XLOOKUP($C780,Order!$C:$C,Order!$K:$K,"",0,1))</f>
        <v>0</v>
      </c>
      <c r="J780" s="4" t="str">
        <f>IF(C780="","",Order!$K$16)</f>
        <v>WHITE POWDER COAT (PE/BA)</v>
      </c>
      <c r="K780" s="36">
        <f>IF($C780="","",_xlfn.XLOOKUP($C780,Order!$C:$C,Order!$P:$P,"",0,1))</f>
        <v>0</v>
      </c>
      <c r="L780" s="4">
        <f t="shared" si="12"/>
        <v>0</v>
      </c>
    </row>
    <row r="781" spans="2:12" ht="23.25" hidden="1" customHeight="1" x14ac:dyDescent="0.25">
      <c r="B781" s="4">
        <v>776</v>
      </c>
      <c r="C781" s="36" t="str">
        <f>IF(Order!$C$102="","",Order!$C$102)</f>
        <v>BX820</v>
      </c>
      <c r="D781" s="36" t="str">
        <f>IF($C781="","",_xlfn.XLOOKUP($C781,Order!$C:$C,Order!$D:$D,"",0,1))</f>
        <v>BX820</v>
      </c>
      <c r="E781" s="4" t="e" vm="290">
        <f>IF($C781="","",_xlfn.XLOOKUP($C781,Order!$C:$C,Order!$E:$E,"",0,1))</f>
        <v>#VALUE!</v>
      </c>
      <c r="F781" s="4">
        <f>IF($C781="","",_xlfn.XLOOKUP($C781,Order!$C:$C,Order!$F:$F,"",0,1))</f>
        <v>6000</v>
      </c>
      <c r="G781" s="4" t="str">
        <f>IF($C781="","",_xlfn.XLOOKUP($C781,Order!$C:$C,Order!$G:$G,"",0,1))</f>
        <v>6063T5</v>
      </c>
      <c r="H781" s="4">
        <f>IF($C781="","",_xlfn.XLOOKUP($C781,Order!$C:$C,Order!$H:$H,"",0,1))</f>
        <v>0.74299999999999999</v>
      </c>
      <c r="I781" s="36">
        <f>IF($C781="","",_xlfn.XLOOKUP($C781,Order!$C:$C,Order!$K:$K,"",0,1))</f>
        <v>0</v>
      </c>
      <c r="J781" s="4" t="str">
        <f>IF(C781="","",Order!$K$16)</f>
        <v>WHITE POWDER COAT (PE/BA)</v>
      </c>
      <c r="K781" s="36">
        <f>IF($C781="","",_xlfn.XLOOKUP($C781,Order!$C:$C,Order!$P:$P,"",0,1))</f>
        <v>0</v>
      </c>
      <c r="L781" s="4">
        <f t="shared" si="12"/>
        <v>0</v>
      </c>
    </row>
    <row r="782" spans="2:12" ht="23.25" hidden="1" customHeight="1" x14ac:dyDescent="0.25">
      <c r="B782" s="4">
        <v>777</v>
      </c>
      <c r="C782" s="36" t="str">
        <f>IF(Order!$C$103="","",Order!$C$103)</f>
        <v>BX838</v>
      </c>
      <c r="D782" s="36" t="str">
        <f>IF($C782="","",_xlfn.XLOOKUP($C782,Order!$C:$C,Order!$D:$D,"",0,1))</f>
        <v>BX838</v>
      </c>
      <c r="E782" s="4" t="e" vm="291">
        <f>IF($C782="","",_xlfn.XLOOKUP($C782,Order!$C:$C,Order!$E:$E,"",0,1))</f>
        <v>#VALUE!</v>
      </c>
      <c r="F782" s="4">
        <f>IF($C782="","",_xlfn.XLOOKUP($C782,Order!$C:$C,Order!$F:$F,"",0,1))</f>
        <v>6000</v>
      </c>
      <c r="G782" s="4" t="str">
        <f>IF($C782="","",_xlfn.XLOOKUP($C782,Order!$C:$C,Order!$G:$G,"",0,1))</f>
        <v>6063T5</v>
      </c>
      <c r="H782" s="4">
        <f>IF($C782="","",_xlfn.XLOOKUP($C782,Order!$C:$C,Order!$H:$H,"",0,1))</f>
        <v>0.26800000000000002</v>
      </c>
      <c r="I782" s="36">
        <f>IF($C782="","",_xlfn.XLOOKUP($C782,Order!$C:$C,Order!$K:$K,"",0,1))</f>
        <v>0</v>
      </c>
      <c r="J782" s="4" t="str">
        <f>IF(C782="","",Order!$K$16)</f>
        <v>WHITE POWDER COAT (PE/BA)</v>
      </c>
      <c r="K782" s="36">
        <f>IF($C782="","",_xlfn.XLOOKUP($C782,Order!$C:$C,Order!$P:$P,"",0,1))</f>
        <v>0</v>
      </c>
      <c r="L782" s="4">
        <f t="shared" si="12"/>
        <v>0</v>
      </c>
    </row>
    <row r="783" spans="2:12" ht="23.25" hidden="1" customHeight="1" x14ac:dyDescent="0.25">
      <c r="B783" s="4">
        <v>778</v>
      </c>
      <c r="C783" s="36" t="str">
        <f>IF(Order!$C$104="","",Order!$C$104)</f>
        <v>BX855</v>
      </c>
      <c r="D783" s="36" t="str">
        <f>IF($C783="","",_xlfn.XLOOKUP($C783,Order!$C:$C,Order!$D:$D,"",0,1))</f>
        <v>BX855</v>
      </c>
      <c r="E783" s="4" t="e" vm="292">
        <f>IF($C783="","",_xlfn.XLOOKUP($C783,Order!$C:$C,Order!$E:$E,"",0,1))</f>
        <v>#VALUE!</v>
      </c>
      <c r="F783" s="4">
        <f>IF($C783="","",_xlfn.XLOOKUP($C783,Order!$C:$C,Order!$F:$F,"",0,1))</f>
        <v>6000</v>
      </c>
      <c r="G783" s="4" t="str">
        <f>IF($C783="","",_xlfn.XLOOKUP($C783,Order!$C:$C,Order!$G:$G,"",0,1))</f>
        <v>6063T5</v>
      </c>
      <c r="H783" s="4">
        <f>IF($C783="","",_xlfn.XLOOKUP($C783,Order!$C:$C,Order!$H:$H,"",0,1))</f>
        <v>0.34599999999999997</v>
      </c>
      <c r="I783" s="36">
        <f>IF($C783="","",_xlfn.XLOOKUP($C783,Order!$C:$C,Order!$K:$K,"",0,1))</f>
        <v>0</v>
      </c>
      <c r="J783" s="4" t="str">
        <f>IF(C783="","",Order!$K$16)</f>
        <v>WHITE POWDER COAT (PE/BA)</v>
      </c>
      <c r="K783" s="36">
        <f>IF($C783="","",_xlfn.XLOOKUP($C783,Order!$C:$C,Order!$P:$P,"",0,1))</f>
        <v>0</v>
      </c>
      <c r="L783" s="4">
        <f t="shared" si="12"/>
        <v>0</v>
      </c>
    </row>
    <row r="784" spans="2:12" ht="23.25" hidden="1" customHeight="1" x14ac:dyDescent="0.25">
      <c r="B784" s="4">
        <v>779</v>
      </c>
      <c r="C784" s="36" t="str">
        <f>IF(Order!$C$105="","",Order!$C$105)</f>
        <v>BX952</v>
      </c>
      <c r="D784" s="36" t="str">
        <f>IF($C784="","",_xlfn.XLOOKUP($C784,Order!$C:$C,Order!$D:$D,"",0,1))</f>
        <v>BX952</v>
      </c>
      <c r="E784" s="4" t="e" vm="293">
        <f>IF($C784="","",_xlfn.XLOOKUP($C784,Order!$C:$C,Order!$E:$E,"",0,1))</f>
        <v>#VALUE!</v>
      </c>
      <c r="F784" s="4">
        <f>IF($C784="","",_xlfn.XLOOKUP($C784,Order!$C:$C,Order!$F:$F,"",0,1))</f>
        <v>6000</v>
      </c>
      <c r="G784" s="4" t="str">
        <f>IF($C784="","",_xlfn.XLOOKUP($C784,Order!$C:$C,Order!$G:$G,"",0,1))</f>
        <v>6063T5</v>
      </c>
      <c r="H784" s="4">
        <f>IF($C784="","",_xlfn.XLOOKUP($C784,Order!$C:$C,Order!$H:$H,"",0,1))</f>
        <v>0.22900000000000001</v>
      </c>
      <c r="I784" s="36">
        <f>IF($C784="","",_xlfn.XLOOKUP($C784,Order!$C:$C,Order!$K:$K,"",0,1))</f>
        <v>0</v>
      </c>
      <c r="J784" s="4" t="str">
        <f>IF(C784="","",Order!$K$16)</f>
        <v>WHITE POWDER COAT (PE/BA)</v>
      </c>
      <c r="K784" s="36">
        <f>IF($C784="","",_xlfn.XLOOKUP($C784,Order!$C:$C,Order!$P:$P,"",0,1))</f>
        <v>0</v>
      </c>
      <c r="L784" s="4">
        <f t="shared" si="12"/>
        <v>0</v>
      </c>
    </row>
    <row r="785" spans="2:12" ht="23.25" hidden="1" customHeight="1" x14ac:dyDescent="0.25">
      <c r="B785" s="4">
        <v>780</v>
      </c>
      <c r="C785" s="36" t="str">
        <f>IF(Order!$C$106="","",Order!$C$106)</f>
        <v>BX954</v>
      </c>
      <c r="D785" s="36" t="str">
        <f>IF($C785="","",_xlfn.XLOOKUP($C785,Order!$C:$C,Order!$D:$D,"",0,1))</f>
        <v>BX954</v>
      </c>
      <c r="E785" s="4" t="e" vm="294">
        <f>IF($C785="","",_xlfn.XLOOKUP($C785,Order!$C:$C,Order!$E:$E,"",0,1))</f>
        <v>#VALUE!</v>
      </c>
      <c r="F785" s="4">
        <f>IF($C785="","",_xlfn.XLOOKUP($C785,Order!$C:$C,Order!$F:$F,"",0,1))</f>
        <v>6000</v>
      </c>
      <c r="G785" s="4" t="str">
        <f>IF($C785="","",_xlfn.XLOOKUP($C785,Order!$C:$C,Order!$G:$G,"",0,1))</f>
        <v>6063T5</v>
      </c>
      <c r="H785" s="4">
        <f>IF($C785="","",_xlfn.XLOOKUP($C785,Order!$C:$C,Order!$H:$H,"",0,1))</f>
        <v>0.47199999999999998</v>
      </c>
      <c r="I785" s="36">
        <f>IF($C785="","",_xlfn.XLOOKUP($C785,Order!$C:$C,Order!$K:$K,"",0,1))</f>
        <v>0</v>
      </c>
      <c r="J785" s="4" t="str">
        <f>IF(C785="","",Order!$K$16)</f>
        <v>WHITE POWDER COAT (PE/BA)</v>
      </c>
      <c r="K785" s="36">
        <f>IF($C785="","",_xlfn.XLOOKUP($C785,Order!$C:$C,Order!$P:$P,"",0,1))</f>
        <v>0</v>
      </c>
      <c r="L785" s="4">
        <f t="shared" si="12"/>
        <v>0</v>
      </c>
    </row>
    <row r="786" spans="2:12" ht="23.25" hidden="1" customHeight="1" x14ac:dyDescent="0.25">
      <c r="B786" s="4">
        <v>781</v>
      </c>
      <c r="C786" s="36" t="str">
        <f>IF(Order!$C$107="","",Order!$C$107)</f>
        <v>BX955</v>
      </c>
      <c r="D786" s="36" t="str">
        <f>IF($C786="","",_xlfn.XLOOKUP($C786,Order!$C:$C,Order!$D:$D,"",0,1))</f>
        <v>BX955</v>
      </c>
      <c r="E786" s="4" t="e" vm="295">
        <f>IF($C786="","",_xlfn.XLOOKUP($C786,Order!$C:$C,Order!$E:$E,"",0,1))</f>
        <v>#VALUE!</v>
      </c>
      <c r="F786" s="4">
        <f>IF($C786="","",_xlfn.XLOOKUP($C786,Order!$C:$C,Order!$F:$F,"",0,1))</f>
        <v>6000</v>
      </c>
      <c r="G786" s="4" t="str">
        <f>IF($C786="","",_xlfn.XLOOKUP($C786,Order!$C:$C,Order!$G:$G,"",0,1))</f>
        <v>6063T5</v>
      </c>
      <c r="H786" s="4">
        <f>IF($C786="","",_xlfn.XLOOKUP($C786,Order!$C:$C,Order!$H:$H,"",0,1))</f>
        <v>0.18</v>
      </c>
      <c r="I786" s="36">
        <f>IF($C786="","",_xlfn.XLOOKUP($C786,Order!$C:$C,Order!$K:$K,"",0,1))</f>
        <v>0</v>
      </c>
      <c r="J786" s="4" t="str">
        <f>IF(C786="","",Order!$K$16)</f>
        <v>WHITE POWDER COAT (PE/BA)</v>
      </c>
      <c r="K786" s="36">
        <f>IF($C786="","",_xlfn.XLOOKUP($C786,Order!$C:$C,Order!$P:$P,"",0,1))</f>
        <v>0</v>
      </c>
      <c r="L786" s="4">
        <f t="shared" si="12"/>
        <v>0</v>
      </c>
    </row>
    <row r="787" spans="2:12" ht="23.25" hidden="1" customHeight="1" x14ac:dyDescent="0.25">
      <c r="B787" s="4">
        <v>782</v>
      </c>
      <c r="C787" s="36" t="str">
        <f>IF(Order!$C$108="","",Order!$C$108)</f>
        <v>BG011</v>
      </c>
      <c r="D787" s="36" t="str">
        <f>IF($C787="","",_xlfn.XLOOKUP($C787,Order!$C:$C,Order!$D:$D,"",0,1))</f>
        <v>BG011</v>
      </c>
      <c r="E787" s="4" t="e" vm="296">
        <f>IF($C787="","",_xlfn.XLOOKUP($C787,Order!$C:$C,Order!$E:$E,"",0,1))</f>
        <v>#VALUE!</v>
      </c>
      <c r="F787" s="4">
        <f>IF($C787="","",_xlfn.XLOOKUP($C787,Order!$C:$C,Order!$F:$F,"",0,1))</f>
        <v>6000</v>
      </c>
      <c r="G787" s="4" t="str">
        <f>IF($C787="","",_xlfn.XLOOKUP($C787,Order!$C:$C,Order!$G:$G,"",0,1))</f>
        <v>6063T5</v>
      </c>
      <c r="H787" s="4">
        <f>IF($C787="","",_xlfn.XLOOKUP($C787,Order!$C:$C,Order!$H:$H,"",0,1))</f>
        <v>8.4000000000000005E-2</v>
      </c>
      <c r="I787" s="36">
        <f>IF($C787="","",_xlfn.XLOOKUP($C787,Order!$C:$C,Order!$K:$K,"",0,1))</f>
        <v>0</v>
      </c>
      <c r="J787" s="4" t="str">
        <f>IF(C787="","",Order!$K$16)</f>
        <v>WHITE POWDER COAT (PE/BA)</v>
      </c>
      <c r="K787" s="36">
        <f>IF($C787="","",_xlfn.XLOOKUP($C787,Order!$C:$C,Order!$P:$P,"",0,1))</f>
        <v>0</v>
      </c>
      <c r="L787" s="4">
        <f t="shared" si="12"/>
        <v>0</v>
      </c>
    </row>
    <row r="788" spans="2:12" ht="23.25" hidden="1" customHeight="1" x14ac:dyDescent="0.25">
      <c r="B788" s="4">
        <v>783</v>
      </c>
      <c r="C788" s="36" t="str">
        <f>IF(Order!$C$109="","",Order!$C$109)</f>
        <v>DV110</v>
      </c>
      <c r="D788" s="36" t="str">
        <f>IF($C788="","",_xlfn.XLOOKUP($C788,Order!$C:$C,Order!$D:$D,"",0,1))</f>
        <v>DV110</v>
      </c>
      <c r="E788" s="4" t="e" vm="297">
        <f>IF($C788="","",_xlfn.XLOOKUP($C788,Order!$C:$C,Order!$E:$E,"",0,1))</f>
        <v>#VALUE!</v>
      </c>
      <c r="F788" s="4">
        <f>IF($C788="","",_xlfn.XLOOKUP($C788,Order!$C:$C,Order!$F:$F,"",0,1))</f>
        <v>6000</v>
      </c>
      <c r="G788" s="4" t="str">
        <f>IF($C788="","",_xlfn.XLOOKUP($C788,Order!$C:$C,Order!$G:$G,"",0,1))</f>
        <v>6063T5</v>
      </c>
      <c r="H788" s="4">
        <f>IF($C788="","",_xlfn.XLOOKUP($C788,Order!$C:$C,Order!$H:$H,"",0,1))</f>
        <v>0.28299999999999997</v>
      </c>
      <c r="I788" s="36">
        <f>IF($C788="","",_xlfn.XLOOKUP($C788,Order!$C:$C,Order!$K:$K,"",0,1))</f>
        <v>0</v>
      </c>
      <c r="J788" s="4" t="str">
        <f>IF(C788="","",Order!$K$16)</f>
        <v>WHITE POWDER COAT (PE/BA)</v>
      </c>
      <c r="K788" s="36">
        <f>IF($C788="","",_xlfn.XLOOKUP($C788,Order!$C:$C,Order!$P:$P,"",0,1))</f>
        <v>0</v>
      </c>
      <c r="L788" s="4">
        <f t="shared" si="12"/>
        <v>0</v>
      </c>
    </row>
    <row r="789" spans="2:12" ht="23.25" hidden="1" customHeight="1" x14ac:dyDescent="0.25">
      <c r="B789" s="4">
        <v>784</v>
      </c>
      <c r="C789" s="36" t="str">
        <f>IF(Order!$C$110="","",Order!$C$110)</f>
        <v>DV111</v>
      </c>
      <c r="D789" s="36" t="str">
        <f>IF($C789="","",_xlfn.XLOOKUP($C789,Order!$C:$C,Order!$D:$D,"",0,1))</f>
        <v>DV111</v>
      </c>
      <c r="E789" s="4" t="e" vm="298">
        <f>IF($C789="","",_xlfn.XLOOKUP($C789,Order!$C:$C,Order!$E:$E,"",0,1))</f>
        <v>#VALUE!</v>
      </c>
      <c r="F789" s="4">
        <f>IF($C789="","",_xlfn.XLOOKUP($C789,Order!$C:$C,Order!$F:$F,"",0,1))</f>
        <v>6000</v>
      </c>
      <c r="G789" s="4" t="str">
        <f>IF($C789="","",_xlfn.XLOOKUP($C789,Order!$C:$C,Order!$G:$G,"",0,1))</f>
        <v>6063T5</v>
      </c>
      <c r="H789" s="4">
        <f>IF($C789="","",_xlfn.XLOOKUP($C789,Order!$C:$C,Order!$H:$H,"",0,1))</f>
        <v>0.188</v>
      </c>
      <c r="I789" s="36">
        <f>IF($C789="","",_xlfn.XLOOKUP($C789,Order!$C:$C,Order!$K:$K,"",0,1))</f>
        <v>0</v>
      </c>
      <c r="J789" s="4" t="str">
        <f>IF(C789="","",Order!$K$16)</f>
        <v>WHITE POWDER COAT (PE/BA)</v>
      </c>
      <c r="K789" s="36">
        <f>IF($C789="","",_xlfn.XLOOKUP($C789,Order!$C:$C,Order!$P:$P,"",0,1))</f>
        <v>0</v>
      </c>
      <c r="L789" s="4">
        <f t="shared" si="12"/>
        <v>0</v>
      </c>
    </row>
    <row r="790" spans="2:12" ht="23.25" hidden="1" customHeight="1" x14ac:dyDescent="0.25">
      <c r="B790" s="4">
        <v>785</v>
      </c>
      <c r="C790" s="36" t="str">
        <f>IF(Order!$C$111="","",Order!$C$111)</f>
        <v>DV112</v>
      </c>
      <c r="D790" s="36" t="str">
        <f>IF($C790="","",_xlfn.XLOOKUP($C790,Order!$C:$C,Order!$D:$D,"",0,1))</f>
        <v>DV112</v>
      </c>
      <c r="E790" s="4" t="e" vm="299">
        <f>IF($C790="","",_xlfn.XLOOKUP($C790,Order!$C:$C,Order!$E:$E,"",0,1))</f>
        <v>#VALUE!</v>
      </c>
      <c r="F790" s="4">
        <f>IF($C790="","",_xlfn.XLOOKUP($C790,Order!$C:$C,Order!$F:$F,"",0,1))</f>
        <v>6000</v>
      </c>
      <c r="G790" s="4" t="str">
        <f>IF($C790="","",_xlfn.XLOOKUP($C790,Order!$C:$C,Order!$G:$G,"",0,1))</f>
        <v>6063T5</v>
      </c>
      <c r="H790" s="4">
        <f>IF($C790="","",_xlfn.XLOOKUP($C790,Order!$C:$C,Order!$H:$H,"",0,1))</f>
        <v>0.23200000000000001</v>
      </c>
      <c r="I790" s="36">
        <f>IF($C790="","",_xlfn.XLOOKUP($C790,Order!$C:$C,Order!$K:$K,"",0,1))</f>
        <v>0</v>
      </c>
      <c r="J790" s="4" t="str">
        <f>IF(C790="","",Order!$K$16)</f>
        <v>WHITE POWDER COAT (PE/BA)</v>
      </c>
      <c r="K790" s="36">
        <f>IF($C790="","",_xlfn.XLOOKUP($C790,Order!$C:$C,Order!$P:$P,"",0,1))</f>
        <v>0</v>
      </c>
      <c r="L790" s="4">
        <f t="shared" si="12"/>
        <v>0</v>
      </c>
    </row>
    <row r="791" spans="2:12" ht="23.25" hidden="1" customHeight="1" x14ac:dyDescent="0.25">
      <c r="B791" s="4">
        <v>786</v>
      </c>
      <c r="C791" s="36" t="str">
        <f>IF(Order!$C$112="","",Order!$C$112)</f>
        <v>DV132</v>
      </c>
      <c r="D791" s="36" t="str">
        <f>IF($C791="","",_xlfn.XLOOKUP($C791,Order!$C:$C,Order!$D:$D,"",0,1))</f>
        <v>DV132</v>
      </c>
      <c r="E791" s="4" t="e" vm="300">
        <f>IF($C791="","",_xlfn.XLOOKUP($C791,Order!$C:$C,Order!$E:$E,"",0,1))</f>
        <v>#VALUE!</v>
      </c>
      <c r="F791" s="4">
        <f>IF($C791="","",_xlfn.XLOOKUP($C791,Order!$C:$C,Order!$F:$F,"",0,1))</f>
        <v>6000</v>
      </c>
      <c r="G791" s="4" t="str">
        <f>IF($C791="","",_xlfn.XLOOKUP($C791,Order!$C:$C,Order!$G:$G,"",0,1))</f>
        <v>6063T5</v>
      </c>
      <c r="H791" s="4">
        <f>IF($C791="","",_xlfn.XLOOKUP($C791,Order!$C:$C,Order!$H:$H,"",0,1))</f>
        <v>0.246</v>
      </c>
      <c r="I791" s="36">
        <f>IF($C791="","",_xlfn.XLOOKUP($C791,Order!$C:$C,Order!$K:$K,"",0,1))</f>
        <v>0</v>
      </c>
      <c r="J791" s="4" t="str">
        <f>IF(C791="","",Order!$K$16)</f>
        <v>WHITE POWDER COAT (PE/BA)</v>
      </c>
      <c r="K791" s="36">
        <f>IF($C791="","",_xlfn.XLOOKUP($C791,Order!$C:$C,Order!$P:$P,"",0,1))</f>
        <v>0</v>
      </c>
      <c r="L791" s="4">
        <f t="shared" si="12"/>
        <v>0</v>
      </c>
    </row>
    <row r="792" spans="2:12" ht="23.25" hidden="1" customHeight="1" x14ac:dyDescent="0.25">
      <c r="B792" s="4">
        <v>787</v>
      </c>
      <c r="C792" s="36" t="str">
        <f>IF(Order!$C$113="","",Order!$C$113)</f>
        <v>BX796</v>
      </c>
      <c r="D792" s="36" t="str">
        <f>IF($C792="","",_xlfn.XLOOKUP($C792,Order!$C:$C,Order!$D:$D,"",0,1))</f>
        <v>BX796</v>
      </c>
      <c r="E792" s="4" t="e" vm="301">
        <f>IF($C792="","",_xlfn.XLOOKUP($C792,Order!$C:$C,Order!$E:$E,"",0,1))</f>
        <v>#VALUE!</v>
      </c>
      <c r="F792" s="4">
        <f>IF($C792="","",_xlfn.XLOOKUP($C792,Order!$C:$C,Order!$F:$F,"",0,1))</f>
        <v>6000</v>
      </c>
      <c r="G792" s="4" t="str">
        <f>IF($C792="","",_xlfn.XLOOKUP($C792,Order!$C:$C,Order!$G:$G,"",0,1))</f>
        <v>6063T5</v>
      </c>
      <c r="H792" s="4">
        <f>IF($C792="","",_xlfn.XLOOKUP($C792,Order!$C:$C,Order!$H:$H,"",0,1))</f>
        <v>0.22700000000000001</v>
      </c>
      <c r="I792" s="36">
        <f>IF($C792="","",_xlfn.XLOOKUP($C792,Order!$C:$C,Order!$K:$K,"",0,1))</f>
        <v>0</v>
      </c>
      <c r="J792" s="4" t="str">
        <f>IF(C792="","",Order!$K$16)</f>
        <v>WHITE POWDER COAT (PE/BA)</v>
      </c>
      <c r="K792" s="36">
        <f>IF($C792="","",_xlfn.XLOOKUP($C792,Order!$C:$C,Order!$P:$P,"",0,1))</f>
        <v>0</v>
      </c>
      <c r="L792" s="4">
        <f t="shared" si="12"/>
        <v>0</v>
      </c>
    </row>
    <row r="793" spans="2:12" ht="23.25" hidden="1" customHeight="1" x14ac:dyDescent="0.25">
      <c r="B793" s="4">
        <v>788</v>
      </c>
      <c r="C793" s="36" t="str">
        <f>IF(Order!$C$114="","",Order!$C$114)</f>
        <v>BX797</v>
      </c>
      <c r="D793" s="36" t="str">
        <f>IF($C793="","",_xlfn.XLOOKUP($C793,Order!$C:$C,Order!$D:$D,"",0,1))</f>
        <v>BX797</v>
      </c>
      <c r="E793" s="4" t="e" vm="302">
        <f>IF($C793="","",_xlfn.XLOOKUP($C793,Order!$C:$C,Order!$E:$E,"",0,1))</f>
        <v>#VALUE!</v>
      </c>
      <c r="F793" s="4">
        <f>IF($C793="","",_xlfn.XLOOKUP($C793,Order!$C:$C,Order!$F:$F,"",0,1))</f>
        <v>6000</v>
      </c>
      <c r="G793" s="4" t="str">
        <f>IF($C793="","",_xlfn.XLOOKUP($C793,Order!$C:$C,Order!$G:$G,"",0,1))</f>
        <v>6063T5</v>
      </c>
      <c r="H793" s="4">
        <f>IF($C793="","",_xlfn.XLOOKUP($C793,Order!$C:$C,Order!$H:$H,"",0,1))</f>
        <v>8.6999999999999994E-2</v>
      </c>
      <c r="I793" s="36">
        <f>IF($C793="","",_xlfn.XLOOKUP($C793,Order!$C:$C,Order!$K:$K,"",0,1))</f>
        <v>0</v>
      </c>
      <c r="J793" s="4" t="str">
        <f>IF(C793="","",Order!$K$16)</f>
        <v>WHITE POWDER COAT (PE/BA)</v>
      </c>
      <c r="K793" s="36">
        <f>IF($C793="","",_xlfn.XLOOKUP($C793,Order!$C:$C,Order!$P:$P,"",0,1))</f>
        <v>0</v>
      </c>
      <c r="L793" s="4">
        <f t="shared" si="12"/>
        <v>0</v>
      </c>
    </row>
    <row r="794" spans="2:12" ht="23.25" hidden="1" customHeight="1" x14ac:dyDescent="0.25">
      <c r="B794" s="4">
        <v>789</v>
      </c>
      <c r="C794" s="36" t="str">
        <f>IF(Order!$C$115="","",Order!$C$115)</f>
        <v>BX798</v>
      </c>
      <c r="D794" s="36" t="str">
        <f>IF($C794="","",_xlfn.XLOOKUP($C794,Order!$C:$C,Order!$D:$D,"",0,1))</f>
        <v>BX798</v>
      </c>
      <c r="E794" s="4" t="e" vm="303">
        <f>IF($C794="","",_xlfn.XLOOKUP($C794,Order!$C:$C,Order!$E:$E,"",0,1))</f>
        <v>#VALUE!</v>
      </c>
      <c r="F794" s="4">
        <f>IF($C794="","",_xlfn.XLOOKUP($C794,Order!$C:$C,Order!$F:$F,"",0,1))</f>
        <v>6000</v>
      </c>
      <c r="G794" s="4" t="str">
        <f>IF($C794="","",_xlfn.XLOOKUP($C794,Order!$C:$C,Order!$G:$G,"",0,1))</f>
        <v>6063T5</v>
      </c>
      <c r="H794" s="4">
        <f>IF($C794="","",_xlfn.XLOOKUP($C794,Order!$C:$C,Order!$H:$H,"",0,1))</f>
        <v>0.20300000000000001</v>
      </c>
      <c r="I794" s="36">
        <f>IF($C794="","",_xlfn.XLOOKUP($C794,Order!$C:$C,Order!$K:$K,"",0,1))</f>
        <v>0</v>
      </c>
      <c r="J794" s="4" t="str">
        <f>IF(C794="","",Order!$K$16)</f>
        <v>WHITE POWDER COAT (PE/BA)</v>
      </c>
      <c r="K794" s="36">
        <f>IF($C794="","",_xlfn.XLOOKUP($C794,Order!$C:$C,Order!$P:$P,"",0,1))</f>
        <v>0</v>
      </c>
      <c r="L794" s="4">
        <f t="shared" si="12"/>
        <v>0</v>
      </c>
    </row>
    <row r="795" spans="2:12" ht="23.25" hidden="1" customHeight="1" x14ac:dyDescent="0.25">
      <c r="B795" s="4">
        <v>790</v>
      </c>
      <c r="C795" s="36" t="str">
        <f>IF(Order!$C$116="","",Order!$C$116)</f>
        <v>BX799</v>
      </c>
      <c r="D795" s="36" t="str">
        <f>IF($C795="","",_xlfn.XLOOKUP($C795,Order!$C:$C,Order!$D:$D,"",0,1))</f>
        <v>BX799</v>
      </c>
      <c r="E795" s="4" t="e" vm="304">
        <f>IF($C795="","",_xlfn.XLOOKUP($C795,Order!$C:$C,Order!$E:$E,"",0,1))</f>
        <v>#VALUE!</v>
      </c>
      <c r="F795" s="4">
        <f>IF($C795="","",_xlfn.XLOOKUP($C795,Order!$C:$C,Order!$F:$F,"",0,1))</f>
        <v>6000</v>
      </c>
      <c r="G795" s="4" t="str">
        <f>IF($C795="","",_xlfn.XLOOKUP($C795,Order!$C:$C,Order!$G:$G,"",0,1))</f>
        <v>6063T5</v>
      </c>
      <c r="H795" s="4">
        <f>IF($C795="","",_xlfn.XLOOKUP($C795,Order!$C:$C,Order!$H:$H,"",0,1))</f>
        <v>0.16300000000000001</v>
      </c>
      <c r="I795" s="36">
        <f>IF($C795="","",_xlfn.XLOOKUP($C795,Order!$C:$C,Order!$K:$K,"",0,1))</f>
        <v>0</v>
      </c>
      <c r="J795" s="4" t="str">
        <f>IF(C795="","",Order!$K$16)</f>
        <v>WHITE POWDER COAT (PE/BA)</v>
      </c>
      <c r="K795" s="36">
        <f>IF($C795="","",_xlfn.XLOOKUP($C795,Order!$C:$C,Order!$P:$P,"",0,1))</f>
        <v>0</v>
      </c>
      <c r="L795" s="4">
        <f t="shared" si="12"/>
        <v>0</v>
      </c>
    </row>
    <row r="796" spans="2:12" ht="23.25" hidden="1" customHeight="1" x14ac:dyDescent="0.25">
      <c r="B796" s="4">
        <v>791</v>
      </c>
      <c r="C796" s="36" t="str">
        <f>IF(Order!$C$117="","",Order!$C$117)</f>
        <v>BX958</v>
      </c>
      <c r="D796" s="36" t="str">
        <f>IF($C796="","",_xlfn.XLOOKUP($C796,Order!$C:$C,Order!$D:$D,"",0,1))</f>
        <v>BX958</v>
      </c>
      <c r="E796" s="4" t="e" vm="305">
        <f>IF($C796="","",_xlfn.XLOOKUP($C796,Order!$C:$C,Order!$E:$E,"",0,1))</f>
        <v>#VALUE!</v>
      </c>
      <c r="F796" s="4">
        <f>IF($C796="","",_xlfn.XLOOKUP($C796,Order!$C:$C,Order!$F:$F,"",0,1))</f>
        <v>6000</v>
      </c>
      <c r="G796" s="4" t="str">
        <f>IF($C796="","",_xlfn.XLOOKUP($C796,Order!$C:$C,Order!$G:$G,"",0,1))</f>
        <v>6063T5</v>
      </c>
      <c r="H796" s="4">
        <f>IF($C796="","",_xlfn.XLOOKUP($C796,Order!$C:$C,Order!$H:$H,"",0,1))</f>
        <v>0.48199999999999998</v>
      </c>
      <c r="I796" s="36">
        <f>IF($C796="","",_xlfn.XLOOKUP($C796,Order!$C:$C,Order!$K:$K,"",0,1))</f>
        <v>0</v>
      </c>
      <c r="J796" s="4" t="str">
        <f>IF(C796="","",Order!$K$16)</f>
        <v>WHITE POWDER COAT (PE/BA)</v>
      </c>
      <c r="K796" s="36">
        <f>IF($C796="","",_xlfn.XLOOKUP($C796,Order!$C:$C,Order!$P:$P,"",0,1))</f>
        <v>0</v>
      </c>
      <c r="L796" s="4">
        <f t="shared" si="12"/>
        <v>0</v>
      </c>
    </row>
    <row r="797" spans="2:12" ht="23.25" hidden="1" customHeight="1" x14ac:dyDescent="0.25">
      <c r="B797" s="4">
        <v>792</v>
      </c>
      <c r="C797" s="36" t="str">
        <f>IF(Order!$C$118="","",Order!$C$118)</f>
        <v>BG202</v>
      </c>
      <c r="D797" s="36" t="str">
        <f>IF($C797="","",_xlfn.XLOOKUP($C797,Order!$C:$C,Order!$D:$D,"",0,1))</f>
        <v>BG202</v>
      </c>
      <c r="E797" s="4" t="e" vm="306">
        <f>IF($C797="","",_xlfn.XLOOKUP($C797,Order!$C:$C,Order!$E:$E,"",0,1))</f>
        <v>#VALUE!</v>
      </c>
      <c r="F797" s="4">
        <f>IF($C797="","",_xlfn.XLOOKUP($C797,Order!$C:$C,Order!$F:$F,"",0,1))</f>
        <v>6000</v>
      </c>
      <c r="G797" s="4" t="str">
        <f>IF($C797="","",_xlfn.XLOOKUP($C797,Order!$C:$C,Order!$G:$G,"",0,1))</f>
        <v>6063T5</v>
      </c>
      <c r="H797" s="4">
        <f>IF($C797="","",_xlfn.XLOOKUP($C797,Order!$C:$C,Order!$H:$H,"",0,1))</f>
        <v>8.8999999999999996E-2</v>
      </c>
      <c r="I797" s="36">
        <f>IF($C797="","",_xlfn.XLOOKUP($C797,Order!$C:$C,Order!$K:$K,"",0,1))</f>
        <v>0</v>
      </c>
      <c r="J797" s="4" t="str">
        <f>IF(C797="","",Order!$K$16)</f>
        <v>WHITE POWDER COAT (PE/BA)</v>
      </c>
      <c r="K797" s="36">
        <f>IF($C797="","",_xlfn.XLOOKUP($C797,Order!$C:$C,Order!$P:$P,"",0,1))</f>
        <v>0</v>
      </c>
      <c r="L797" s="4">
        <f t="shared" si="12"/>
        <v>0</v>
      </c>
    </row>
    <row r="798" spans="2:12" ht="23.25" hidden="1" customHeight="1" x14ac:dyDescent="0.25">
      <c r="B798" s="4">
        <v>793</v>
      </c>
      <c r="C798" s="36" t="str">
        <f>IF(Order!$C$119="","",Order!$C$119)</f>
        <v>MP069</v>
      </c>
      <c r="D798" s="36" t="str">
        <f>IF($C798="","",_xlfn.XLOOKUP($C798,Order!$C:$C,Order!$D:$D,"",0,1))</f>
        <v>MP069</v>
      </c>
      <c r="E798" s="4" t="e" vm="307">
        <f>IF($C798="","",_xlfn.XLOOKUP($C798,Order!$C:$C,Order!$E:$E,"",0,1))</f>
        <v>#VALUE!</v>
      </c>
      <c r="F798" s="4">
        <f>IF($C798="","",_xlfn.XLOOKUP($C798,Order!$C:$C,Order!$F:$F,"",0,1))</f>
        <v>0</v>
      </c>
      <c r="G798" s="4" t="str">
        <f>IF($C798="","",_xlfn.XLOOKUP($C798,Order!$C:$C,Order!$G:$G,"",0,1))</f>
        <v>6063T5</v>
      </c>
      <c r="H798" s="4">
        <f>IF($C798="","",_xlfn.XLOOKUP($C798,Order!$C:$C,Order!$H:$H,"",0,1))</f>
        <v>0.57799999999999996</v>
      </c>
      <c r="I798" s="36">
        <f>IF($C798="","",_xlfn.XLOOKUP($C798,Order!$C:$C,Order!$K:$K,"",0,1))</f>
        <v>0</v>
      </c>
      <c r="J798" s="4" t="str">
        <f>IF(C798="","",Order!$K$16)</f>
        <v>WHITE POWDER COAT (PE/BA)</v>
      </c>
      <c r="K798" s="36">
        <f>IF($C798="","",_xlfn.XLOOKUP($C798,Order!$C:$C,Order!$P:$P,"",0,1))</f>
        <v>0</v>
      </c>
      <c r="L798" s="4">
        <f t="shared" si="12"/>
        <v>0</v>
      </c>
    </row>
    <row r="799" spans="2:12" ht="23.25" hidden="1" customHeight="1" x14ac:dyDescent="0.25">
      <c r="B799" s="4">
        <v>794</v>
      </c>
      <c r="C799" s="36" t="str">
        <f>IF(Order!$C$120="","",Order!$C$120)</f>
        <v>MP070</v>
      </c>
      <c r="D799" s="36" t="str">
        <f>IF($C799="","",_xlfn.XLOOKUP($C799,Order!$C:$C,Order!$D:$D,"",0,1))</f>
        <v>MP070</v>
      </c>
      <c r="E799" s="4" t="e" vm="308">
        <f>IF($C799="","",_xlfn.XLOOKUP($C799,Order!$C:$C,Order!$E:$E,"",0,1))</f>
        <v>#VALUE!</v>
      </c>
      <c r="F799" s="4">
        <f>IF($C799="","",_xlfn.XLOOKUP($C799,Order!$C:$C,Order!$F:$F,"",0,1))</f>
        <v>0</v>
      </c>
      <c r="G799" s="4" t="str">
        <f>IF($C799="","",_xlfn.XLOOKUP($C799,Order!$C:$C,Order!$G:$G,"",0,1))</f>
        <v>6063T5</v>
      </c>
      <c r="H799" s="4">
        <f>IF($C799="","",_xlfn.XLOOKUP($C799,Order!$C:$C,Order!$H:$H,"",0,1))</f>
        <v>0.46800000000000003</v>
      </c>
      <c r="I799" s="36">
        <f>IF($C799="","",_xlfn.XLOOKUP($C799,Order!$C:$C,Order!$K:$K,"",0,1))</f>
        <v>0</v>
      </c>
      <c r="J799" s="4" t="str">
        <f>IF(C799="","",Order!$K$16)</f>
        <v>WHITE POWDER COAT (PE/BA)</v>
      </c>
      <c r="K799" s="36">
        <f>IF($C799="","",_xlfn.XLOOKUP($C799,Order!$C:$C,Order!$P:$P,"",0,1))</f>
        <v>0</v>
      </c>
      <c r="L799" s="4">
        <f t="shared" si="12"/>
        <v>0</v>
      </c>
    </row>
    <row r="800" spans="2:12" ht="23.25" hidden="1" customHeight="1" x14ac:dyDescent="0.25">
      <c r="B800" s="4">
        <v>795</v>
      </c>
      <c r="C800" s="36" t="str">
        <f>IF(Order!$C$121="","",Order!$C$121)</f>
        <v>MP300</v>
      </c>
      <c r="D800" s="36" t="str">
        <f>IF($C800="","",_xlfn.XLOOKUP($C800,Order!$C:$C,Order!$D:$D,"",0,1))</f>
        <v>MP300MP</v>
      </c>
      <c r="E800" s="4" t="e" vm="309">
        <f>IF($C800="","",_xlfn.XLOOKUP($C800,Order!$C:$C,Order!$E:$E,"",0,1))</f>
        <v>#VALUE!</v>
      </c>
      <c r="F800" s="4">
        <f>IF($C800="","",_xlfn.XLOOKUP($C800,Order!$C:$C,Order!$F:$F,"",0,1))</f>
        <v>6000</v>
      </c>
      <c r="G800" s="4" t="str">
        <f>IF($C800="","",_xlfn.XLOOKUP($C800,Order!$C:$C,Order!$G:$G,"",0,1))</f>
        <v>6063T5</v>
      </c>
      <c r="H800" s="4">
        <f>IF($C800="","",_xlfn.XLOOKUP($C800,Order!$C:$C,Order!$H:$H,"",0,1))</f>
        <v>0.29799999999999999</v>
      </c>
      <c r="I800" s="36">
        <f>IF($C800="","",_xlfn.XLOOKUP($C800,Order!$C:$C,Order!$K:$K,"",0,1))</f>
        <v>0</v>
      </c>
      <c r="J800" s="4" t="str">
        <f>IF(C800="","",Order!$K$16)</f>
        <v>WHITE POWDER COAT (PE/BA)</v>
      </c>
      <c r="K800" s="36">
        <f>IF($C800="","",_xlfn.XLOOKUP($C800,Order!$C:$C,Order!$P:$P,"",0,1))</f>
        <v>0</v>
      </c>
      <c r="L800" s="4">
        <f t="shared" si="12"/>
        <v>0</v>
      </c>
    </row>
    <row r="801" spans="2:12" ht="23.25" hidden="1" customHeight="1" x14ac:dyDescent="0.25">
      <c r="B801" s="4">
        <v>796</v>
      </c>
      <c r="C801" s="36" t="str">
        <f>IF(Order!$C$122="","",Order!$C$122)</f>
        <v>MP302</v>
      </c>
      <c r="D801" s="36" t="str">
        <f>IF($C801="","",_xlfn.XLOOKUP($C801,Order!$C:$C,Order!$D:$D,"",0,1))</f>
        <v>MP302</v>
      </c>
      <c r="E801" s="4" t="e" vm="310">
        <f>IF($C801="","",_xlfn.XLOOKUP($C801,Order!$C:$C,Order!$E:$E,"",0,1))</f>
        <v>#VALUE!</v>
      </c>
      <c r="F801" s="4">
        <f>IF($C801="","",_xlfn.XLOOKUP($C801,Order!$C:$C,Order!$F:$F,"",0,1))</f>
        <v>6000</v>
      </c>
      <c r="G801" s="4" t="str">
        <f>IF($C801="","",_xlfn.XLOOKUP($C801,Order!$C:$C,Order!$G:$G,"",0,1))</f>
        <v>6063T5</v>
      </c>
      <c r="H801" s="4">
        <f>IF($C801="","",_xlfn.XLOOKUP($C801,Order!$C:$C,Order!$H:$H,"",0,1))</f>
        <v>0.34399999999999997</v>
      </c>
      <c r="I801" s="36">
        <f>IF($C801="","",_xlfn.XLOOKUP($C801,Order!$C:$C,Order!$K:$K,"",0,1))</f>
        <v>0</v>
      </c>
      <c r="J801" s="4" t="str">
        <f>IF(C801="","",Order!$K$16)</f>
        <v>WHITE POWDER COAT (PE/BA)</v>
      </c>
      <c r="K801" s="36">
        <f>IF($C801="","",_xlfn.XLOOKUP($C801,Order!$C:$C,Order!$P:$P,"",0,1))</f>
        <v>0</v>
      </c>
      <c r="L801" s="4">
        <f t="shared" si="12"/>
        <v>0</v>
      </c>
    </row>
    <row r="802" spans="2:12" ht="23.25" hidden="1" customHeight="1" x14ac:dyDescent="0.25">
      <c r="B802" s="4">
        <v>797</v>
      </c>
      <c r="C802" s="36" t="str">
        <f>IF(Order!$C$123="","",Order!$C$123)</f>
        <v>MP309</v>
      </c>
      <c r="D802" s="36" t="str">
        <f>IF($C802="","",_xlfn.XLOOKUP($C802,Order!$C:$C,Order!$D:$D,"",0,1))</f>
        <v>MP309</v>
      </c>
      <c r="E802" s="4" t="e" vm="311">
        <f>IF($C802="","",_xlfn.XLOOKUP($C802,Order!$C:$C,Order!$E:$E,"",0,1))</f>
        <v>#VALUE!</v>
      </c>
      <c r="F802" s="4">
        <f>IF($C802="","",_xlfn.XLOOKUP($C802,Order!$C:$C,Order!$F:$F,"",0,1))</f>
        <v>6000</v>
      </c>
      <c r="G802" s="4" t="str">
        <f>IF($C802="","",_xlfn.XLOOKUP($C802,Order!$C:$C,Order!$G:$G,"",0,1))</f>
        <v>6063T5</v>
      </c>
      <c r="H802" s="4">
        <f>IF($C802="","",_xlfn.XLOOKUP($C802,Order!$C:$C,Order!$H:$H,"",0,1))</f>
        <v>0.36499999999999999</v>
      </c>
      <c r="I802" s="36">
        <f>IF($C802="","",_xlfn.XLOOKUP($C802,Order!$C:$C,Order!$K:$K,"",0,1))</f>
        <v>0</v>
      </c>
      <c r="J802" s="4" t="str">
        <f>IF(C802="","",Order!$K$16)</f>
        <v>WHITE POWDER COAT (PE/BA)</v>
      </c>
      <c r="K802" s="36">
        <f>IF($C802="","",_xlfn.XLOOKUP($C802,Order!$C:$C,Order!$P:$P,"",0,1))</f>
        <v>0</v>
      </c>
      <c r="L802" s="4">
        <f t="shared" si="12"/>
        <v>0</v>
      </c>
    </row>
    <row r="803" spans="2:12" ht="23.25" hidden="1" customHeight="1" x14ac:dyDescent="0.25">
      <c r="B803" s="4">
        <v>798</v>
      </c>
      <c r="C803" s="36" t="str">
        <f>IF(Order!$C$124="","",Order!$C$124)</f>
        <v>MP321</v>
      </c>
      <c r="D803" s="36" t="str">
        <f>IF($C803="","",_xlfn.XLOOKUP($C803,Order!$C:$C,Order!$D:$D,"",0,1))</f>
        <v>MP321MP</v>
      </c>
      <c r="E803" s="4" t="e" vm="312">
        <f>IF($C803="","",_xlfn.XLOOKUP($C803,Order!$C:$C,Order!$E:$E,"",0,1))</f>
        <v>#VALUE!</v>
      </c>
      <c r="F803" s="4">
        <f>IF($C803="","",_xlfn.XLOOKUP($C803,Order!$C:$C,Order!$F:$F,"",0,1))</f>
        <v>6000</v>
      </c>
      <c r="G803" s="4" t="str">
        <f>IF($C803="","",_xlfn.XLOOKUP($C803,Order!$C:$C,Order!$G:$G,"",0,1))</f>
        <v>6063T5</v>
      </c>
      <c r="H803" s="4">
        <f>IF($C803="","",_xlfn.XLOOKUP($C803,Order!$C:$C,Order!$H:$H,"",0,1))</f>
        <v>0.33900000000000002</v>
      </c>
      <c r="I803" s="36">
        <f>IF($C803="","",_xlfn.XLOOKUP($C803,Order!$C:$C,Order!$K:$K,"",0,1))</f>
        <v>0</v>
      </c>
      <c r="J803" s="4" t="str">
        <f>IF(C803="","",Order!$K$16)</f>
        <v>WHITE POWDER COAT (PE/BA)</v>
      </c>
      <c r="K803" s="36">
        <f>IF($C803="","",_xlfn.XLOOKUP($C803,Order!$C:$C,Order!$P:$P,"",0,1))</f>
        <v>0</v>
      </c>
      <c r="L803" s="4">
        <f t="shared" si="12"/>
        <v>0</v>
      </c>
    </row>
    <row r="804" spans="2:12" ht="23.25" hidden="1" customHeight="1" x14ac:dyDescent="0.25">
      <c r="B804" s="4">
        <v>799</v>
      </c>
      <c r="C804" s="36" t="str">
        <f>IF(Order!$C$125="","",Order!$C$125)</f>
        <v>MP332</v>
      </c>
      <c r="D804" s="36" t="str">
        <f>IF($C804="","",_xlfn.XLOOKUP($C804,Order!$C:$C,Order!$D:$D,"",0,1))</f>
        <v>MP332</v>
      </c>
      <c r="E804" s="4" t="e" vm="313">
        <f>IF($C804="","",_xlfn.XLOOKUP($C804,Order!$C:$C,Order!$E:$E,"",0,1))</f>
        <v>#VALUE!</v>
      </c>
      <c r="F804" s="4">
        <f>IF($C804="","",_xlfn.XLOOKUP($C804,Order!$C:$C,Order!$F:$F,"",0,1))</f>
        <v>6000</v>
      </c>
      <c r="G804" s="4" t="str">
        <f>IF($C804="","",_xlfn.XLOOKUP($C804,Order!$C:$C,Order!$G:$G,"",0,1))</f>
        <v>6063T5</v>
      </c>
      <c r="H804" s="4">
        <f>IF($C804="","",_xlfn.XLOOKUP($C804,Order!$C:$C,Order!$H:$H,"",0,1))</f>
        <v>0.47599999999999998</v>
      </c>
      <c r="I804" s="36">
        <f>IF($C804="","",_xlfn.XLOOKUP($C804,Order!$C:$C,Order!$K:$K,"",0,1))</f>
        <v>0</v>
      </c>
      <c r="J804" s="4" t="str">
        <f>IF(C804="","",Order!$K$16)</f>
        <v>WHITE POWDER COAT (PE/BA)</v>
      </c>
      <c r="K804" s="36">
        <f>IF($C804="","",_xlfn.XLOOKUP($C804,Order!$C:$C,Order!$P:$P,"",0,1))</f>
        <v>0</v>
      </c>
      <c r="L804" s="4">
        <f t="shared" si="12"/>
        <v>0</v>
      </c>
    </row>
    <row r="805" spans="2:12" ht="23.25" hidden="1" customHeight="1" x14ac:dyDescent="0.25">
      <c r="B805" s="4">
        <v>800</v>
      </c>
      <c r="C805" s="36" t="str">
        <f>IF(Order!$C$126="","",Order!$C$126)</f>
        <v>MP336</v>
      </c>
      <c r="D805" s="36" t="str">
        <f>IF($C805="","",_xlfn.XLOOKUP($C805,Order!$C:$C,Order!$D:$D,"",0,1))</f>
        <v>MP336MP</v>
      </c>
      <c r="E805" s="4" t="e" vm="314">
        <f>IF($C805="","",_xlfn.XLOOKUP($C805,Order!$C:$C,Order!$E:$E,"",0,1))</f>
        <v>#VALUE!</v>
      </c>
      <c r="F805" s="4">
        <f>IF($C805="","",_xlfn.XLOOKUP($C805,Order!$C:$C,Order!$F:$F,"",0,1))</f>
        <v>0</v>
      </c>
      <c r="G805" s="4" t="str">
        <f>IF($C805="","",_xlfn.XLOOKUP($C805,Order!$C:$C,Order!$G:$G,"",0,1))</f>
        <v>6063T5</v>
      </c>
      <c r="H805" s="4">
        <f>IF($C805="","",_xlfn.XLOOKUP($C805,Order!$C:$C,Order!$H:$H,"",0,1))</f>
        <v>0.42299999999999999</v>
      </c>
      <c r="I805" s="36">
        <f>IF($C805="","",_xlfn.XLOOKUP($C805,Order!$C:$C,Order!$K:$K,"",0,1))</f>
        <v>0</v>
      </c>
      <c r="J805" s="4" t="str">
        <f>IF(C805="","",Order!$K$16)</f>
        <v>WHITE POWDER COAT (PE/BA)</v>
      </c>
      <c r="K805" s="36">
        <f>IF($C805="","",_xlfn.XLOOKUP($C805,Order!$C:$C,Order!$P:$P,"",0,1))</f>
        <v>0</v>
      </c>
      <c r="L805" s="4">
        <f t="shared" si="12"/>
        <v>0</v>
      </c>
    </row>
    <row r="806" spans="2:12" ht="23.25" hidden="1" customHeight="1" x14ac:dyDescent="0.25">
      <c r="B806" s="4">
        <v>801</v>
      </c>
      <c r="C806" s="36" t="str">
        <f>IF(Order!$C$127="","",Order!$C$127)</f>
        <v>MP352</v>
      </c>
      <c r="D806" s="36" t="str">
        <f>IF($C806="","",_xlfn.XLOOKUP($C806,Order!$C:$C,Order!$D:$D,"",0,1))</f>
        <v>MP352</v>
      </c>
      <c r="E806" s="4" t="e" vm="315">
        <f>IF($C806="","",_xlfn.XLOOKUP($C806,Order!$C:$C,Order!$E:$E,"",0,1))</f>
        <v>#VALUE!</v>
      </c>
      <c r="F806" s="4">
        <f>IF($C806="","",_xlfn.XLOOKUP($C806,Order!$C:$C,Order!$F:$F,"",0,1))</f>
        <v>6000</v>
      </c>
      <c r="G806" s="4" t="str">
        <f>IF($C806="","",_xlfn.XLOOKUP($C806,Order!$C:$C,Order!$G:$G,"",0,1))</f>
        <v>6063T5</v>
      </c>
      <c r="H806" s="4">
        <f>IF($C806="","",_xlfn.XLOOKUP($C806,Order!$C:$C,Order!$H:$H,"",0,1))</f>
        <v>0.159</v>
      </c>
      <c r="I806" s="36">
        <f>IF($C806="","",_xlfn.XLOOKUP($C806,Order!$C:$C,Order!$K:$K,"",0,1))</f>
        <v>0</v>
      </c>
      <c r="J806" s="4" t="str">
        <f>IF(C806="","",Order!$K$16)</f>
        <v>WHITE POWDER COAT (PE/BA)</v>
      </c>
      <c r="K806" s="36">
        <f>IF($C806="","",_xlfn.XLOOKUP($C806,Order!$C:$C,Order!$P:$P,"",0,1))</f>
        <v>0</v>
      </c>
      <c r="L806" s="4">
        <f t="shared" si="12"/>
        <v>0</v>
      </c>
    </row>
    <row r="807" spans="2:12" ht="23.25" hidden="1" customHeight="1" x14ac:dyDescent="0.25">
      <c r="B807" s="4">
        <v>802</v>
      </c>
      <c r="C807" s="36" t="str">
        <f>IF(Order!$C$128="","",Order!$C$128)</f>
        <v>MP354</v>
      </c>
      <c r="D807" s="36" t="str">
        <f>IF($C807="","",_xlfn.XLOOKUP($C807,Order!$C:$C,Order!$D:$D,"",0,1))</f>
        <v>MP354</v>
      </c>
      <c r="E807" s="4" t="e" vm="316">
        <f>IF($C807="","",_xlfn.XLOOKUP($C807,Order!$C:$C,Order!$E:$E,"",0,1))</f>
        <v>#VALUE!</v>
      </c>
      <c r="F807" s="4">
        <f>IF($C807="","",_xlfn.XLOOKUP($C807,Order!$C:$C,Order!$F:$F,"",0,1))</f>
        <v>6000</v>
      </c>
      <c r="G807" s="4" t="str">
        <f>IF($C807="","",_xlfn.XLOOKUP($C807,Order!$C:$C,Order!$G:$G,"",0,1))</f>
        <v>6063T5</v>
      </c>
      <c r="H807" s="4">
        <f>IF($C807="","",_xlfn.XLOOKUP($C807,Order!$C:$C,Order!$H:$H,"",0,1))</f>
        <v>0.78700000000000003</v>
      </c>
      <c r="I807" s="36">
        <f>IF($C807="","",_xlfn.XLOOKUP($C807,Order!$C:$C,Order!$K:$K,"",0,1))</f>
        <v>0</v>
      </c>
      <c r="J807" s="4" t="str">
        <f>IF(C807="","",Order!$K$16)</f>
        <v>WHITE POWDER COAT (PE/BA)</v>
      </c>
      <c r="K807" s="36">
        <f>IF($C807="","",_xlfn.XLOOKUP($C807,Order!$C:$C,Order!$P:$P,"",0,1))</f>
        <v>0</v>
      </c>
      <c r="L807" s="4">
        <f t="shared" si="12"/>
        <v>0</v>
      </c>
    </row>
    <row r="808" spans="2:12" ht="23.25" hidden="1" customHeight="1" x14ac:dyDescent="0.25">
      <c r="B808" s="4">
        <v>803</v>
      </c>
      <c r="C808" s="36" t="str">
        <f>IF(Order!$C$129="","",Order!$C$129)</f>
        <v>MP357</v>
      </c>
      <c r="D808" s="36" t="str">
        <f>IF($C808="","",_xlfn.XLOOKUP($C808,Order!$C:$C,Order!$D:$D,"",0,1))</f>
        <v>MP357</v>
      </c>
      <c r="E808" s="4" t="e" vm="317">
        <f>IF($C808="","",_xlfn.XLOOKUP($C808,Order!$C:$C,Order!$E:$E,"",0,1))</f>
        <v>#VALUE!</v>
      </c>
      <c r="F808" s="4">
        <f>IF($C808="","",_xlfn.XLOOKUP($C808,Order!$C:$C,Order!$F:$F,"",0,1))</f>
        <v>6000</v>
      </c>
      <c r="G808" s="4" t="str">
        <f>IF($C808="","",_xlfn.XLOOKUP($C808,Order!$C:$C,Order!$G:$G,"",0,1))</f>
        <v>6063T5</v>
      </c>
      <c r="H808" s="4">
        <f>IF($C808="","",_xlfn.XLOOKUP($C808,Order!$C:$C,Order!$H:$H,"",0,1))</f>
        <v>0.46200000000000002</v>
      </c>
      <c r="I808" s="36">
        <f>IF($C808="","",_xlfn.XLOOKUP($C808,Order!$C:$C,Order!$K:$K,"",0,1))</f>
        <v>0</v>
      </c>
      <c r="J808" s="4" t="str">
        <f>IF(C808="","",Order!$K$16)</f>
        <v>WHITE POWDER COAT (PE/BA)</v>
      </c>
      <c r="K808" s="36">
        <f>IF($C808="","",_xlfn.XLOOKUP($C808,Order!$C:$C,Order!$P:$P,"",0,1))</f>
        <v>0</v>
      </c>
      <c r="L808" s="4">
        <f t="shared" si="12"/>
        <v>0</v>
      </c>
    </row>
    <row r="809" spans="2:12" ht="23.25" hidden="1" customHeight="1" x14ac:dyDescent="0.25">
      <c r="B809" s="4">
        <v>804</v>
      </c>
      <c r="C809" s="36" t="str">
        <f>IF(Order!$C$130="","",Order!$C$130)</f>
        <v>MP358</v>
      </c>
      <c r="D809" s="36" t="str">
        <f>IF($C809="","",_xlfn.XLOOKUP($C809,Order!$C:$C,Order!$D:$D,"",0,1))</f>
        <v>MP358</v>
      </c>
      <c r="E809" s="4" t="e" vm="318">
        <f>IF($C809="","",_xlfn.XLOOKUP($C809,Order!$C:$C,Order!$E:$E,"",0,1))</f>
        <v>#VALUE!</v>
      </c>
      <c r="F809" s="4">
        <f>IF($C809="","",_xlfn.XLOOKUP($C809,Order!$C:$C,Order!$F:$F,"",0,1))</f>
        <v>6000</v>
      </c>
      <c r="G809" s="4" t="str">
        <f>IF($C809="","",_xlfn.XLOOKUP($C809,Order!$C:$C,Order!$G:$G,"",0,1))</f>
        <v>6063T5</v>
      </c>
      <c r="H809" s="4">
        <f>IF($C809="","",_xlfn.XLOOKUP($C809,Order!$C:$C,Order!$H:$H,"",0,1))</f>
        <v>0.42799999999999999</v>
      </c>
      <c r="I809" s="36">
        <f>IF($C809="","",_xlfn.XLOOKUP($C809,Order!$C:$C,Order!$K:$K,"",0,1))</f>
        <v>0</v>
      </c>
      <c r="J809" s="4" t="str">
        <f>IF(C809="","",Order!$K$16)</f>
        <v>WHITE POWDER COAT (PE/BA)</v>
      </c>
      <c r="K809" s="36">
        <f>IF($C809="","",_xlfn.XLOOKUP($C809,Order!$C:$C,Order!$P:$P,"",0,1))</f>
        <v>0</v>
      </c>
      <c r="L809" s="4">
        <f t="shared" si="12"/>
        <v>0</v>
      </c>
    </row>
    <row r="810" spans="2:12" ht="23.25" hidden="1" customHeight="1" x14ac:dyDescent="0.25">
      <c r="B810" s="4">
        <v>805</v>
      </c>
      <c r="C810" s="36" t="str">
        <f>IF(Order!$C$131="","",Order!$C$131)</f>
        <v>MP359</v>
      </c>
      <c r="D810" s="36" t="str">
        <f>IF($C810="","",_xlfn.XLOOKUP($C810,Order!$C:$C,Order!$D:$D,"",0,1))</f>
        <v>MP359</v>
      </c>
      <c r="E810" s="4" t="e" vm="319">
        <f>IF($C810="","",_xlfn.XLOOKUP($C810,Order!$C:$C,Order!$E:$E,"",0,1))</f>
        <v>#VALUE!</v>
      </c>
      <c r="F810" s="4">
        <f>IF($C810="","",_xlfn.XLOOKUP($C810,Order!$C:$C,Order!$F:$F,"",0,1))</f>
        <v>6000</v>
      </c>
      <c r="G810" s="4" t="str">
        <f>IF($C810="","",_xlfn.XLOOKUP($C810,Order!$C:$C,Order!$G:$G,"",0,1))</f>
        <v>6063T5</v>
      </c>
      <c r="H810" s="4">
        <f>IF($C810="","",_xlfn.XLOOKUP($C810,Order!$C:$C,Order!$H:$H,"",0,1))</f>
        <v>0.38200000000000001</v>
      </c>
      <c r="I810" s="36">
        <f>IF($C810="","",_xlfn.XLOOKUP($C810,Order!$C:$C,Order!$K:$K,"",0,1))</f>
        <v>0</v>
      </c>
      <c r="J810" s="4" t="str">
        <f>IF(C810="","",Order!$K$16)</f>
        <v>WHITE POWDER COAT (PE/BA)</v>
      </c>
      <c r="K810" s="36">
        <f>IF($C810="","",_xlfn.XLOOKUP($C810,Order!$C:$C,Order!$P:$P,"",0,1))</f>
        <v>0</v>
      </c>
      <c r="L810" s="4">
        <f t="shared" si="12"/>
        <v>0</v>
      </c>
    </row>
    <row r="811" spans="2:12" ht="23.25" hidden="1" customHeight="1" x14ac:dyDescent="0.25">
      <c r="B811" s="4">
        <v>806</v>
      </c>
      <c r="C811" s="36" t="str">
        <f>IF(Order!$C$132="","",Order!$C$132)</f>
        <v>MP360</v>
      </c>
      <c r="D811" s="36" t="str">
        <f>IF($C811="","",_xlfn.XLOOKUP($C811,Order!$C:$C,Order!$D:$D,"",0,1))</f>
        <v>MP360</v>
      </c>
      <c r="E811" s="4" t="e" vm="320">
        <f>IF($C811="","",_xlfn.XLOOKUP($C811,Order!$C:$C,Order!$E:$E,"",0,1))</f>
        <v>#VALUE!</v>
      </c>
      <c r="F811" s="4">
        <f>IF($C811="","",_xlfn.XLOOKUP($C811,Order!$C:$C,Order!$F:$F,"",0,1))</f>
        <v>6000</v>
      </c>
      <c r="G811" s="4" t="str">
        <f>IF($C811="","",_xlfn.XLOOKUP($C811,Order!$C:$C,Order!$G:$G,"",0,1))</f>
        <v>6063T5</v>
      </c>
      <c r="H811" s="4">
        <f>IF($C811="","",_xlfn.XLOOKUP($C811,Order!$C:$C,Order!$H:$H,"",0,1))</f>
        <v>0.313</v>
      </c>
      <c r="I811" s="36">
        <f>IF($C811="","",_xlfn.XLOOKUP($C811,Order!$C:$C,Order!$K:$K,"",0,1))</f>
        <v>0</v>
      </c>
      <c r="J811" s="4" t="str">
        <f>IF(C811="","",Order!$K$16)</f>
        <v>WHITE POWDER COAT (PE/BA)</v>
      </c>
      <c r="K811" s="36">
        <f>IF($C811="","",_xlfn.XLOOKUP($C811,Order!$C:$C,Order!$P:$P,"",0,1))</f>
        <v>0</v>
      </c>
      <c r="L811" s="4">
        <f t="shared" si="12"/>
        <v>0</v>
      </c>
    </row>
    <row r="812" spans="2:12" ht="23.25" hidden="1" customHeight="1" x14ac:dyDescent="0.25">
      <c r="B812" s="4">
        <v>807</v>
      </c>
      <c r="C812" s="36" t="str">
        <f>IF(Order!$C$133="","",Order!$C$133)</f>
        <v>MP361</v>
      </c>
      <c r="D812" s="36" t="str">
        <f>IF($C812="","",_xlfn.XLOOKUP($C812,Order!$C:$C,Order!$D:$D,"",0,1))</f>
        <v>MP361</v>
      </c>
      <c r="E812" s="4" t="e" vm="321">
        <f>IF($C812="","",_xlfn.XLOOKUP($C812,Order!$C:$C,Order!$E:$E,"",0,1))</f>
        <v>#VALUE!</v>
      </c>
      <c r="F812" s="4">
        <f>IF($C812="","",_xlfn.XLOOKUP($C812,Order!$C:$C,Order!$F:$F,"",0,1))</f>
        <v>6000</v>
      </c>
      <c r="G812" s="4" t="str">
        <f>IF($C812="","",_xlfn.XLOOKUP($C812,Order!$C:$C,Order!$G:$G,"",0,1))</f>
        <v>6063T5</v>
      </c>
      <c r="H812" s="4">
        <f>IF($C812="","",_xlfn.XLOOKUP($C812,Order!$C:$C,Order!$H:$H,"",0,1))</f>
        <v>1.06</v>
      </c>
      <c r="I812" s="36">
        <f>IF($C812="","",_xlfn.XLOOKUP($C812,Order!$C:$C,Order!$K:$K,"",0,1))</f>
        <v>0</v>
      </c>
      <c r="J812" s="4" t="str">
        <f>IF(C812="","",Order!$K$16)</f>
        <v>WHITE POWDER COAT (PE/BA)</v>
      </c>
      <c r="K812" s="36">
        <f>IF($C812="","",_xlfn.XLOOKUP($C812,Order!$C:$C,Order!$P:$P,"",0,1))</f>
        <v>0</v>
      </c>
      <c r="L812" s="4">
        <f t="shared" si="12"/>
        <v>0</v>
      </c>
    </row>
    <row r="813" spans="2:12" ht="23.25" hidden="1" customHeight="1" x14ac:dyDescent="0.25">
      <c r="B813" s="4">
        <v>808</v>
      </c>
      <c r="C813" s="36" t="str">
        <f>IF(Order!$C$134="","",Order!$C$134)</f>
        <v>MP362</v>
      </c>
      <c r="D813" s="36" t="str">
        <f>IF($C813="","",_xlfn.XLOOKUP($C813,Order!$C:$C,Order!$D:$D,"",0,1))</f>
        <v>MP362</v>
      </c>
      <c r="E813" s="4" t="e" vm="322">
        <f>IF($C813="","",_xlfn.XLOOKUP($C813,Order!$C:$C,Order!$E:$E,"",0,1))</f>
        <v>#VALUE!</v>
      </c>
      <c r="F813" s="4">
        <f>IF($C813="","",_xlfn.XLOOKUP($C813,Order!$C:$C,Order!$F:$F,"",0,1))</f>
        <v>6000</v>
      </c>
      <c r="G813" s="4" t="str">
        <f>IF($C813="","",_xlfn.XLOOKUP($C813,Order!$C:$C,Order!$G:$G,"",0,1))</f>
        <v>6063T5</v>
      </c>
      <c r="H813" s="4">
        <f>IF($C813="","",_xlfn.XLOOKUP($C813,Order!$C:$C,Order!$H:$H,"",0,1))</f>
        <v>0.98199999999999998</v>
      </c>
      <c r="I813" s="36">
        <f>IF($C813="","",_xlfn.XLOOKUP($C813,Order!$C:$C,Order!$K:$K,"",0,1))</f>
        <v>0</v>
      </c>
      <c r="J813" s="4" t="str">
        <f>IF(C813="","",Order!$K$16)</f>
        <v>WHITE POWDER COAT (PE/BA)</v>
      </c>
      <c r="K813" s="36">
        <f>IF($C813="","",_xlfn.XLOOKUP($C813,Order!$C:$C,Order!$P:$P,"",0,1))</f>
        <v>0</v>
      </c>
      <c r="L813" s="4">
        <f t="shared" si="12"/>
        <v>0</v>
      </c>
    </row>
    <row r="814" spans="2:12" ht="23.25" hidden="1" customHeight="1" x14ac:dyDescent="0.25">
      <c r="B814" s="4">
        <v>809</v>
      </c>
      <c r="C814" s="36" t="str">
        <f>IF(Order!$C$135="","",Order!$C$135)</f>
        <v>MP363</v>
      </c>
      <c r="D814" s="36" t="str">
        <f>IF($C814="","",_xlfn.XLOOKUP($C814,Order!$C:$C,Order!$D:$D,"",0,1))</f>
        <v>MP363</v>
      </c>
      <c r="E814" s="4" t="e" vm="323">
        <f>IF($C814="","",_xlfn.XLOOKUP($C814,Order!$C:$C,Order!$E:$E,"",0,1))</f>
        <v>#VALUE!</v>
      </c>
      <c r="F814" s="4">
        <f>IF($C814="","",_xlfn.XLOOKUP($C814,Order!$C:$C,Order!$F:$F,"",0,1))</f>
        <v>6000</v>
      </c>
      <c r="G814" s="4" t="str">
        <f>IF($C814="","",_xlfn.XLOOKUP($C814,Order!$C:$C,Order!$G:$G,"",0,1))</f>
        <v>6063T5</v>
      </c>
      <c r="H814" s="4">
        <f>IF($C814="","",_xlfn.XLOOKUP($C814,Order!$C:$C,Order!$H:$H,"",0,1))</f>
        <v>0.49</v>
      </c>
      <c r="I814" s="36">
        <f>IF($C814="","",_xlfn.XLOOKUP($C814,Order!$C:$C,Order!$K:$K,"",0,1))</f>
        <v>0</v>
      </c>
      <c r="J814" s="4" t="str">
        <f>IF(C814="","",Order!$K$16)</f>
        <v>WHITE POWDER COAT (PE/BA)</v>
      </c>
      <c r="K814" s="36">
        <f>IF($C814="","",_xlfn.XLOOKUP($C814,Order!$C:$C,Order!$P:$P,"",0,1))</f>
        <v>0</v>
      </c>
      <c r="L814" s="4">
        <f t="shared" si="12"/>
        <v>0</v>
      </c>
    </row>
    <row r="815" spans="2:12" ht="23.25" hidden="1" customHeight="1" x14ac:dyDescent="0.25">
      <c r="B815" s="4">
        <v>810</v>
      </c>
      <c r="C815" s="36" t="str">
        <f>IF(Order!$C$136="","",Order!$C$136)</f>
        <v>MP370</v>
      </c>
      <c r="D815" s="36" t="str">
        <f>IF($C815="","",_xlfn.XLOOKUP($C815,Order!$C:$C,Order!$D:$D,"",0,1))</f>
        <v>MP370</v>
      </c>
      <c r="E815" s="4" t="e" vm="324">
        <f>IF($C815="","",_xlfn.XLOOKUP($C815,Order!$C:$C,Order!$E:$E,"",0,1))</f>
        <v>#VALUE!</v>
      </c>
      <c r="F815" s="4">
        <f>IF($C815="","",_xlfn.XLOOKUP($C815,Order!$C:$C,Order!$F:$F,"",0,1))</f>
        <v>6000</v>
      </c>
      <c r="G815" s="4" t="str">
        <f>IF($C815="","",_xlfn.XLOOKUP($C815,Order!$C:$C,Order!$G:$G,"",0,1))</f>
        <v>6063T5</v>
      </c>
      <c r="H815" s="4">
        <f>IF($C815="","",_xlfn.XLOOKUP($C815,Order!$C:$C,Order!$H:$H,"",0,1))</f>
        <v>0.58099999999999996</v>
      </c>
      <c r="I815" s="36">
        <f>IF($C815="","",_xlfn.XLOOKUP($C815,Order!$C:$C,Order!$K:$K,"",0,1))</f>
        <v>0</v>
      </c>
      <c r="J815" s="4" t="str">
        <f>IF(C815="","",Order!$K$16)</f>
        <v>WHITE POWDER COAT (PE/BA)</v>
      </c>
      <c r="K815" s="36">
        <f>IF($C815="","",_xlfn.XLOOKUP($C815,Order!$C:$C,Order!$P:$P,"",0,1))</f>
        <v>0</v>
      </c>
      <c r="L815" s="4">
        <f t="shared" si="12"/>
        <v>0</v>
      </c>
    </row>
    <row r="816" spans="2:12" ht="23.25" customHeight="1" x14ac:dyDescent="0.25">
      <c r="B816" s="4">
        <v>811</v>
      </c>
      <c r="C816" s="36" t="str">
        <f>IF(Order!$C$137="","",Order!$C$137)</f>
        <v>BG001</v>
      </c>
      <c r="D816" s="36" t="str">
        <f>IF($C816="","",_xlfn.XLOOKUP($C816,Order!$C:$C,Order!$D:$D,"",0,1))</f>
        <v>BG001</v>
      </c>
      <c r="E816" s="4" t="e" vm="325">
        <f>IF($C816="","",_xlfn.XLOOKUP($C816,Order!$C:$C,Order!$E:$E,"",0,1))</f>
        <v>#VALUE!</v>
      </c>
      <c r="F816" s="4">
        <f>IF($C816="","",_xlfn.XLOOKUP($C816,Order!$C:$C,Order!$F:$F,"",0,1))</f>
        <v>6000</v>
      </c>
      <c r="G816" s="4" t="str">
        <f>IF($C816="","",_xlfn.XLOOKUP($C816,Order!$C:$C,Order!$G:$G,"",0,1))</f>
        <v>6063T5</v>
      </c>
      <c r="H816" s="4">
        <f>IF($C816="","",_xlfn.XLOOKUP($C816,Order!$C:$C,Order!$H:$H,"",0,1))</f>
        <v>0.10299999999999999</v>
      </c>
      <c r="I816" s="36">
        <f>IF($C816="","",_xlfn.XLOOKUP($C816,Order!$C:$C,Order!$K:$K,"",0,1))</f>
        <v>300</v>
      </c>
      <c r="J816" s="4" t="str">
        <f>IF(C816="","",Order!$K$16)</f>
        <v>WHITE POWDER COAT (PE/BA)</v>
      </c>
      <c r="K816" s="36">
        <f>IF($C816="","",_xlfn.XLOOKUP($C816,Order!$C:$C,Order!$P:$P,"",0,1))</f>
        <v>0</v>
      </c>
      <c r="L816" s="4">
        <f t="shared" si="12"/>
        <v>185.4</v>
      </c>
    </row>
    <row r="817" spans="2:12" ht="23.25" hidden="1" customHeight="1" x14ac:dyDescent="0.25">
      <c r="B817" s="4">
        <v>812</v>
      </c>
      <c r="C817" s="36" t="str">
        <f>IF(Order!$C$138="","",Order!$C$138)</f>
        <v>BG035</v>
      </c>
      <c r="D817" s="36" t="str">
        <f>IF($C817="","",_xlfn.XLOOKUP($C817,Order!$C:$C,Order!$D:$D,"",0,1))</f>
        <v>BG035</v>
      </c>
      <c r="E817" s="4" t="e" vm="326">
        <f>IF($C817="","",_xlfn.XLOOKUP($C817,Order!$C:$C,Order!$E:$E,"",0,1))</f>
        <v>#VALUE!</v>
      </c>
      <c r="F817" s="4">
        <f>IF($C817="","",_xlfn.XLOOKUP($C817,Order!$C:$C,Order!$F:$F,"",0,1))</f>
        <v>6000</v>
      </c>
      <c r="G817" s="4" t="str">
        <f>IF($C817="","",_xlfn.XLOOKUP($C817,Order!$C:$C,Order!$G:$G,"",0,1))</f>
        <v>6063T5</v>
      </c>
      <c r="H817" s="4">
        <f>IF($C817="","",_xlfn.XLOOKUP($C817,Order!$C:$C,Order!$H:$H,"",0,1))</f>
        <v>0.108</v>
      </c>
      <c r="I817" s="36">
        <f>IF($C817="","",_xlfn.XLOOKUP($C817,Order!$C:$C,Order!$K:$K,"",0,1))</f>
        <v>0</v>
      </c>
      <c r="J817" s="4" t="str">
        <f>IF(C817="","",Order!$K$16)</f>
        <v>WHITE POWDER COAT (PE/BA)</v>
      </c>
      <c r="K817" s="36">
        <f>IF($C817="","",_xlfn.XLOOKUP($C817,Order!$C:$C,Order!$P:$P,"",0,1))</f>
        <v>0</v>
      </c>
      <c r="L817" s="4">
        <f t="shared" si="12"/>
        <v>0</v>
      </c>
    </row>
    <row r="818" spans="2:12" ht="23.25" hidden="1" customHeight="1" x14ac:dyDescent="0.25">
      <c r="B818" s="4">
        <v>813</v>
      </c>
      <c r="C818" s="36" t="str">
        <f>IF(Order!$C$139="","",Order!$C$139)</f>
        <v>ME056</v>
      </c>
      <c r="D818" s="36" t="str">
        <f>IF($C818="","",_xlfn.XLOOKUP($C818,Order!$C:$C,Order!$D:$D,"",0,1))</f>
        <v>ME056</v>
      </c>
      <c r="E818" s="4" t="e" vm="327">
        <f>IF($C818="","",_xlfn.XLOOKUP($C818,Order!$C:$C,Order!$E:$E,"",0,1))</f>
        <v>#VALUE!</v>
      </c>
      <c r="F818" s="4">
        <f>IF($C818="","",_xlfn.XLOOKUP($C818,Order!$C:$C,Order!$F:$F,"",0,1))</f>
        <v>6000</v>
      </c>
      <c r="G818" s="4" t="str">
        <f>IF($C818="","",_xlfn.XLOOKUP($C818,Order!$C:$C,Order!$G:$G,"",0,1))</f>
        <v>6063T5</v>
      </c>
      <c r="H818" s="4">
        <f>IF($C818="","",_xlfn.XLOOKUP($C818,Order!$C:$C,Order!$H:$H,"",0,1))</f>
        <v>0.16900000000000001</v>
      </c>
      <c r="I818" s="36">
        <f>IF($C818="","",_xlfn.XLOOKUP($C818,Order!$C:$C,Order!$K:$K,"",0,1))</f>
        <v>0</v>
      </c>
      <c r="J818" s="4" t="str">
        <f>IF(C818="","",Order!$K$16)</f>
        <v>WHITE POWDER COAT (PE/BA)</v>
      </c>
      <c r="K818" s="36">
        <f>IF($C818="","",_xlfn.XLOOKUP($C818,Order!$C:$C,Order!$P:$P,"",0,1))</f>
        <v>0</v>
      </c>
      <c r="L818" s="4">
        <f t="shared" si="12"/>
        <v>0</v>
      </c>
    </row>
    <row r="819" spans="2:12" ht="23.25" customHeight="1" x14ac:dyDescent="0.25">
      <c r="B819" s="4">
        <v>814</v>
      </c>
      <c r="C819" s="36">
        <f>IF(Order!$C$140="","",Order!$C$140)</f>
        <v>25001</v>
      </c>
      <c r="D819" s="36">
        <f>IF($C819="","",_xlfn.XLOOKUP($C819,Order!$C:$C,Order!$D:$D,"",0,1))</f>
        <v>25001</v>
      </c>
      <c r="E819" s="4" t="e" vm="328">
        <f>IF($C819="","",_xlfn.XLOOKUP($C819,Order!$C:$C,Order!$E:$E,"",0,1))</f>
        <v>#VALUE!</v>
      </c>
      <c r="F819" s="4">
        <f>IF($C819="","",_xlfn.XLOOKUP($C819,Order!$C:$C,Order!$F:$F,"",0,1))</f>
        <v>6000</v>
      </c>
      <c r="G819" s="4" t="str">
        <f>IF($C819="","",_xlfn.XLOOKUP($C819,Order!$C:$C,Order!$G:$G,"",0,1))</f>
        <v>6063T5</v>
      </c>
      <c r="H819" s="4">
        <f>IF($C819="","",_xlfn.XLOOKUP($C819,Order!$C:$C,Order!$H:$H,"",0,1))</f>
        <v>0.28599999999999998</v>
      </c>
      <c r="I819" s="36">
        <f>IF($C819="","",_xlfn.XLOOKUP($C819,Order!$C:$C,Order!$K:$K,"",0,1))</f>
        <v>100</v>
      </c>
      <c r="J819" s="4" t="str">
        <f>IF(C819="","",Order!$K$16)</f>
        <v>WHITE POWDER COAT (PE/BA)</v>
      </c>
      <c r="K819" s="36">
        <f>IF($C819="","",_xlfn.XLOOKUP($C819,Order!$C:$C,Order!$P:$P,"",0,1))</f>
        <v>0</v>
      </c>
      <c r="L819" s="4">
        <f t="shared" si="12"/>
        <v>171.59999999999997</v>
      </c>
    </row>
    <row r="820" spans="2:12" ht="23.25" customHeight="1" x14ac:dyDescent="0.25">
      <c r="B820" s="4">
        <v>815</v>
      </c>
      <c r="C820" s="36" t="str">
        <f>IF(Order!$C$141="","",Order!$C$141)</f>
        <v>25002L</v>
      </c>
      <c r="D820" s="36" t="str">
        <f>IF($C820="","",_xlfn.XLOOKUP($C820,Order!$C:$C,Order!$D:$D,"",0,1))</f>
        <v>25002L</v>
      </c>
      <c r="E820" s="4" t="e" vm="329">
        <f>IF($C820="","",_xlfn.XLOOKUP($C820,Order!$C:$C,Order!$E:$E,"",0,1))</f>
        <v>#VALUE!</v>
      </c>
      <c r="F820" s="4">
        <f>IF($C820="","",_xlfn.XLOOKUP($C820,Order!$C:$C,Order!$F:$F,"",0,1))</f>
        <v>6000</v>
      </c>
      <c r="G820" s="4" t="str">
        <f>IF($C820="","",_xlfn.XLOOKUP($C820,Order!$C:$C,Order!$G:$G,"",0,1))</f>
        <v>6063T5</v>
      </c>
      <c r="H820" s="4">
        <f>IF($C820="","",_xlfn.XLOOKUP($C820,Order!$C:$C,Order!$H:$H,"",0,1))</f>
        <v>0.24399999999999999</v>
      </c>
      <c r="I820" s="36">
        <f>IF($C820="","",_xlfn.XLOOKUP($C820,Order!$C:$C,Order!$K:$K,"",0,1))</f>
        <v>300</v>
      </c>
      <c r="J820" s="4" t="str">
        <f>IF(C820="","",Order!$K$16)</f>
        <v>WHITE POWDER COAT (PE/BA)</v>
      </c>
      <c r="K820" s="36">
        <f>IF($C820="","",_xlfn.XLOOKUP($C820,Order!$C:$C,Order!$P:$P,"",0,1))</f>
        <v>0</v>
      </c>
      <c r="L820" s="4">
        <f t="shared" si="12"/>
        <v>439.2</v>
      </c>
    </row>
    <row r="821" spans="2:12" ht="23.25" customHeight="1" x14ac:dyDescent="0.25">
      <c r="B821" s="4">
        <v>816</v>
      </c>
      <c r="C821" s="36">
        <f>IF(Order!$C$142="","",Order!$C$142)</f>
        <v>25016</v>
      </c>
      <c r="D821" s="36">
        <f>IF($C821="","",_xlfn.XLOOKUP($C821,Order!$C:$C,Order!$D:$D,"",0,1))</f>
        <v>25016</v>
      </c>
      <c r="E821" s="4" t="e" vm="330">
        <f>IF($C821="","",_xlfn.XLOOKUP($C821,Order!$C:$C,Order!$E:$E,"",0,1))</f>
        <v>#VALUE!</v>
      </c>
      <c r="F821" s="4">
        <f>IF($C821="","",_xlfn.XLOOKUP($C821,Order!$C:$C,Order!$F:$F,"",0,1))</f>
        <v>6000</v>
      </c>
      <c r="G821" s="4" t="str">
        <f>IF($C821="","",_xlfn.XLOOKUP($C821,Order!$C:$C,Order!$G:$G,"",0,1))</f>
        <v>6063T5</v>
      </c>
      <c r="H821" s="4">
        <f>IF($C821="","",_xlfn.XLOOKUP($C821,Order!$C:$C,Order!$H:$H,"",0,1))</f>
        <v>0.32300000000000001</v>
      </c>
      <c r="I821" s="36">
        <f>IF($C821="","",_xlfn.XLOOKUP($C821,Order!$C:$C,Order!$K:$K,"",0,1))</f>
        <v>300</v>
      </c>
      <c r="J821" s="4" t="str">
        <f>IF(C821="","",Order!$K$16)</f>
        <v>WHITE POWDER COAT (PE/BA)</v>
      </c>
      <c r="K821" s="36">
        <f>IF($C821="","",_xlfn.XLOOKUP($C821,Order!$C:$C,Order!$P:$P,"",0,1))</f>
        <v>0</v>
      </c>
      <c r="L821" s="4">
        <f t="shared" si="12"/>
        <v>581.40000000000009</v>
      </c>
    </row>
    <row r="822" spans="2:12" ht="23.25" hidden="1" customHeight="1" x14ac:dyDescent="0.25">
      <c r="B822" s="4">
        <v>817</v>
      </c>
      <c r="C822" s="36">
        <f>IF(Order!$C$143="","",Order!$C$143)</f>
        <v>25021</v>
      </c>
      <c r="D822" s="36">
        <f>IF($C822="","",_xlfn.XLOOKUP($C822,Order!$C:$C,Order!$D:$D,"",0,1))</f>
        <v>25021</v>
      </c>
      <c r="E822" s="4" t="e" vm="331">
        <f>IF($C822="","",_xlfn.XLOOKUP($C822,Order!$C:$C,Order!$E:$E,"",0,1))</f>
        <v>#VALUE!</v>
      </c>
      <c r="F822" s="4">
        <f>IF($C822="","",_xlfn.XLOOKUP($C822,Order!$C:$C,Order!$F:$F,"",0,1))</f>
        <v>6000</v>
      </c>
      <c r="G822" s="4" t="str">
        <f>IF($C822="","",_xlfn.XLOOKUP($C822,Order!$C:$C,Order!$G:$G,"",0,1))</f>
        <v>6063T5</v>
      </c>
      <c r="H822" s="4">
        <f>IF($C822="","",_xlfn.XLOOKUP($C822,Order!$C:$C,Order!$H:$H,"",0,1))</f>
        <v>0.21299999999999999</v>
      </c>
      <c r="I822" s="36">
        <f>IF($C822="","",_xlfn.XLOOKUP($C822,Order!$C:$C,Order!$K:$K,"",0,1))</f>
        <v>0</v>
      </c>
      <c r="J822" s="4" t="str">
        <f>IF(C822="","",Order!$K$16)</f>
        <v>WHITE POWDER COAT (PE/BA)</v>
      </c>
      <c r="K822" s="36">
        <f>IF($C822="","",_xlfn.XLOOKUP($C822,Order!$C:$C,Order!$P:$P,"",0,1))</f>
        <v>0</v>
      </c>
      <c r="L822" s="4">
        <f t="shared" si="12"/>
        <v>0</v>
      </c>
    </row>
    <row r="823" spans="2:12" ht="23.25" customHeight="1" x14ac:dyDescent="0.25">
      <c r="B823" s="4">
        <v>818</v>
      </c>
      <c r="C823" s="36">
        <f>IF(Order!$C$144="","",Order!$C$144)</f>
        <v>25026</v>
      </c>
      <c r="D823" s="36">
        <f>IF($C823="","",_xlfn.XLOOKUP($C823,Order!$C:$C,Order!$D:$D,"",0,1))</f>
        <v>25026</v>
      </c>
      <c r="E823" s="4" t="e" vm="332">
        <f>IF($C823="","",_xlfn.XLOOKUP($C823,Order!$C:$C,Order!$E:$E,"",0,1))</f>
        <v>#VALUE!</v>
      </c>
      <c r="F823" s="4">
        <f>IF($C823="","",_xlfn.XLOOKUP($C823,Order!$C:$C,Order!$F:$F,"",0,1))</f>
        <v>6000</v>
      </c>
      <c r="G823" s="4" t="str">
        <f>IF($C823="","",_xlfn.XLOOKUP($C823,Order!$C:$C,Order!$G:$G,"",0,1))</f>
        <v>6063T5</v>
      </c>
      <c r="H823" s="4">
        <f>IF($C823="","",_xlfn.XLOOKUP($C823,Order!$C:$C,Order!$H:$H,"",0,1))</f>
        <v>0.47599999999999998</v>
      </c>
      <c r="I823" s="36">
        <f>IF($C823="","",_xlfn.XLOOKUP($C823,Order!$C:$C,Order!$K:$K,"",0,1))</f>
        <v>80</v>
      </c>
      <c r="J823" s="4" t="str">
        <f>IF(C823="","",Order!$K$16)</f>
        <v>WHITE POWDER COAT (PE/BA)</v>
      </c>
      <c r="K823" s="36">
        <f>IF($C823="","",_xlfn.XLOOKUP($C823,Order!$C:$C,Order!$P:$P,"",0,1))</f>
        <v>0</v>
      </c>
      <c r="L823" s="4">
        <f t="shared" si="12"/>
        <v>228.48</v>
      </c>
    </row>
    <row r="824" spans="2:12" ht="23.25" hidden="1" customHeight="1" x14ac:dyDescent="0.25">
      <c r="B824" s="4">
        <v>819</v>
      </c>
      <c r="C824" s="36" t="str">
        <f>IF(Order!$C$145="","",Order!$C$145)</f>
        <v>25048 (MM-376)</v>
      </c>
      <c r="D824" s="36">
        <f>IF($C824="","",_xlfn.XLOOKUP($C824,Order!$C:$C,Order!$D:$D,"",0,1))</f>
        <v>25048</v>
      </c>
      <c r="E824" s="4" t="e" vm="333">
        <f>IF($C824="","",_xlfn.XLOOKUP($C824,Order!$C:$C,Order!$E:$E,"",0,1))</f>
        <v>#VALUE!</v>
      </c>
      <c r="F824" s="4">
        <f>IF($C824="","",_xlfn.XLOOKUP($C824,Order!$C:$C,Order!$F:$F,"",0,1))</f>
        <v>6000</v>
      </c>
      <c r="G824" s="4" t="str">
        <f>IF($C824="","",_xlfn.XLOOKUP($C824,Order!$C:$C,Order!$G:$G,"",0,1))</f>
        <v>6063T5</v>
      </c>
      <c r="H824" s="4">
        <f>IF($C824="","",_xlfn.XLOOKUP($C824,Order!$C:$C,Order!$H:$H,"",0,1))</f>
        <v>0.436</v>
      </c>
      <c r="I824" s="36">
        <f>IF($C824="","",_xlfn.XLOOKUP($C824,Order!$C:$C,Order!$K:$K,"",0,1))</f>
        <v>0</v>
      </c>
      <c r="J824" s="4" t="str">
        <f>IF(C824="","",Order!$K$16)</f>
        <v>WHITE POWDER COAT (PE/BA)</v>
      </c>
      <c r="K824" s="36">
        <f>IF($C824="","",_xlfn.XLOOKUP($C824,Order!$C:$C,Order!$P:$P,"",0,1))</f>
        <v>0</v>
      </c>
      <c r="L824" s="4">
        <f t="shared" si="12"/>
        <v>0</v>
      </c>
    </row>
    <row r="825" spans="2:12" ht="23.25" hidden="1" customHeight="1" x14ac:dyDescent="0.25">
      <c r="B825" s="4">
        <v>820</v>
      </c>
      <c r="C825" s="36" t="str">
        <f>IF(Order!$C$146="","",Order!$C$146)</f>
        <v>25052 (MM-375)</v>
      </c>
      <c r="D825" s="36">
        <f>IF($C825="","",_xlfn.XLOOKUP($C825,Order!$C:$C,Order!$D:$D,"",0,1))</f>
        <v>25052</v>
      </c>
      <c r="E825" s="4" t="e" vm="334">
        <f>IF($C825="","",_xlfn.XLOOKUP($C825,Order!$C:$C,Order!$E:$E,"",0,1))</f>
        <v>#VALUE!</v>
      </c>
      <c r="F825" s="4">
        <f>IF($C825="","",_xlfn.XLOOKUP($C825,Order!$C:$C,Order!$F:$F,"",0,1))</f>
        <v>6000</v>
      </c>
      <c r="G825" s="4" t="str">
        <f>IF($C825="","",_xlfn.XLOOKUP($C825,Order!$C:$C,Order!$G:$G,"",0,1))</f>
        <v>6063T5</v>
      </c>
      <c r="H825" s="4">
        <f>IF($C825="","",_xlfn.XLOOKUP($C825,Order!$C:$C,Order!$H:$H,"",0,1))</f>
        <v>0.33</v>
      </c>
      <c r="I825" s="36">
        <f>IF($C825="","",_xlfn.XLOOKUP($C825,Order!$C:$C,Order!$K:$K,"",0,1))</f>
        <v>0</v>
      </c>
      <c r="J825" s="4" t="str">
        <f>IF(C825="","",Order!$K$16)</f>
        <v>WHITE POWDER COAT (PE/BA)</v>
      </c>
      <c r="K825" s="36">
        <f>IF($C825="","",_xlfn.XLOOKUP($C825,Order!$C:$C,Order!$P:$P,"",0,1))</f>
        <v>0</v>
      </c>
      <c r="L825" s="4">
        <f t="shared" si="12"/>
        <v>0</v>
      </c>
    </row>
    <row r="826" spans="2:12" ht="23.25" hidden="1" customHeight="1" x14ac:dyDescent="0.25">
      <c r="B826" s="4">
        <v>821</v>
      </c>
      <c r="C826" s="36">
        <f>IF(Order!$C$147="","",Order!$C$147)</f>
        <v>25301</v>
      </c>
      <c r="D826" s="36">
        <f>IF($C826="","",_xlfn.XLOOKUP($C826,Order!$C:$C,Order!$D:$D,"",0,1))</f>
        <v>25301</v>
      </c>
      <c r="E826" s="4" t="e" vm="335">
        <f>IF($C826="","",_xlfn.XLOOKUP($C826,Order!$C:$C,Order!$E:$E,"",0,1))</f>
        <v>#VALUE!</v>
      </c>
      <c r="F826" s="4">
        <f>IF($C826="","",_xlfn.XLOOKUP($C826,Order!$C:$C,Order!$F:$F,"",0,1))</f>
        <v>6000</v>
      </c>
      <c r="G826" s="4" t="str">
        <f>IF($C826="","",_xlfn.XLOOKUP($C826,Order!$C:$C,Order!$G:$G,"",0,1))</f>
        <v>6063T5</v>
      </c>
      <c r="H826" s="4">
        <f>IF($C826="","",_xlfn.XLOOKUP($C826,Order!$C:$C,Order!$H:$H,"",0,1))</f>
        <v>0.29299999999999998</v>
      </c>
      <c r="I826" s="36">
        <f>IF($C826="","",_xlfn.XLOOKUP($C826,Order!$C:$C,Order!$K:$K,"",0,1))</f>
        <v>0</v>
      </c>
      <c r="J826" s="4" t="str">
        <f>IF(C826="","",Order!$K$16)</f>
        <v>WHITE POWDER COAT (PE/BA)</v>
      </c>
      <c r="K826" s="36">
        <f>IF($C826="","",_xlfn.XLOOKUP($C826,Order!$C:$C,Order!$P:$P,"",0,1))</f>
        <v>0</v>
      </c>
      <c r="L826" s="4">
        <f t="shared" si="12"/>
        <v>0</v>
      </c>
    </row>
    <row r="827" spans="2:12" ht="23.25" hidden="1" customHeight="1" x14ac:dyDescent="0.25">
      <c r="B827" s="4">
        <v>822</v>
      </c>
      <c r="C827" s="36">
        <f>IF(Order!$C$148="","",Order!$C$148)</f>
        <v>25311</v>
      </c>
      <c r="D827" s="36">
        <f>IF($C827="","",_xlfn.XLOOKUP($C827,Order!$C:$C,Order!$D:$D,"",0,1))</f>
        <v>25311</v>
      </c>
      <c r="E827" s="4" t="e" vm="336">
        <f>IF($C827="","",_xlfn.XLOOKUP($C827,Order!$C:$C,Order!$E:$E,"",0,1))</f>
        <v>#VALUE!</v>
      </c>
      <c r="F827" s="4">
        <f>IF($C827="","",_xlfn.XLOOKUP($C827,Order!$C:$C,Order!$F:$F,"",0,1))</f>
        <v>6000</v>
      </c>
      <c r="G827" s="4" t="str">
        <f>IF($C827="","",_xlfn.XLOOKUP($C827,Order!$C:$C,Order!$G:$G,"",0,1))</f>
        <v>6063T5</v>
      </c>
      <c r="H827" s="4">
        <f>IF($C827="","",_xlfn.XLOOKUP($C827,Order!$C:$C,Order!$H:$H,"",0,1))</f>
        <v>0.28899999999999998</v>
      </c>
      <c r="I827" s="36">
        <f>IF($C827="","",_xlfn.XLOOKUP($C827,Order!$C:$C,Order!$K:$K,"",0,1))</f>
        <v>0</v>
      </c>
      <c r="J827" s="4" t="str">
        <f>IF(C827="","",Order!$K$16)</f>
        <v>WHITE POWDER COAT (PE/BA)</v>
      </c>
      <c r="K827" s="36">
        <f>IF($C827="","",_xlfn.XLOOKUP($C827,Order!$C:$C,Order!$P:$P,"",0,1))</f>
        <v>0</v>
      </c>
      <c r="L827" s="4">
        <f t="shared" si="12"/>
        <v>0</v>
      </c>
    </row>
    <row r="828" spans="2:12" ht="23.25" hidden="1" customHeight="1" x14ac:dyDescent="0.25">
      <c r="B828" s="4">
        <v>823</v>
      </c>
      <c r="C828" s="36" t="str">
        <f>IF(Order!$C$149="","",Order!$C$149)</f>
        <v>25312(25046)</v>
      </c>
      <c r="D828" s="36">
        <f>IF($C828="","",_xlfn.XLOOKUP($C828,Order!$C:$C,Order!$D:$D,"",0,1))</f>
        <v>25312</v>
      </c>
      <c r="E828" s="4" t="e" vm="337">
        <f>IF($C828="","",_xlfn.XLOOKUP($C828,Order!$C:$C,Order!$E:$E,"",0,1))</f>
        <v>#VALUE!</v>
      </c>
      <c r="F828" s="4">
        <f>IF($C828="","",_xlfn.XLOOKUP($C828,Order!$C:$C,Order!$F:$F,"",0,1))</f>
        <v>6000</v>
      </c>
      <c r="G828" s="4" t="str">
        <f>IF($C828="","",_xlfn.XLOOKUP($C828,Order!$C:$C,Order!$G:$G,"",0,1))</f>
        <v>6063T5</v>
      </c>
      <c r="H828" s="4">
        <f>IF($C828="","",_xlfn.XLOOKUP($C828,Order!$C:$C,Order!$H:$H,"",0,1))</f>
        <v>0.316</v>
      </c>
      <c r="I828" s="36">
        <f>IF($C828="","",_xlfn.XLOOKUP($C828,Order!$C:$C,Order!$K:$K,"",0,1))</f>
        <v>0</v>
      </c>
      <c r="J828" s="4" t="str">
        <f>IF(C828="","",Order!$K$16)</f>
        <v>WHITE POWDER COAT (PE/BA)</v>
      </c>
      <c r="K828" s="36">
        <f>IF($C828="","",_xlfn.XLOOKUP($C828,Order!$C:$C,Order!$P:$P,"",0,1))</f>
        <v>0</v>
      </c>
      <c r="L828" s="4">
        <f t="shared" si="12"/>
        <v>0</v>
      </c>
    </row>
    <row r="829" spans="2:12" ht="23.25" customHeight="1" x14ac:dyDescent="0.25">
      <c r="B829" s="4">
        <v>824</v>
      </c>
      <c r="C829" s="36" t="str">
        <f>IF(Order!$C$150="","",Order!$C$150)</f>
        <v>25504L</v>
      </c>
      <c r="D829" s="36" t="str">
        <f>IF($C829="","",_xlfn.XLOOKUP($C829,Order!$C:$C,Order!$D:$D,"",0,1))</f>
        <v>25504L</v>
      </c>
      <c r="E829" s="4" t="e" vm="338">
        <f>IF($C829="","",_xlfn.XLOOKUP($C829,Order!$C:$C,Order!$E:$E,"",0,1))</f>
        <v>#VALUE!</v>
      </c>
      <c r="F829" s="4">
        <f>IF($C829="","",_xlfn.XLOOKUP($C829,Order!$C:$C,Order!$F:$F,"",0,1))</f>
        <v>6000</v>
      </c>
      <c r="G829" s="4" t="str">
        <f>IF($C829="","",_xlfn.XLOOKUP($C829,Order!$C:$C,Order!$G:$G,"",0,1))</f>
        <v>6063T5</v>
      </c>
      <c r="H829" s="4">
        <f>IF($C829="","",_xlfn.XLOOKUP($C829,Order!$C:$C,Order!$H:$H,"",0,1))</f>
        <v>0.39200000000000002</v>
      </c>
      <c r="I829" s="36">
        <f>IF($C829="","",_xlfn.XLOOKUP($C829,Order!$C:$C,Order!$K:$K,"",0,1))</f>
        <v>300</v>
      </c>
      <c r="J829" s="4" t="str">
        <f>IF(C829="","",Order!$K$16)</f>
        <v>WHITE POWDER COAT (PE/BA)</v>
      </c>
      <c r="K829" s="36">
        <f>IF($C829="","",_xlfn.XLOOKUP($C829,Order!$C:$C,Order!$P:$P,"",0,1))</f>
        <v>0</v>
      </c>
      <c r="L829" s="4">
        <f t="shared" si="12"/>
        <v>705.60000000000014</v>
      </c>
    </row>
    <row r="830" spans="2:12" ht="23.25" customHeight="1" x14ac:dyDescent="0.25">
      <c r="B830" s="4">
        <v>825</v>
      </c>
      <c r="C830" s="36">
        <f>IF(Order!$C$151="","",Order!$C$151)</f>
        <v>25508</v>
      </c>
      <c r="D830" s="36">
        <f>IF($C830="","",_xlfn.XLOOKUP($C830,Order!$C:$C,Order!$D:$D,"",0,1))</f>
        <v>25508</v>
      </c>
      <c r="E830" s="4" t="e" vm="339">
        <f>IF($C830="","",_xlfn.XLOOKUP($C830,Order!$C:$C,Order!$E:$E,"",0,1))</f>
        <v>#VALUE!</v>
      </c>
      <c r="F830" s="4">
        <f>IF($C830="","",_xlfn.XLOOKUP($C830,Order!$C:$C,Order!$F:$F,"",0,1))</f>
        <v>6000</v>
      </c>
      <c r="G830" s="4" t="str">
        <f>IF($C830="","",_xlfn.XLOOKUP($C830,Order!$C:$C,Order!$G:$G,"",0,1))</f>
        <v>6063T5</v>
      </c>
      <c r="H830" s="4">
        <f>IF($C830="","",_xlfn.XLOOKUP($C830,Order!$C:$C,Order!$H:$H,"",0,1))</f>
        <v>0.53300000000000003</v>
      </c>
      <c r="I830" s="36">
        <f>IF($C830="","",_xlfn.XLOOKUP($C830,Order!$C:$C,Order!$K:$K,"",0,1))</f>
        <v>100</v>
      </c>
      <c r="J830" s="4" t="str">
        <f>IF(C830="","",Order!$K$16)</f>
        <v>WHITE POWDER COAT (PE/BA)</v>
      </c>
      <c r="K830" s="36">
        <f>IF($C830="","",_xlfn.XLOOKUP($C830,Order!$C:$C,Order!$P:$P,"",0,1))</f>
        <v>0</v>
      </c>
      <c r="L830" s="4">
        <f t="shared" si="12"/>
        <v>319.80000000000007</v>
      </c>
    </row>
    <row r="831" spans="2:12" ht="23.25" hidden="1" customHeight="1" x14ac:dyDescent="0.25">
      <c r="B831" s="4">
        <v>826</v>
      </c>
      <c r="C831" s="36">
        <f>IF(Order!$C$152="","",Order!$C$152)</f>
        <v>25515</v>
      </c>
      <c r="D831" s="36">
        <f>IF($C831="","",_xlfn.XLOOKUP($C831,Order!$C:$C,Order!$D:$D,"",0,1))</f>
        <v>25515</v>
      </c>
      <c r="E831" s="4" t="e" vm="340">
        <f>IF($C831="","",_xlfn.XLOOKUP($C831,Order!$C:$C,Order!$E:$E,"",0,1))</f>
        <v>#VALUE!</v>
      </c>
      <c r="F831" s="4">
        <f>IF($C831="","",_xlfn.XLOOKUP($C831,Order!$C:$C,Order!$F:$F,"",0,1))</f>
        <v>6000</v>
      </c>
      <c r="G831" s="4" t="str">
        <f>IF($C831="","",_xlfn.XLOOKUP($C831,Order!$C:$C,Order!$G:$G,"",0,1))</f>
        <v>6063T5</v>
      </c>
      <c r="H831" s="4">
        <f>IF($C831="","",_xlfn.XLOOKUP($C831,Order!$C:$C,Order!$H:$H,"",0,1))</f>
        <v>0.48399999999999999</v>
      </c>
      <c r="I831" s="36">
        <f>IF($C831="","",_xlfn.XLOOKUP($C831,Order!$C:$C,Order!$K:$K,"",0,1))</f>
        <v>0</v>
      </c>
      <c r="J831" s="4" t="str">
        <f>IF(C831="","",Order!$K$16)</f>
        <v>WHITE POWDER COAT (PE/BA)</v>
      </c>
      <c r="K831" s="36">
        <f>IF($C831="","",_xlfn.XLOOKUP($C831,Order!$C:$C,Order!$P:$P,"",0,1))</f>
        <v>0</v>
      </c>
      <c r="L831" s="4">
        <f t="shared" si="12"/>
        <v>0</v>
      </c>
    </row>
    <row r="832" spans="2:12" ht="23.25" hidden="1" customHeight="1" x14ac:dyDescent="0.25">
      <c r="B832" s="4">
        <v>827</v>
      </c>
      <c r="C832" s="36">
        <f>IF(Order!$C$153="","",Order!$C$153)</f>
        <v>25516</v>
      </c>
      <c r="D832" s="36">
        <f>IF($C832="","",_xlfn.XLOOKUP($C832,Order!$C:$C,Order!$D:$D,"",0,1))</f>
        <v>25516</v>
      </c>
      <c r="E832" s="4" t="e" vm="341">
        <f>IF($C832="","",_xlfn.XLOOKUP($C832,Order!$C:$C,Order!$E:$E,"",0,1))</f>
        <v>#VALUE!</v>
      </c>
      <c r="F832" s="4">
        <f>IF($C832="","",_xlfn.XLOOKUP($C832,Order!$C:$C,Order!$F:$F,"",0,1))</f>
        <v>6000</v>
      </c>
      <c r="G832" s="4" t="str">
        <f>IF($C832="","",_xlfn.XLOOKUP($C832,Order!$C:$C,Order!$G:$G,"",0,1))</f>
        <v>6063T5</v>
      </c>
      <c r="H832" s="4">
        <f>IF($C832="","",_xlfn.XLOOKUP($C832,Order!$C:$C,Order!$H:$H,"",0,1))</f>
        <v>0.56000000000000005</v>
      </c>
      <c r="I832" s="36">
        <f>IF($C832="","",_xlfn.XLOOKUP($C832,Order!$C:$C,Order!$K:$K,"",0,1))</f>
        <v>0</v>
      </c>
      <c r="J832" s="4" t="str">
        <f>IF(C832="","",Order!$K$16)</f>
        <v>WHITE POWDER COAT (PE/BA)</v>
      </c>
      <c r="K832" s="36">
        <f>IF($C832="","",_xlfn.XLOOKUP($C832,Order!$C:$C,Order!$P:$P,"",0,1))</f>
        <v>0</v>
      </c>
      <c r="L832" s="4">
        <f t="shared" si="12"/>
        <v>0</v>
      </c>
    </row>
    <row r="833" spans="2:12" ht="23.25" hidden="1" customHeight="1" x14ac:dyDescent="0.25">
      <c r="B833" s="4">
        <v>828</v>
      </c>
      <c r="C833" s="36">
        <f>IF(Order!$C$154="","",Order!$C$154)</f>
        <v>25540</v>
      </c>
      <c r="D833" s="36">
        <f>IF($C833="","",_xlfn.XLOOKUP($C833,Order!$C:$C,Order!$D:$D,"",0,1))</f>
        <v>25540</v>
      </c>
      <c r="E833" s="4" t="e" vm="342">
        <f>IF($C833="","",_xlfn.XLOOKUP($C833,Order!$C:$C,Order!$E:$E,"",0,1))</f>
        <v>#VALUE!</v>
      </c>
      <c r="F833" s="4">
        <f>IF($C833="","",_xlfn.XLOOKUP($C833,Order!$C:$C,Order!$F:$F,"",0,1))</f>
        <v>6000</v>
      </c>
      <c r="G833" s="4" t="str">
        <f>IF($C833="","",_xlfn.XLOOKUP($C833,Order!$C:$C,Order!$G:$G,"",0,1))</f>
        <v>6063T5</v>
      </c>
      <c r="H833" s="4">
        <f>IF($C833="","",_xlfn.XLOOKUP($C833,Order!$C:$C,Order!$H:$H,"",0,1))</f>
        <v>0.45</v>
      </c>
      <c r="I833" s="36">
        <f>IF($C833="","",_xlfn.XLOOKUP($C833,Order!$C:$C,Order!$K:$K,"",0,1))</f>
        <v>0</v>
      </c>
      <c r="J833" s="4" t="str">
        <f>IF(C833="","",Order!$K$16)</f>
        <v>WHITE POWDER COAT (PE/BA)</v>
      </c>
      <c r="K833" s="36">
        <f>IF($C833="","",_xlfn.XLOOKUP($C833,Order!$C:$C,Order!$P:$P,"",0,1))</f>
        <v>0</v>
      </c>
      <c r="L833" s="4">
        <f t="shared" si="12"/>
        <v>0</v>
      </c>
    </row>
    <row r="834" spans="2:12" ht="23.25" hidden="1" customHeight="1" x14ac:dyDescent="0.25">
      <c r="B834" s="4">
        <v>829</v>
      </c>
      <c r="C834" s="36">
        <f>IF(Order!$C$155="","",Order!$C$155)</f>
        <v>25542</v>
      </c>
      <c r="D834" s="36">
        <f>IF($C834="","",_xlfn.XLOOKUP($C834,Order!$C:$C,Order!$D:$D,"",0,1))</f>
        <v>25542</v>
      </c>
      <c r="E834" s="4" t="e" vm="343">
        <f>IF($C834="","",_xlfn.XLOOKUP($C834,Order!$C:$C,Order!$E:$E,"",0,1))</f>
        <v>#VALUE!</v>
      </c>
      <c r="F834" s="4">
        <f>IF($C834="","",_xlfn.XLOOKUP($C834,Order!$C:$C,Order!$F:$F,"",0,1))</f>
        <v>6000</v>
      </c>
      <c r="G834" s="4" t="str">
        <f>IF($C834="","",_xlfn.XLOOKUP($C834,Order!$C:$C,Order!$G:$G,"",0,1))</f>
        <v>6063T5</v>
      </c>
      <c r="H834" s="4">
        <f>IF($C834="","",_xlfn.XLOOKUP($C834,Order!$C:$C,Order!$H:$H,"",0,1))</f>
        <v>0.54200000000000004</v>
      </c>
      <c r="I834" s="36">
        <f>IF($C834="","",_xlfn.XLOOKUP($C834,Order!$C:$C,Order!$K:$K,"",0,1))</f>
        <v>0</v>
      </c>
      <c r="J834" s="4" t="str">
        <f>IF(C834="","",Order!$K$16)</f>
        <v>WHITE POWDER COAT (PE/BA)</v>
      </c>
      <c r="K834" s="36">
        <f>IF($C834="","",_xlfn.XLOOKUP($C834,Order!$C:$C,Order!$P:$P,"",0,1))</f>
        <v>0</v>
      </c>
      <c r="L834" s="4">
        <f t="shared" si="12"/>
        <v>0</v>
      </c>
    </row>
    <row r="835" spans="2:12" ht="23.25" hidden="1" customHeight="1" x14ac:dyDescent="0.25">
      <c r="B835" s="4">
        <v>830</v>
      </c>
      <c r="C835" s="36" t="str">
        <f>IF(Order!$C$156="","",Order!$C$156)</f>
        <v>VZ024L</v>
      </c>
      <c r="D835" s="36" t="str">
        <f>IF($C835="","",_xlfn.XLOOKUP($C835,Order!$C:$C,Order!$D:$D,"",0,1))</f>
        <v>VZ024L</v>
      </c>
      <c r="E835" s="4" t="e" vm="344">
        <f>IF($C835="","",_xlfn.XLOOKUP($C835,Order!$C:$C,Order!$E:$E,"",0,1))</f>
        <v>#VALUE!</v>
      </c>
      <c r="F835" s="4">
        <f>IF($C835="","",_xlfn.XLOOKUP($C835,Order!$C:$C,Order!$F:$F,"",0,1))</f>
        <v>6000</v>
      </c>
      <c r="G835" s="4" t="str">
        <f>IF($C835="","",_xlfn.XLOOKUP($C835,Order!$C:$C,Order!$G:$G,"",0,1))</f>
        <v>6063T5</v>
      </c>
      <c r="H835" s="4">
        <f>IF($C835="","",_xlfn.XLOOKUP($C835,Order!$C:$C,Order!$H:$H,"",0,1))</f>
        <v>0.19800000000000001</v>
      </c>
      <c r="I835" s="36">
        <f>IF($C835="","",_xlfn.XLOOKUP($C835,Order!$C:$C,Order!$K:$K,"",0,1))</f>
        <v>0</v>
      </c>
      <c r="J835" s="4" t="str">
        <f>IF(C835="","",Order!$K$16)</f>
        <v>WHITE POWDER COAT (PE/BA)</v>
      </c>
      <c r="K835" s="36">
        <f>IF($C835="","",_xlfn.XLOOKUP($C835,Order!$C:$C,Order!$P:$P,"",0,1))</f>
        <v>0</v>
      </c>
      <c r="L835" s="4">
        <f t="shared" si="12"/>
        <v>0</v>
      </c>
    </row>
    <row r="836" spans="2:12" ht="23.25" hidden="1" customHeight="1" x14ac:dyDescent="0.25">
      <c r="B836" s="4">
        <v>831</v>
      </c>
      <c r="C836" s="36" t="str">
        <f>IF(Order!$C$157="","",Order!$C$157)</f>
        <v/>
      </c>
      <c r="D836" s="36" t="str">
        <f>IF($C836="","",_xlfn.XLOOKUP($C836,Order!$C:$C,Order!$D:$D,"",0,1))</f>
        <v/>
      </c>
      <c r="E836" s="4" t="str">
        <f>IF($C836="","",_xlfn.XLOOKUP($C836,Order!$C:$C,Order!$E:$E,"",0,1))</f>
        <v/>
      </c>
      <c r="F836" s="4" t="str">
        <f>IF($C836="","",_xlfn.XLOOKUP($C836,Order!$C:$C,Order!$F:$F,"",0,1))</f>
        <v/>
      </c>
      <c r="G836" s="4" t="str">
        <f>IF($C836="","",_xlfn.XLOOKUP($C836,Order!$C:$C,Order!$G:$G,"",0,1))</f>
        <v/>
      </c>
      <c r="H836" s="4" t="str">
        <f>IF($C836="","",_xlfn.XLOOKUP($C836,Order!$C:$C,Order!$H:$H,"",0,1))</f>
        <v/>
      </c>
      <c r="I836" s="36" t="str">
        <f>IF($C836="","",_xlfn.XLOOKUP($C836,Order!$C:$C,Order!$K:$K,"",0,1))</f>
        <v/>
      </c>
      <c r="J836" s="4" t="str">
        <f>IF(C836="","",Order!$K$16)</f>
        <v/>
      </c>
      <c r="K836" s="36" t="str">
        <f>IF($C836="","",_xlfn.XLOOKUP($C836,Order!$C:$C,Order!$P:$P,"",0,1))</f>
        <v/>
      </c>
      <c r="L836" s="4" t="str">
        <f t="shared" si="12"/>
        <v/>
      </c>
    </row>
    <row r="837" spans="2:12" ht="23.25" hidden="1" customHeight="1" x14ac:dyDescent="0.25">
      <c r="B837" s="4">
        <v>832</v>
      </c>
      <c r="C837" s="36" t="str">
        <f>IF(Order!$C$158="","",Order!$C$158)</f>
        <v>VZ060L</v>
      </c>
      <c r="D837" s="36" t="str">
        <f>IF($C837="","",_xlfn.XLOOKUP($C837,Order!$C:$C,Order!$D:$D,"",0,1))</f>
        <v>VZ060L</v>
      </c>
      <c r="E837" s="4" t="e" vm="345">
        <f>IF($C837="","",_xlfn.XLOOKUP($C837,Order!$C:$C,Order!$E:$E,"",0,1))</f>
        <v>#VALUE!</v>
      </c>
      <c r="F837" s="4">
        <f>IF($C837="","",_xlfn.XLOOKUP($C837,Order!$C:$C,Order!$F:$F,"",0,1))</f>
        <v>6000</v>
      </c>
      <c r="G837" s="4" t="str">
        <f>IF($C837="","",_xlfn.XLOOKUP($C837,Order!$C:$C,Order!$G:$G,"",0,1))</f>
        <v>6063T5</v>
      </c>
      <c r="H837" s="4">
        <f>IF($C837="","",_xlfn.XLOOKUP($C837,Order!$C:$C,Order!$H:$H,"",0,1))</f>
        <v>0.28799999999999998</v>
      </c>
      <c r="I837" s="36">
        <f>IF($C837="","",_xlfn.XLOOKUP($C837,Order!$C:$C,Order!$K:$K,"",0,1))</f>
        <v>0</v>
      </c>
      <c r="J837" s="4" t="str">
        <f>IF(C837="","",Order!$K$16)</f>
        <v>WHITE POWDER COAT (PE/BA)</v>
      </c>
      <c r="K837" s="36">
        <f>IF($C837="","",_xlfn.XLOOKUP($C837,Order!$C:$C,Order!$P:$P,"",0,1))</f>
        <v>0</v>
      </c>
      <c r="L837" s="4">
        <f t="shared" si="12"/>
        <v>0</v>
      </c>
    </row>
    <row r="838" spans="2:12" ht="23.25" hidden="1" customHeight="1" x14ac:dyDescent="0.25">
      <c r="B838" s="4">
        <v>833</v>
      </c>
      <c r="C838" s="36" t="str">
        <f>IF(Order!$C$159="","",Order!$C$159)</f>
        <v>VZ201</v>
      </c>
      <c r="D838" s="36" t="str">
        <f>IF($C838="","",_xlfn.XLOOKUP($C838,Order!$C:$C,Order!$D:$D,"",0,1))</f>
        <v>VZ201</v>
      </c>
      <c r="E838" s="4" t="e" vm="346">
        <f>IF($C838="","",_xlfn.XLOOKUP($C838,Order!$C:$C,Order!$E:$E,"",0,1))</f>
        <v>#VALUE!</v>
      </c>
      <c r="F838" s="4">
        <f>IF($C838="","",_xlfn.XLOOKUP($C838,Order!$C:$C,Order!$F:$F,"",0,1))</f>
        <v>6000</v>
      </c>
      <c r="G838" s="4" t="str">
        <f>IF($C838="","",_xlfn.XLOOKUP($C838,Order!$C:$C,Order!$G:$G,"",0,1))</f>
        <v>6063T5</v>
      </c>
      <c r="H838" s="4">
        <f>IF($C838="","",_xlfn.XLOOKUP($C838,Order!$C:$C,Order!$H:$H,"",0,1))</f>
        <v>0.21</v>
      </c>
      <c r="I838" s="36">
        <f>IF($C838="","",_xlfn.XLOOKUP($C838,Order!$C:$C,Order!$K:$K,"",0,1))</f>
        <v>0</v>
      </c>
      <c r="J838" s="4" t="str">
        <f>IF(C838="","",Order!$K$16)</f>
        <v>WHITE POWDER COAT (PE/BA)</v>
      </c>
      <c r="K838" s="36">
        <f>IF($C838="","",_xlfn.XLOOKUP($C838,Order!$C:$C,Order!$P:$P,"",0,1))</f>
        <v>0</v>
      </c>
      <c r="L838" s="4">
        <f t="shared" si="12"/>
        <v>0</v>
      </c>
    </row>
    <row r="839" spans="2:12" ht="23.25" hidden="1" customHeight="1" x14ac:dyDescent="0.25">
      <c r="B839" s="4">
        <v>834</v>
      </c>
      <c r="C839" s="36" t="str">
        <f>IF(Order!$C$160="","",Order!$C$160)</f>
        <v/>
      </c>
      <c r="D839" s="36" t="str">
        <f>IF($C839="","",_xlfn.XLOOKUP($C839,Order!$C:$C,Order!$D:$D,"",0,1))</f>
        <v/>
      </c>
      <c r="E839" s="4" t="str">
        <f>IF($C839="","",_xlfn.XLOOKUP($C839,Order!$C:$C,Order!$E:$E,"",0,1))</f>
        <v/>
      </c>
      <c r="F839" s="4" t="str">
        <f>IF($C839="","",_xlfn.XLOOKUP($C839,Order!$C:$C,Order!$F:$F,"",0,1))</f>
        <v/>
      </c>
      <c r="G839" s="4" t="str">
        <f>IF($C839="","",_xlfn.XLOOKUP($C839,Order!$C:$C,Order!$G:$G,"",0,1))</f>
        <v/>
      </c>
      <c r="H839" s="4" t="str">
        <f>IF($C839="","",_xlfn.XLOOKUP($C839,Order!$C:$C,Order!$H:$H,"",0,1))</f>
        <v/>
      </c>
      <c r="I839" s="36" t="str">
        <f>IF($C839="","",_xlfn.XLOOKUP($C839,Order!$C:$C,Order!$K:$K,"",0,1))</f>
        <v/>
      </c>
      <c r="J839" s="4" t="str">
        <f>IF(C839="","",Order!$K$16)</f>
        <v/>
      </c>
      <c r="K839" s="36" t="str">
        <f>IF($C839="","",_xlfn.XLOOKUP($C839,Order!$C:$C,Order!$P:$P,"",0,1))</f>
        <v/>
      </c>
      <c r="L839" s="4" t="str">
        <f t="shared" ref="L839:L902" si="13">IF(C839="","",F839/1000*H839*I839)</f>
        <v/>
      </c>
    </row>
    <row r="840" spans="2:12" ht="23.25" hidden="1" customHeight="1" x14ac:dyDescent="0.25">
      <c r="B840" s="4">
        <v>835</v>
      </c>
      <c r="C840" s="36" t="str">
        <f>IF(Order!$C$161="","",Order!$C$161)</f>
        <v xml:space="preserve">BX828 </v>
      </c>
      <c r="D840" s="36" t="str">
        <f>IF($C840="","",_xlfn.XLOOKUP($C840,Order!$C:$C,Order!$D:$D,"",0,1))</f>
        <v>BX828</v>
      </c>
      <c r="E840" s="4" t="e" vm="347">
        <f>IF($C840="","",_xlfn.XLOOKUP($C840,Order!$C:$C,Order!$E:$E,"",0,1))</f>
        <v>#VALUE!</v>
      </c>
      <c r="F840" s="4">
        <f>IF($C840="","",_xlfn.XLOOKUP($C840,Order!$C:$C,Order!$F:$F,"",0,1))</f>
        <v>6000</v>
      </c>
      <c r="G840" s="4" t="str">
        <f>IF($C840="","",_xlfn.XLOOKUP($C840,Order!$C:$C,Order!$G:$G,"",0,1))</f>
        <v>6063T5</v>
      </c>
      <c r="H840" s="4">
        <f>IF($C840="","",_xlfn.XLOOKUP($C840,Order!$C:$C,Order!$H:$H,"",0,1))</f>
        <v>0</v>
      </c>
      <c r="I840" s="36">
        <f>IF($C840="","",_xlfn.XLOOKUP($C840,Order!$C:$C,Order!$K:$K,"",0,1))</f>
        <v>0</v>
      </c>
      <c r="J840" s="4" t="str">
        <f>IF(C840="","",Order!$K$16)</f>
        <v>WHITE POWDER COAT (PE/BA)</v>
      </c>
      <c r="K840" s="36">
        <f>IF($C840="","",_xlfn.XLOOKUP($C840,Order!$C:$C,Order!$P:$P,"",0,1))</f>
        <v>0</v>
      </c>
      <c r="L840" s="4">
        <f t="shared" si="13"/>
        <v>0</v>
      </c>
    </row>
    <row r="841" spans="2:12" ht="23.25" hidden="1" customHeight="1" x14ac:dyDescent="0.25">
      <c r="B841" s="4">
        <v>836</v>
      </c>
      <c r="C841" s="36">
        <f>IF(Order!$C$162="","",Order!$C$162)</f>
        <v>30044</v>
      </c>
      <c r="D841" s="36">
        <f>IF($C841="","",_xlfn.XLOOKUP($C841,Order!$C:$C,Order!$D:$D,"",0,1))</f>
        <v>30044</v>
      </c>
      <c r="E841" s="4" t="e" vm="348">
        <f>IF($C841="","",_xlfn.XLOOKUP($C841,Order!$C:$C,Order!$E:$E,"",0,1))</f>
        <v>#VALUE!</v>
      </c>
      <c r="F841" s="4">
        <f>IF($C841="","",_xlfn.XLOOKUP($C841,Order!$C:$C,Order!$F:$F,"",0,1))</f>
        <v>6000</v>
      </c>
      <c r="G841" s="4" t="str">
        <f>IF($C841="","",_xlfn.XLOOKUP($C841,Order!$C:$C,Order!$G:$G,"",0,1))</f>
        <v>6063T5</v>
      </c>
      <c r="H841" s="4">
        <f>IF($C841="","",_xlfn.XLOOKUP($C841,Order!$C:$C,Order!$H:$H,"",0,1))</f>
        <v>0.22600000000000001</v>
      </c>
      <c r="I841" s="36">
        <f>IF($C841="","",_xlfn.XLOOKUP($C841,Order!$C:$C,Order!$K:$K,"",0,1))</f>
        <v>0</v>
      </c>
      <c r="J841" s="4" t="str">
        <f>IF(C841="","",Order!$K$16)</f>
        <v>WHITE POWDER COAT (PE/BA)</v>
      </c>
      <c r="K841" s="36">
        <f>IF($C841="","",_xlfn.XLOOKUP($C841,Order!$C:$C,Order!$P:$P,"",0,1))</f>
        <v>0</v>
      </c>
      <c r="L841" s="4">
        <f t="shared" si="13"/>
        <v>0</v>
      </c>
    </row>
    <row r="842" spans="2:12" ht="23.25" customHeight="1" x14ac:dyDescent="0.25">
      <c r="B842" s="4">
        <v>837</v>
      </c>
      <c r="C842" s="36" t="str">
        <f>IF(Order!$C$163="","",Order!$C$163)</f>
        <v>AF180U</v>
      </c>
      <c r="D842" s="36" t="str">
        <f>IF($C842="","",_xlfn.XLOOKUP($C842,Order!$C:$C,Order!$D:$D,"",0,1))</f>
        <v>AF180U</v>
      </c>
      <c r="E842" s="4" t="e" vm="349">
        <f>IF($C842="","",_xlfn.XLOOKUP($C842,Order!$C:$C,Order!$E:$E,"",0,1))</f>
        <v>#VALUE!</v>
      </c>
      <c r="F842" s="4">
        <f>IF($C842="","",_xlfn.XLOOKUP($C842,Order!$C:$C,Order!$F:$F,"",0,1))</f>
        <v>6000</v>
      </c>
      <c r="G842" s="4" t="str">
        <f>IF($C842="","",_xlfn.XLOOKUP($C842,Order!$C:$C,Order!$G:$G,"",0,1))</f>
        <v>6063T5</v>
      </c>
      <c r="H842" s="4">
        <f>IF($C842="","",_xlfn.XLOOKUP($C842,Order!$C:$C,Order!$H:$H,"",0,1))</f>
        <v>0.64200000000000002</v>
      </c>
      <c r="I842" s="36">
        <f>IF($C842="","",_xlfn.XLOOKUP($C842,Order!$C:$C,Order!$K:$K,"",0,1))</f>
        <v>100</v>
      </c>
      <c r="J842" s="4" t="str">
        <f>IF(C842="","",Order!$K$16)</f>
        <v>WHITE POWDER COAT (PE/BA)</v>
      </c>
      <c r="K842" s="36">
        <f>IF($C842="","",_xlfn.XLOOKUP($C842,Order!$C:$C,Order!$P:$P,"",0,1))</f>
        <v>0</v>
      </c>
      <c r="L842" s="4">
        <f t="shared" si="13"/>
        <v>385.20000000000005</v>
      </c>
    </row>
    <row r="843" spans="2:12" ht="23.25" hidden="1" customHeight="1" x14ac:dyDescent="0.25">
      <c r="B843" s="4">
        <v>838</v>
      </c>
      <c r="C843" s="36" t="str">
        <f>IF(Order!$C$164="","",Order!$C$164)</f>
        <v>BX627</v>
      </c>
      <c r="D843" s="36" t="str">
        <f>IF($C843="","",_xlfn.XLOOKUP($C843,Order!$C:$C,Order!$D:$D,"",0,1))</f>
        <v>BX627</v>
      </c>
      <c r="E843" s="4" t="e" vm="350">
        <f>IF($C843="","",_xlfn.XLOOKUP($C843,Order!$C:$C,Order!$E:$E,"",0,1))</f>
        <v>#VALUE!</v>
      </c>
      <c r="F843" s="4">
        <f>IF($C843="","",_xlfn.XLOOKUP($C843,Order!$C:$C,Order!$F:$F,"",0,1))</f>
        <v>6000</v>
      </c>
      <c r="G843" s="4" t="str">
        <f>IF($C843="","",_xlfn.XLOOKUP($C843,Order!$C:$C,Order!$G:$G,"",0,1))</f>
        <v>6063T5</v>
      </c>
      <c r="H843" s="4">
        <f>IF($C843="","",_xlfn.XLOOKUP($C843,Order!$C:$C,Order!$H:$H,"",0,1))</f>
        <v>0.44800000000000001</v>
      </c>
      <c r="I843" s="36">
        <f>IF($C843="","",_xlfn.XLOOKUP($C843,Order!$C:$C,Order!$K:$K,"",0,1))</f>
        <v>0</v>
      </c>
      <c r="J843" s="4" t="str">
        <f>IF(C843="","",Order!$K$16)</f>
        <v>WHITE POWDER COAT (PE/BA)</v>
      </c>
      <c r="K843" s="36">
        <f>IF($C843="","",_xlfn.XLOOKUP($C843,Order!$C:$C,Order!$P:$P,"",0,1))</f>
        <v>0</v>
      </c>
      <c r="L843" s="4">
        <f t="shared" si="13"/>
        <v>0</v>
      </c>
    </row>
    <row r="844" spans="2:12" ht="23.25" hidden="1" customHeight="1" x14ac:dyDescent="0.25">
      <c r="B844" s="4">
        <v>839</v>
      </c>
      <c r="C844" s="36" t="str">
        <f>IF(Order!$C$165="","",Order!$C$165)</f>
        <v>BX812</v>
      </c>
      <c r="D844" s="36" t="str">
        <f>IF($C844="","",_xlfn.XLOOKUP($C844,Order!$C:$C,Order!$D:$D,"",0,1))</f>
        <v>BX812</v>
      </c>
      <c r="E844" s="4" t="e" vm="351">
        <f>IF($C844="","",_xlfn.XLOOKUP($C844,Order!$C:$C,Order!$E:$E,"",0,1))</f>
        <v>#VALUE!</v>
      </c>
      <c r="F844" s="4">
        <f>IF($C844="","",_xlfn.XLOOKUP($C844,Order!$C:$C,Order!$F:$F,"",0,1))</f>
        <v>6000</v>
      </c>
      <c r="G844" s="4" t="str">
        <f>IF($C844="","",_xlfn.XLOOKUP($C844,Order!$C:$C,Order!$G:$G,"",0,1))</f>
        <v>6063T5</v>
      </c>
      <c r="H844" s="4">
        <f>IF($C844="","",_xlfn.XLOOKUP($C844,Order!$C:$C,Order!$H:$H,"",0,1))</f>
        <v>1.373</v>
      </c>
      <c r="I844" s="36">
        <f>IF($C844="","",_xlfn.XLOOKUP($C844,Order!$C:$C,Order!$K:$K,"",0,1))</f>
        <v>0</v>
      </c>
      <c r="J844" s="4" t="str">
        <f>IF(C844="","",Order!$K$16)</f>
        <v>WHITE POWDER COAT (PE/BA)</v>
      </c>
      <c r="K844" s="36">
        <f>IF($C844="","",_xlfn.XLOOKUP($C844,Order!$C:$C,Order!$P:$P,"",0,1))</f>
        <v>0</v>
      </c>
      <c r="L844" s="4">
        <f t="shared" si="13"/>
        <v>0</v>
      </c>
    </row>
    <row r="845" spans="2:12" ht="23.25" hidden="1" customHeight="1" x14ac:dyDescent="0.25">
      <c r="B845" s="4">
        <v>840</v>
      </c>
      <c r="C845" s="36">
        <f>IF(Order!$C$166="","",Order!$C$166)</f>
        <v>25517</v>
      </c>
      <c r="D845" s="36">
        <f>IF($C845="","",_xlfn.XLOOKUP($C845,Order!$C:$C,Order!$D:$D,"",0,1))</f>
        <v>25517</v>
      </c>
      <c r="E845" s="4" t="e" vm="352">
        <f>IF($C845="","",_xlfn.XLOOKUP($C845,Order!$C:$C,Order!$E:$E,"",0,1))</f>
        <v>#VALUE!</v>
      </c>
      <c r="F845" s="4">
        <f>IF($C845="","",_xlfn.XLOOKUP($C845,Order!$C:$C,Order!$F:$F,"",0,1))</f>
        <v>6000</v>
      </c>
      <c r="G845" s="4" t="str">
        <f>IF($C845="","",_xlfn.XLOOKUP($C845,Order!$C:$C,Order!$G:$G,"",0,1))</f>
        <v>6063T5</v>
      </c>
      <c r="H845" s="4">
        <f>IF($C845="","",_xlfn.XLOOKUP($C845,Order!$C:$C,Order!$H:$H,"",0,1))</f>
        <v>0.39200000000000002</v>
      </c>
      <c r="I845" s="36">
        <f>IF($C845="","",_xlfn.XLOOKUP($C845,Order!$C:$C,Order!$K:$K,"",0,1))</f>
        <v>0</v>
      </c>
      <c r="J845" s="4" t="str">
        <f>IF(C845="","",Order!$K$16)</f>
        <v>WHITE POWDER COAT (PE/BA)</v>
      </c>
      <c r="K845" s="36">
        <f>IF($C845="","",_xlfn.XLOOKUP($C845,Order!$C:$C,Order!$P:$P,"",0,1))</f>
        <v>0</v>
      </c>
      <c r="L845" s="4">
        <f t="shared" si="13"/>
        <v>0</v>
      </c>
    </row>
    <row r="846" spans="2:12" ht="23.25" hidden="1" customHeight="1" x14ac:dyDescent="0.25">
      <c r="B846" s="4">
        <v>841</v>
      </c>
      <c r="C846" s="36" t="str">
        <f>IF(Order!$C$167="","",Order!$C$167)</f>
        <v>25517A</v>
      </c>
      <c r="D846" s="36" t="str">
        <f>IF($C846="","",_xlfn.XLOOKUP($C846,Order!$C:$C,Order!$D:$D,"",0,1))</f>
        <v>25517A</v>
      </c>
      <c r="E846" s="4" t="e" vm="352">
        <f>IF($C846="","",_xlfn.XLOOKUP($C846,Order!$C:$C,Order!$E:$E,"",0,1))</f>
        <v>#VALUE!</v>
      </c>
      <c r="F846" s="4">
        <f>IF($C846="","",_xlfn.XLOOKUP($C846,Order!$C:$C,Order!$F:$F,"",0,1))</f>
        <v>6000</v>
      </c>
      <c r="G846" s="4" t="str">
        <f>IF($C846="","",_xlfn.XLOOKUP($C846,Order!$C:$C,Order!$G:$G,"",0,1))</f>
        <v>6063T5</v>
      </c>
      <c r="H846" s="4">
        <f>IF($C846="","",_xlfn.XLOOKUP($C846,Order!$C:$C,Order!$H:$H,"",0,1))</f>
        <v>0.36</v>
      </c>
      <c r="I846" s="36">
        <f>IF($C846="","",_xlfn.XLOOKUP($C846,Order!$C:$C,Order!$K:$K,"",0,1))</f>
        <v>0</v>
      </c>
      <c r="J846" s="4" t="str">
        <f>IF(C846="","",Order!$K$16)</f>
        <v>WHITE POWDER COAT (PE/BA)</v>
      </c>
      <c r="K846" s="36">
        <f>IF($C846="","",_xlfn.XLOOKUP($C846,Order!$C:$C,Order!$P:$P,"",0,1))</f>
        <v>0</v>
      </c>
      <c r="L846" s="4">
        <f t="shared" si="13"/>
        <v>0</v>
      </c>
    </row>
    <row r="847" spans="2:12" ht="23.25" hidden="1" customHeight="1" x14ac:dyDescent="0.25">
      <c r="B847" s="4">
        <v>842</v>
      </c>
      <c r="C847" s="36">
        <f>IF(Order!$C$168="","",Order!$C$168)</f>
        <v>25518</v>
      </c>
      <c r="D847" s="36">
        <f>IF($C847="","",_xlfn.XLOOKUP($C847,Order!$C:$C,Order!$D:$D,"",0,1))</f>
        <v>25518</v>
      </c>
      <c r="E847" s="4" t="e" vm="353">
        <f>IF($C847="","",_xlfn.XLOOKUP($C847,Order!$C:$C,Order!$E:$E,"",0,1))</f>
        <v>#VALUE!</v>
      </c>
      <c r="F847" s="4">
        <f>IF($C847="","",_xlfn.XLOOKUP($C847,Order!$C:$C,Order!$F:$F,"",0,1))</f>
        <v>6000</v>
      </c>
      <c r="G847" s="4" t="str">
        <f>IF($C847="","",_xlfn.XLOOKUP($C847,Order!$C:$C,Order!$G:$G,"",0,1))</f>
        <v>6063T5</v>
      </c>
      <c r="H847" s="4">
        <f>IF($C847="","",_xlfn.XLOOKUP($C847,Order!$C:$C,Order!$H:$H,"",0,1))</f>
        <v>0.36299999999999999</v>
      </c>
      <c r="I847" s="36">
        <f>IF($C847="","",_xlfn.XLOOKUP($C847,Order!$C:$C,Order!$K:$K,"",0,1))</f>
        <v>0</v>
      </c>
      <c r="J847" s="4" t="str">
        <f>IF(C847="","",Order!$K$16)</f>
        <v>WHITE POWDER COAT (PE/BA)</v>
      </c>
      <c r="K847" s="36">
        <f>IF($C847="","",_xlfn.XLOOKUP($C847,Order!$C:$C,Order!$P:$P,"",0,1))</f>
        <v>0</v>
      </c>
      <c r="L847" s="4">
        <f t="shared" si="13"/>
        <v>0</v>
      </c>
    </row>
    <row r="848" spans="2:12" ht="23.25" hidden="1" customHeight="1" x14ac:dyDescent="0.25">
      <c r="B848" s="4">
        <v>843</v>
      </c>
      <c r="C848" s="36">
        <f>IF(Order!$C$169="","",Order!$C$169)</f>
        <v>25520</v>
      </c>
      <c r="D848" s="36">
        <f>IF($C848="","",_xlfn.XLOOKUP($C848,Order!$C:$C,Order!$D:$D,"",0,1))</f>
        <v>25520</v>
      </c>
      <c r="E848" s="4" t="e" vm="354">
        <f>IF($C848="","",_xlfn.XLOOKUP($C848,Order!$C:$C,Order!$E:$E,"",0,1))</f>
        <v>#VALUE!</v>
      </c>
      <c r="F848" s="4">
        <f>IF($C848="","",_xlfn.XLOOKUP($C848,Order!$C:$C,Order!$F:$F,"",0,1))</f>
        <v>6000</v>
      </c>
      <c r="G848" s="4" t="str">
        <f>IF($C848="","",_xlfn.XLOOKUP($C848,Order!$C:$C,Order!$G:$G,"",0,1))</f>
        <v>6063T5</v>
      </c>
      <c r="H848" s="4">
        <f>IF($C848="","",_xlfn.XLOOKUP($C848,Order!$C:$C,Order!$H:$H,"",0,1))</f>
        <v>0.373</v>
      </c>
      <c r="I848" s="36">
        <f>IF($C848="","",_xlfn.XLOOKUP($C848,Order!$C:$C,Order!$K:$K,"",0,1))</f>
        <v>0</v>
      </c>
      <c r="J848" s="4" t="str">
        <f>IF(C848="","",Order!$K$16)</f>
        <v>WHITE POWDER COAT (PE/BA)</v>
      </c>
      <c r="K848" s="36">
        <f>IF($C848="","",_xlfn.XLOOKUP($C848,Order!$C:$C,Order!$P:$P,"",0,1))</f>
        <v>0</v>
      </c>
      <c r="L848" s="4">
        <f t="shared" si="13"/>
        <v>0</v>
      </c>
    </row>
    <row r="849" spans="2:12" ht="23.25" hidden="1" customHeight="1" x14ac:dyDescent="0.25">
      <c r="B849" s="4">
        <v>844</v>
      </c>
      <c r="C849" s="36">
        <f>IF(Order!$C$170="","",Order!$C$170)</f>
        <v>25617</v>
      </c>
      <c r="D849" s="36">
        <f>IF($C849="","",_xlfn.XLOOKUP($C849,Order!$C:$C,Order!$D:$D,"",0,1))</f>
        <v>25617</v>
      </c>
      <c r="E849" s="4" t="e" vm="355">
        <f>IF($C849="","",_xlfn.XLOOKUP($C849,Order!$C:$C,Order!$E:$E,"",0,1))</f>
        <v>#VALUE!</v>
      </c>
      <c r="F849" s="4">
        <f>IF($C849="","",_xlfn.XLOOKUP($C849,Order!$C:$C,Order!$F:$F,"",0,1))</f>
        <v>6000</v>
      </c>
      <c r="G849" s="4" t="str">
        <f>IF($C849="","",_xlfn.XLOOKUP($C849,Order!$C:$C,Order!$G:$G,"",0,1))</f>
        <v>6063T5</v>
      </c>
      <c r="H849" s="4">
        <f>IF($C849="","",_xlfn.XLOOKUP($C849,Order!$C:$C,Order!$H:$H,"",0,1))</f>
        <v>0.373</v>
      </c>
      <c r="I849" s="36">
        <f>IF($C849="","",_xlfn.XLOOKUP($C849,Order!$C:$C,Order!$K:$K,"",0,1))</f>
        <v>0</v>
      </c>
      <c r="J849" s="4" t="str">
        <f>IF(C849="","",Order!$K$16)</f>
        <v>WHITE POWDER COAT (PE/BA)</v>
      </c>
      <c r="K849" s="36">
        <f>IF($C849="","",_xlfn.XLOOKUP($C849,Order!$C:$C,Order!$P:$P,"",0,1))</f>
        <v>0</v>
      </c>
      <c r="L849" s="4">
        <f t="shared" si="13"/>
        <v>0</v>
      </c>
    </row>
    <row r="850" spans="2:12" ht="23.25" hidden="1" customHeight="1" x14ac:dyDescent="0.25">
      <c r="B850" s="4">
        <v>845</v>
      </c>
      <c r="C850" s="36" t="str">
        <f>IF(Order!$C$171="","",Order!$C$171)</f>
        <v>TB600</v>
      </c>
      <c r="D850" s="36" t="str">
        <f>IF($C850="","",_xlfn.XLOOKUP($C850,Order!$C:$C,Order!$D:$D,"",0,1))</f>
        <v>TB600</v>
      </c>
      <c r="E850" s="4" t="e" vm="356">
        <f>IF($C850="","",_xlfn.XLOOKUP($C850,Order!$C:$C,Order!$E:$E,"",0,1))</f>
        <v>#VALUE!</v>
      </c>
      <c r="F850" s="4">
        <f>IF($C850="","",_xlfn.XLOOKUP($C850,Order!$C:$C,Order!$F:$F,"",0,1))</f>
        <v>6000</v>
      </c>
      <c r="G850" s="4" t="str">
        <f>IF($C850="","",_xlfn.XLOOKUP($C850,Order!$C:$C,Order!$G:$G,"",0,1))</f>
        <v>6063T5</v>
      </c>
      <c r="H850" s="4">
        <f>IF($C850="","",_xlfn.XLOOKUP($C850,Order!$C:$C,Order!$H:$H,"",0,1))</f>
        <v>0.73099999999999998</v>
      </c>
      <c r="I850" s="36">
        <f>IF($C850="","",_xlfn.XLOOKUP($C850,Order!$C:$C,Order!$K:$K,"",0,1))</f>
        <v>0</v>
      </c>
      <c r="J850" s="4" t="str">
        <f>IF(C850="","",Order!$K$16)</f>
        <v>WHITE POWDER COAT (PE/BA)</v>
      </c>
      <c r="K850" s="36">
        <f>IF($C850="","",_xlfn.XLOOKUP($C850,Order!$C:$C,Order!$P:$P,"",0,1))</f>
        <v>0</v>
      </c>
      <c r="L850" s="4">
        <f t="shared" si="13"/>
        <v>0</v>
      </c>
    </row>
    <row r="851" spans="2:12" ht="23.25" customHeight="1" x14ac:dyDescent="0.25">
      <c r="B851" s="4">
        <v>846</v>
      </c>
      <c r="C851" s="36" t="str">
        <f>IF(Order!$C$172="","",Order!$C$172)</f>
        <v>TB650</v>
      </c>
      <c r="D851" s="36" t="str">
        <f>IF($C851="","",_xlfn.XLOOKUP($C851,Order!$C:$C,Order!$D:$D,"",0,1))</f>
        <v>TB650</v>
      </c>
      <c r="E851" s="4" t="e" vm="357">
        <f>IF($C851="","",_xlfn.XLOOKUP($C851,Order!$C:$C,Order!$E:$E,"",0,1))</f>
        <v>#VALUE!</v>
      </c>
      <c r="F851" s="4">
        <f>IF($C851="","",_xlfn.XLOOKUP($C851,Order!$C:$C,Order!$F:$F,"",0,1))</f>
        <v>6000</v>
      </c>
      <c r="G851" s="4" t="str">
        <f>IF($C851="","",_xlfn.XLOOKUP($C851,Order!$C:$C,Order!$G:$G,"",0,1))</f>
        <v>6063T5</v>
      </c>
      <c r="H851" s="4">
        <f>IF($C851="","",_xlfn.XLOOKUP($C851,Order!$C:$C,Order!$H:$H,"",0,1))</f>
        <v>0.77500000000000002</v>
      </c>
      <c r="I851" s="36">
        <f>IF($C851="","",_xlfn.XLOOKUP($C851,Order!$C:$C,Order!$K:$K,"",0,1))</f>
        <v>100</v>
      </c>
      <c r="J851" s="4" t="str">
        <f>IF(C851="","",Order!$K$16)</f>
        <v>WHITE POWDER COAT (PE/BA)</v>
      </c>
      <c r="K851" s="36">
        <f>IF($C851="","",_xlfn.XLOOKUP($C851,Order!$C:$C,Order!$P:$P,"",0,1))</f>
        <v>0</v>
      </c>
      <c r="L851" s="4">
        <f t="shared" si="13"/>
        <v>465.00000000000006</v>
      </c>
    </row>
    <row r="852" spans="2:12" ht="23.25" hidden="1" customHeight="1" x14ac:dyDescent="0.25">
      <c r="B852" s="4">
        <v>847</v>
      </c>
      <c r="C852" s="36" t="str">
        <f>IF(Order!$C$173="","",Order!$C$173)</f>
        <v>PC0276</v>
      </c>
      <c r="D852" s="36" t="str">
        <f>IF($C852="","",_xlfn.XLOOKUP($C852,Order!$C:$C,Order!$D:$D,"",0,1))</f>
        <v>PC027 6</v>
      </c>
      <c r="E852" s="4" t="e" vm="358">
        <f>IF($C852="","",_xlfn.XLOOKUP($C852,Order!$C:$C,Order!$E:$E,"",0,1))</f>
        <v>#VALUE!</v>
      </c>
      <c r="F852" s="4">
        <f>IF($C852="","",_xlfn.XLOOKUP($C852,Order!$C:$C,Order!$F:$F,"",0,1))</f>
        <v>6000</v>
      </c>
      <c r="G852" s="4" t="str">
        <f>IF($C852="","",_xlfn.XLOOKUP($C852,Order!$C:$C,Order!$G:$G,"",0,1))</f>
        <v>6063T5</v>
      </c>
      <c r="H852" s="4">
        <f>IF($C852="","",_xlfn.XLOOKUP($C852,Order!$C:$C,Order!$H:$H,"",0,1))</f>
        <v>0.53500000000000003</v>
      </c>
      <c r="I852" s="36">
        <f>IF($C852="","",_xlfn.XLOOKUP($C852,Order!$C:$C,Order!$K:$K,"",0,1))</f>
        <v>0</v>
      </c>
      <c r="J852" s="4" t="str">
        <f>IF(C852="","",Order!$K$16)</f>
        <v>WHITE POWDER COAT (PE/BA)</v>
      </c>
      <c r="K852" s="36">
        <f>IF($C852="","",_xlfn.XLOOKUP($C852,Order!$C:$C,Order!$P:$P,"",0,1))</f>
        <v>0</v>
      </c>
      <c r="L852" s="4">
        <f t="shared" si="13"/>
        <v>0</v>
      </c>
    </row>
    <row r="853" spans="2:12" ht="23.25" customHeight="1" x14ac:dyDescent="0.25">
      <c r="B853" s="4">
        <v>848</v>
      </c>
      <c r="C853" s="36" t="str">
        <f>IF(Order!$C$174="","",Order!$C$174)</f>
        <v>PC0276.5A</v>
      </c>
      <c r="D853" s="36" t="str">
        <f>IF($C853="","",_xlfn.XLOOKUP($C853,Order!$C:$C,Order!$D:$D,"",0,1))</f>
        <v>PC027 6.5A</v>
      </c>
      <c r="E853" s="4" t="e" vm="359">
        <f>IF($C853="","",_xlfn.XLOOKUP($C853,Order!$C:$C,Order!$E:$E,"",0,1))</f>
        <v>#VALUE!</v>
      </c>
      <c r="F853" s="4">
        <f>IF($C853="","",_xlfn.XLOOKUP($C853,Order!$C:$C,Order!$F:$F,"",0,1))</f>
        <v>6000</v>
      </c>
      <c r="G853" s="4" t="str">
        <f>IF($C853="","",_xlfn.XLOOKUP($C853,Order!$C:$C,Order!$G:$G,"",0,1))</f>
        <v>6063T5</v>
      </c>
      <c r="H853" s="4">
        <f>IF($C853="","",_xlfn.XLOOKUP($C853,Order!$C:$C,Order!$H:$H,"",0,1))</f>
        <v>0.61899999999999999</v>
      </c>
      <c r="I853" s="36">
        <f>IF($C853="","",_xlfn.XLOOKUP($C853,Order!$C:$C,Order!$K:$K,"",0,1))</f>
        <v>1800</v>
      </c>
      <c r="J853" s="4" t="str">
        <f>IF(C853="","",Order!$K$16)</f>
        <v>WHITE POWDER COAT (PE/BA)</v>
      </c>
      <c r="K853" s="36">
        <f>IF($C853="","",_xlfn.XLOOKUP($C853,Order!$C:$C,Order!$P:$P,"",0,1))</f>
        <v>0</v>
      </c>
      <c r="L853" s="4">
        <f t="shared" si="13"/>
        <v>6685.2</v>
      </c>
    </row>
    <row r="854" spans="2:12" ht="23.25" hidden="1" customHeight="1" x14ac:dyDescent="0.25">
      <c r="B854" s="4">
        <v>849</v>
      </c>
      <c r="C854" s="36" t="str">
        <f>IF(Order!$C$175="","",Order!$C$175)</f>
        <v>E77</v>
      </c>
      <c r="D854" s="36" t="str">
        <f>IF($C854="","",_xlfn.XLOOKUP($C854,Order!$C:$C,Order!$D:$D,"",0,1))</f>
        <v>E77</v>
      </c>
      <c r="E854" s="4" t="e" vm="360">
        <f>IF($C854="","",_xlfn.XLOOKUP($C854,Order!$C:$C,Order!$E:$E,"",0,1))</f>
        <v>#VALUE!</v>
      </c>
      <c r="F854" s="4">
        <f>IF($C854="","",_xlfn.XLOOKUP($C854,Order!$C:$C,Order!$F:$F,"",0,1))</f>
        <v>6000</v>
      </c>
      <c r="G854" s="4" t="str">
        <f>IF($C854="","",_xlfn.XLOOKUP($C854,Order!$C:$C,Order!$G:$G,"",0,1))</f>
        <v>6063T5</v>
      </c>
      <c r="H854" s="4">
        <f>IF($C854="","",_xlfn.XLOOKUP($C854,Order!$C:$C,Order!$H:$H,"",0,1))</f>
        <v>0.6</v>
      </c>
      <c r="I854" s="36">
        <f>IF($C854="","",_xlfn.XLOOKUP($C854,Order!$C:$C,Order!$K:$K,"",0,1))</f>
        <v>0</v>
      </c>
      <c r="J854" s="4" t="str">
        <f>IF(C854="","",Order!$K$16)</f>
        <v>WHITE POWDER COAT (PE/BA)</v>
      </c>
      <c r="K854" s="36">
        <f>IF($C854="","",_xlfn.XLOOKUP($C854,Order!$C:$C,Order!$P:$P,"",0,1))</f>
        <v>0</v>
      </c>
      <c r="L854" s="4">
        <f t="shared" si="13"/>
        <v>0</v>
      </c>
    </row>
    <row r="855" spans="2:12" ht="23.25" hidden="1" customHeight="1" x14ac:dyDescent="0.25">
      <c r="B855" s="4">
        <v>850</v>
      </c>
      <c r="C855" s="36" t="str">
        <f>IF(Order!$C$176="","",Order!$C$176)</f>
        <v>ALB099 1.1</v>
      </c>
      <c r="D855" s="36" t="str">
        <f>IF($C855="","",_xlfn.XLOOKUP($C855,Order!$C:$C,Order!$D:$D,"",0,1))</f>
        <v>ALB099</v>
      </c>
      <c r="E855" s="4" t="e" vm="361">
        <f>IF($C855="","",_xlfn.XLOOKUP($C855,Order!$C:$C,Order!$E:$E,"",0,1))</f>
        <v>#VALUE!</v>
      </c>
      <c r="F855" s="4">
        <f>IF($C855="","",_xlfn.XLOOKUP($C855,Order!$C:$C,Order!$F:$F,"",0,1))</f>
        <v>6000</v>
      </c>
      <c r="G855" s="4" t="str">
        <f>IF($C855="","",_xlfn.XLOOKUP($C855,Order!$C:$C,Order!$G:$G,"",0,1))</f>
        <v>6063T5</v>
      </c>
      <c r="H855" s="4">
        <f>IF($C855="","",_xlfn.XLOOKUP($C855,Order!$C:$C,Order!$H:$H,"",0,1))</f>
        <v>0.74299999999999999</v>
      </c>
      <c r="I855" s="36">
        <f>IF($C855="","",_xlfn.XLOOKUP($C855,Order!$C:$C,Order!$K:$K,"",0,1))</f>
        <v>0</v>
      </c>
      <c r="J855" s="4" t="str">
        <f>IF(C855="","",Order!$K$16)</f>
        <v>WHITE POWDER COAT (PE/BA)</v>
      </c>
      <c r="K855" s="36">
        <f>IF($C855="","",_xlfn.XLOOKUP($C855,Order!$C:$C,Order!$P:$P,"",0,1))</f>
        <v>0</v>
      </c>
      <c r="L855" s="4">
        <f t="shared" si="13"/>
        <v>0</v>
      </c>
    </row>
    <row r="856" spans="2:12" ht="23.25" hidden="1" customHeight="1" x14ac:dyDescent="0.25">
      <c r="B856" s="4">
        <v>851</v>
      </c>
      <c r="C856" s="36" t="str">
        <f>IF(Order!$C$177="","",Order!$C$177)</f>
        <v>ALB099 1.2</v>
      </c>
      <c r="D856" s="36" t="str">
        <f>IF($C856="","",_xlfn.XLOOKUP($C856,Order!$C:$C,Order!$D:$D,"",0,1))</f>
        <v>ALB099 1.2</v>
      </c>
      <c r="E856" s="4" t="e" vm="362">
        <f>IF($C856="","",_xlfn.XLOOKUP($C856,Order!$C:$C,Order!$E:$E,"",0,1))</f>
        <v>#VALUE!</v>
      </c>
      <c r="F856" s="4">
        <f>IF($C856="","",_xlfn.XLOOKUP($C856,Order!$C:$C,Order!$F:$F,"",0,1))</f>
        <v>6000</v>
      </c>
      <c r="G856" s="4" t="str">
        <f>IF($C856="","",_xlfn.XLOOKUP($C856,Order!$C:$C,Order!$G:$G,"",0,1))</f>
        <v>6063T5</v>
      </c>
      <c r="H856" s="4">
        <f>IF($C856="","",_xlfn.XLOOKUP($C856,Order!$C:$C,Order!$H:$H,"",0,1))</f>
        <v>0.81499999999999995</v>
      </c>
      <c r="I856" s="36">
        <f>IF($C856="","",_xlfn.XLOOKUP($C856,Order!$C:$C,Order!$K:$K,"",0,1))</f>
        <v>0</v>
      </c>
      <c r="J856" s="4" t="str">
        <f>IF(C856="","",Order!$K$16)</f>
        <v>WHITE POWDER COAT (PE/BA)</v>
      </c>
      <c r="K856" s="36">
        <f>IF($C856="","",_xlfn.XLOOKUP($C856,Order!$C:$C,Order!$P:$P,"",0,1))</f>
        <v>0</v>
      </c>
      <c r="L856" s="4">
        <f t="shared" si="13"/>
        <v>0</v>
      </c>
    </row>
    <row r="857" spans="2:12" ht="23.25" hidden="1" customHeight="1" x14ac:dyDescent="0.25">
      <c r="B857" s="4">
        <v>852</v>
      </c>
      <c r="C857" s="36" t="str">
        <f>IF(Order!$C$178="","",Order!$C$178)</f>
        <v>LB005</v>
      </c>
      <c r="D857" s="36" t="str">
        <f>IF($C857="","",_xlfn.XLOOKUP($C857,Order!$C:$C,Order!$D:$D,"",0,1))</f>
        <v>LB005</v>
      </c>
      <c r="E857" s="4" t="e" vm="363">
        <f>IF($C857="","",_xlfn.XLOOKUP($C857,Order!$C:$C,Order!$E:$E,"",0,1))</f>
        <v>#VALUE!</v>
      </c>
      <c r="F857" s="4">
        <f>IF($C857="","",_xlfn.XLOOKUP($C857,Order!$C:$C,Order!$F:$F,"",0,1))</f>
        <v>6000</v>
      </c>
      <c r="G857" s="4" t="str">
        <f>IF($C857="","",_xlfn.XLOOKUP($C857,Order!$C:$C,Order!$G:$G,"",0,1))</f>
        <v>6063T5</v>
      </c>
      <c r="H857" s="4">
        <f>IF($C857="","",_xlfn.XLOOKUP($C857,Order!$C:$C,Order!$H:$H,"",0,1))</f>
        <v>0</v>
      </c>
      <c r="I857" s="36">
        <f>IF($C857="","",_xlfn.XLOOKUP($C857,Order!$C:$C,Order!$K:$K,"",0,1))</f>
        <v>0</v>
      </c>
      <c r="J857" s="4" t="str">
        <f>IF(C857="","",Order!$K$16)</f>
        <v>WHITE POWDER COAT (PE/BA)</v>
      </c>
      <c r="K857" s="36">
        <f>IF($C857="","",_xlfn.XLOOKUP($C857,Order!$C:$C,Order!$P:$P,"",0,1))</f>
        <v>0</v>
      </c>
      <c r="L857" s="4">
        <f t="shared" si="13"/>
        <v>0</v>
      </c>
    </row>
    <row r="858" spans="2:12" ht="23.25" hidden="1" customHeight="1" x14ac:dyDescent="0.25">
      <c r="B858" s="4">
        <v>853</v>
      </c>
      <c r="C858" s="36" t="str">
        <f>IF(Order!$C$179="","",Order!$C$179)</f>
        <v>LB007</v>
      </c>
      <c r="D858" s="36" t="str">
        <f>IF($C858="","",_xlfn.XLOOKUP($C858,Order!$C:$C,Order!$D:$D,"",0,1))</f>
        <v>LB007</v>
      </c>
      <c r="E858" s="4" t="e" vm="364">
        <f>IF($C858="","",_xlfn.XLOOKUP($C858,Order!$C:$C,Order!$E:$E,"",0,1))</f>
        <v>#VALUE!</v>
      </c>
      <c r="F858" s="4">
        <f>IF($C858="","",_xlfn.XLOOKUP($C858,Order!$C:$C,Order!$F:$F,"",0,1))</f>
        <v>6000</v>
      </c>
      <c r="G858" s="4" t="str">
        <f>IF($C858="","",_xlfn.XLOOKUP($C858,Order!$C:$C,Order!$G:$G,"",0,1))</f>
        <v>6063T5</v>
      </c>
      <c r="H858" s="4">
        <f>IF($C858="","",_xlfn.XLOOKUP($C858,Order!$C:$C,Order!$H:$H,"",0,1))</f>
        <v>0.61</v>
      </c>
      <c r="I858" s="36">
        <f>IF($C858="","",_xlfn.XLOOKUP($C858,Order!$C:$C,Order!$K:$K,"",0,1))</f>
        <v>0</v>
      </c>
      <c r="J858" s="4" t="str">
        <f>IF(C858="","",Order!$K$16)</f>
        <v>WHITE POWDER COAT (PE/BA)</v>
      </c>
      <c r="K858" s="36">
        <f>IF($C858="","",_xlfn.XLOOKUP($C858,Order!$C:$C,Order!$P:$P,"",0,1))</f>
        <v>0</v>
      </c>
      <c r="L858" s="4">
        <f t="shared" si="13"/>
        <v>0</v>
      </c>
    </row>
    <row r="859" spans="2:12" ht="23.25" customHeight="1" x14ac:dyDescent="0.25">
      <c r="B859" s="4">
        <v>854</v>
      </c>
      <c r="C859" s="36" t="str">
        <f>IF(Order!$C$180="","",Order!$C$180)</f>
        <v>LB008</v>
      </c>
      <c r="D859" s="36" t="str">
        <f>IF($C859="","",_xlfn.XLOOKUP($C859,Order!$C:$C,Order!$D:$D,"",0,1))</f>
        <v>LB008</v>
      </c>
      <c r="E859" s="4" t="e" vm="365">
        <f>IF($C859="","",_xlfn.XLOOKUP($C859,Order!$C:$C,Order!$E:$E,"",0,1))</f>
        <v>#VALUE!</v>
      </c>
      <c r="F859" s="4">
        <f>IF($C859="","",_xlfn.XLOOKUP($C859,Order!$C:$C,Order!$F:$F,"",0,1))</f>
        <v>6000</v>
      </c>
      <c r="G859" s="4" t="str">
        <f>IF($C859="","",_xlfn.XLOOKUP($C859,Order!$C:$C,Order!$G:$G,"",0,1))</f>
        <v>6063T5</v>
      </c>
      <c r="H859" s="4">
        <f>IF($C859="","",_xlfn.XLOOKUP($C859,Order!$C:$C,Order!$H:$H,"",0,1))</f>
        <v>0.50600000000000001</v>
      </c>
      <c r="I859" s="36">
        <f>IF($C859="","",_xlfn.XLOOKUP($C859,Order!$C:$C,Order!$K:$K,"",0,1))</f>
        <v>2200</v>
      </c>
      <c r="J859" s="4" t="str">
        <f>IF(C859="","",Order!$K$16)</f>
        <v>WHITE POWDER COAT (PE/BA)</v>
      </c>
      <c r="K859" s="36">
        <f>IF($C859="","",_xlfn.XLOOKUP($C859,Order!$C:$C,Order!$P:$P,"",0,1))</f>
        <v>0</v>
      </c>
      <c r="L859" s="4">
        <f t="shared" si="13"/>
        <v>6679.2</v>
      </c>
    </row>
    <row r="860" spans="2:12" ht="23.25" hidden="1" customHeight="1" x14ac:dyDescent="0.25">
      <c r="B860" s="4">
        <v>855</v>
      </c>
      <c r="C860" s="36" t="str">
        <f>IF(Order!$C$181="","",Order!$C$181)</f>
        <v>LB010</v>
      </c>
      <c r="D860" s="36" t="str">
        <f>IF($C860="","",_xlfn.XLOOKUP($C860,Order!$C:$C,Order!$D:$D,"",0,1))</f>
        <v>LB010</v>
      </c>
      <c r="E860" s="4" t="e" vm="366">
        <f>IF($C860="","",_xlfn.XLOOKUP($C860,Order!$C:$C,Order!$E:$E,"",0,1))</f>
        <v>#VALUE!</v>
      </c>
      <c r="F860" s="4">
        <f>IF($C860="","",_xlfn.XLOOKUP($C860,Order!$C:$C,Order!$F:$F,"",0,1))</f>
        <v>6000</v>
      </c>
      <c r="G860" s="4" t="str">
        <f>IF($C860="","",_xlfn.XLOOKUP($C860,Order!$C:$C,Order!$G:$G,"",0,1))</f>
        <v>6063T5</v>
      </c>
      <c r="H860" s="4">
        <f>IF($C860="","",_xlfn.XLOOKUP($C860,Order!$C:$C,Order!$H:$H,"",0,1))</f>
        <v>0</v>
      </c>
      <c r="I860" s="36">
        <f>IF($C860="","",_xlfn.XLOOKUP($C860,Order!$C:$C,Order!$K:$K,"",0,1))</f>
        <v>0</v>
      </c>
      <c r="J860" s="4" t="str">
        <f>IF(C860="","",Order!$K$16)</f>
        <v>WHITE POWDER COAT (PE/BA)</v>
      </c>
      <c r="K860" s="36">
        <f>IF($C860="","",_xlfn.XLOOKUP($C860,Order!$C:$C,Order!$P:$P,"",0,1))</f>
        <v>0</v>
      </c>
      <c r="L860" s="4">
        <f t="shared" si="13"/>
        <v>0</v>
      </c>
    </row>
    <row r="861" spans="2:12" ht="23.25" hidden="1" customHeight="1" x14ac:dyDescent="0.25">
      <c r="B861" s="4">
        <v>856</v>
      </c>
      <c r="C861" s="36" t="str">
        <f>IF(Order!$C$182="","",Order!$C$182)</f>
        <v>LB020</v>
      </c>
      <c r="D861" s="36" t="str">
        <f>IF($C861="","",_xlfn.XLOOKUP($C861,Order!$C:$C,Order!$D:$D,"",0,1))</f>
        <v>LB020</v>
      </c>
      <c r="E861" s="4" t="e" vm="367">
        <f>IF($C861="","",_xlfn.XLOOKUP($C861,Order!$C:$C,Order!$E:$E,"",0,1))</f>
        <v>#VALUE!</v>
      </c>
      <c r="F861" s="4">
        <f>IF($C861="","",_xlfn.XLOOKUP($C861,Order!$C:$C,Order!$F:$F,"",0,1))</f>
        <v>6000</v>
      </c>
      <c r="G861" s="4" t="str">
        <f>IF($C861="","",_xlfn.XLOOKUP($C861,Order!$C:$C,Order!$G:$G,"",0,1))</f>
        <v>6063T5</v>
      </c>
      <c r="H861" s="4">
        <f>IF($C861="","",_xlfn.XLOOKUP($C861,Order!$C:$C,Order!$H:$H,"",0,1))</f>
        <v>0.67300000000000004</v>
      </c>
      <c r="I861" s="36">
        <f>IF($C861="","",_xlfn.XLOOKUP($C861,Order!$C:$C,Order!$K:$K,"",0,1))</f>
        <v>0</v>
      </c>
      <c r="J861" s="4" t="str">
        <f>IF(C861="","",Order!$K$16)</f>
        <v>WHITE POWDER COAT (PE/BA)</v>
      </c>
      <c r="K861" s="36">
        <f>IF($C861="","",_xlfn.XLOOKUP($C861,Order!$C:$C,Order!$P:$P,"",0,1))</f>
        <v>0</v>
      </c>
      <c r="L861" s="4">
        <f t="shared" si="13"/>
        <v>0</v>
      </c>
    </row>
    <row r="862" spans="2:12" ht="23.25" hidden="1" customHeight="1" x14ac:dyDescent="0.25">
      <c r="B862" s="4">
        <v>857</v>
      </c>
      <c r="C862" s="36" t="str">
        <f>IF(Order!$C$183="","",Order!$C$183)</f>
        <v>PLB036</v>
      </c>
      <c r="D862" s="36" t="str">
        <f>IF($C862="","",_xlfn.XLOOKUP($C862,Order!$C:$C,Order!$D:$D,"",0,1))</f>
        <v>PLB036</v>
      </c>
      <c r="E862" s="4" t="e" vm="368">
        <f>IF($C862="","",_xlfn.XLOOKUP($C862,Order!$C:$C,Order!$E:$E,"",0,1))</f>
        <v>#VALUE!</v>
      </c>
      <c r="F862" s="4">
        <f>IF($C862="","",_xlfn.XLOOKUP($C862,Order!$C:$C,Order!$F:$F,"",0,1))</f>
        <v>6000</v>
      </c>
      <c r="G862" s="4" t="str">
        <f>IF($C862="","",_xlfn.XLOOKUP($C862,Order!$C:$C,Order!$G:$G,"",0,1))</f>
        <v>6063T5</v>
      </c>
      <c r="H862" s="4">
        <f>IF($C862="","",_xlfn.XLOOKUP($C862,Order!$C:$C,Order!$H:$H,"",0,1))</f>
        <v>0.51400000000000001</v>
      </c>
      <c r="I862" s="36">
        <f>IF($C862="","",_xlfn.XLOOKUP($C862,Order!$C:$C,Order!$K:$K,"",0,1))</f>
        <v>0</v>
      </c>
      <c r="J862" s="4" t="str">
        <f>IF(C862="","",Order!$K$16)</f>
        <v>WHITE POWDER COAT (PE/BA)</v>
      </c>
      <c r="K862" s="36">
        <f>IF($C862="","",_xlfn.XLOOKUP($C862,Order!$C:$C,Order!$P:$P,"",0,1))</f>
        <v>0</v>
      </c>
      <c r="L862" s="4">
        <f t="shared" si="13"/>
        <v>0</v>
      </c>
    </row>
    <row r="863" spans="2:12" ht="23.25" customHeight="1" x14ac:dyDescent="0.25">
      <c r="B863" s="4">
        <v>858</v>
      </c>
      <c r="C863" s="36" t="str">
        <f>IF(Order!$C$184="","",Order!$C$184)</f>
        <v>PLB036P</v>
      </c>
      <c r="D863" s="36" t="str">
        <f>IF($C863="","",_xlfn.XLOOKUP($C863,Order!$C:$C,Order!$D:$D,"",0,1))</f>
        <v>PLB036P</v>
      </c>
      <c r="E863" s="4" t="e" vm="369">
        <f>IF($C863="","",_xlfn.XLOOKUP($C863,Order!$C:$C,Order!$E:$E,"",0,1))</f>
        <v>#VALUE!</v>
      </c>
      <c r="F863" s="4">
        <f>IF($C863="","",_xlfn.XLOOKUP($C863,Order!$C:$C,Order!$F:$F,"",0,1))</f>
        <v>6000</v>
      </c>
      <c r="G863" s="4" t="str">
        <f>IF($C863="","",_xlfn.XLOOKUP($C863,Order!$C:$C,Order!$G:$G,"",0,1))</f>
        <v>6063T5</v>
      </c>
      <c r="H863" s="4">
        <f>IF($C863="","",_xlfn.XLOOKUP($C863,Order!$C:$C,Order!$H:$H,"",0,1))</f>
        <v>0.46600000000000003</v>
      </c>
      <c r="I863" s="36">
        <f>IF($C863="","",_xlfn.XLOOKUP($C863,Order!$C:$C,Order!$K:$K,"",0,1))</f>
        <v>300</v>
      </c>
      <c r="J863" s="4" t="str">
        <f>IF(C863="","",Order!$K$16)</f>
        <v>WHITE POWDER COAT (PE/BA)</v>
      </c>
      <c r="K863" s="36">
        <f>IF($C863="","",_xlfn.XLOOKUP($C863,Order!$C:$C,Order!$P:$P,"",0,1))</f>
        <v>0</v>
      </c>
      <c r="L863" s="4">
        <f t="shared" si="13"/>
        <v>838.80000000000007</v>
      </c>
    </row>
    <row r="864" spans="2:12" ht="23.25" hidden="1" customHeight="1" x14ac:dyDescent="0.25">
      <c r="B864" s="4">
        <v>859</v>
      </c>
      <c r="C864" s="36" t="str">
        <f>IF(Order!$C$185="","",Order!$C$185)</f>
        <v>LB037</v>
      </c>
      <c r="D864" s="36" t="str">
        <f>IF($C864="","",_xlfn.XLOOKUP($C864,Order!$C:$C,Order!$D:$D,"",0,1))</f>
        <v>LB037</v>
      </c>
      <c r="E864" s="4" t="e" vm="370">
        <f>IF($C864="","",_xlfn.XLOOKUP($C864,Order!$C:$C,Order!$E:$E,"",0,1))</f>
        <v>#VALUE!</v>
      </c>
      <c r="F864" s="4">
        <f>IF($C864="","",_xlfn.XLOOKUP($C864,Order!$C:$C,Order!$F:$F,"",0,1))</f>
        <v>6000</v>
      </c>
      <c r="G864" s="4" t="str">
        <f>IF($C864="","",_xlfn.XLOOKUP($C864,Order!$C:$C,Order!$G:$G,"",0,1))</f>
        <v>6063T5</v>
      </c>
      <c r="H864" s="4">
        <f>IF($C864="","",_xlfn.XLOOKUP($C864,Order!$C:$C,Order!$H:$H,"",0,1))</f>
        <v>0.68100000000000005</v>
      </c>
      <c r="I864" s="36">
        <f>IF($C864="","",_xlfn.XLOOKUP($C864,Order!$C:$C,Order!$K:$K,"",0,1))</f>
        <v>0</v>
      </c>
      <c r="J864" s="4" t="str">
        <f>IF(C864="","",Order!$K$16)</f>
        <v>WHITE POWDER COAT (PE/BA)</v>
      </c>
      <c r="K864" s="36">
        <f>IF($C864="","",_xlfn.XLOOKUP($C864,Order!$C:$C,Order!$P:$P,"",0,1))</f>
        <v>0</v>
      </c>
      <c r="L864" s="4">
        <f t="shared" si="13"/>
        <v>0</v>
      </c>
    </row>
    <row r="865" spans="2:12" ht="23.25" hidden="1" customHeight="1" x14ac:dyDescent="0.25">
      <c r="B865" s="4">
        <v>860</v>
      </c>
      <c r="C865" s="36" t="str">
        <f>IF(Order!$C$186="","",Order!$C$186)</f>
        <v>LB038</v>
      </c>
      <c r="D865" s="36" t="str">
        <f>IF($C865="","",_xlfn.XLOOKUP($C865,Order!$C:$C,Order!$D:$D,"",0,1))</f>
        <v>LB038</v>
      </c>
      <c r="E865" s="4" t="e" vm="371">
        <f>IF($C865="","",_xlfn.XLOOKUP($C865,Order!$C:$C,Order!$E:$E,"",0,1))</f>
        <v>#VALUE!</v>
      </c>
      <c r="F865" s="4">
        <f>IF($C865="","",_xlfn.XLOOKUP($C865,Order!$C:$C,Order!$F:$F,"",0,1))</f>
        <v>6000</v>
      </c>
      <c r="G865" s="4" t="str">
        <f>IF($C865="","",_xlfn.XLOOKUP($C865,Order!$C:$C,Order!$G:$G,"",0,1))</f>
        <v>6063T5</v>
      </c>
      <c r="H865" s="4">
        <f>IF($C865="","",_xlfn.XLOOKUP($C865,Order!$C:$C,Order!$H:$H,"",0,1))</f>
        <v>0</v>
      </c>
      <c r="I865" s="36">
        <f>IF($C865="","",_xlfn.XLOOKUP($C865,Order!$C:$C,Order!$K:$K,"",0,1))</f>
        <v>0</v>
      </c>
      <c r="J865" s="4" t="str">
        <f>IF(C865="","",Order!$K$16)</f>
        <v>WHITE POWDER COAT (PE/BA)</v>
      </c>
      <c r="K865" s="36">
        <f>IF($C865="","",_xlfn.XLOOKUP($C865,Order!$C:$C,Order!$P:$P,"",0,1))</f>
        <v>0</v>
      </c>
      <c r="L865" s="4">
        <f t="shared" si="13"/>
        <v>0</v>
      </c>
    </row>
    <row r="866" spans="2:12" ht="23.25" hidden="1" customHeight="1" x14ac:dyDescent="0.25">
      <c r="B866" s="4">
        <v>861</v>
      </c>
      <c r="C866" s="36" t="str">
        <f>IF(Order!$C$187="","",Order!$C$187)</f>
        <v>LB050</v>
      </c>
      <c r="D866" s="36" t="str">
        <f>IF($C866="","",_xlfn.XLOOKUP($C866,Order!$C:$C,Order!$D:$D,"",0,1))</f>
        <v>LB050</v>
      </c>
      <c r="E866" s="4" t="e" vm="372">
        <f>IF($C866="","",_xlfn.XLOOKUP($C866,Order!$C:$C,Order!$E:$E,"",0,1))</f>
        <v>#VALUE!</v>
      </c>
      <c r="F866" s="4">
        <f>IF($C866="","",_xlfn.XLOOKUP($C866,Order!$C:$C,Order!$F:$F,"",0,1))</f>
        <v>6000</v>
      </c>
      <c r="G866" s="4" t="str">
        <f>IF($C866="","",_xlfn.XLOOKUP($C866,Order!$C:$C,Order!$G:$G,"",0,1))</f>
        <v>6063T5</v>
      </c>
      <c r="H866" s="4">
        <f>IF($C866="","",_xlfn.XLOOKUP($C866,Order!$C:$C,Order!$H:$H,"",0,1))</f>
        <v>0.61699999999999999</v>
      </c>
      <c r="I866" s="36">
        <f>IF($C866="","",_xlfn.XLOOKUP($C866,Order!$C:$C,Order!$K:$K,"",0,1))</f>
        <v>0</v>
      </c>
      <c r="J866" s="4" t="str">
        <f>IF(C866="","",Order!$K$16)</f>
        <v>WHITE POWDER COAT (PE/BA)</v>
      </c>
      <c r="K866" s="36">
        <f>IF($C866="","",_xlfn.XLOOKUP($C866,Order!$C:$C,Order!$P:$P,"",0,1))</f>
        <v>0</v>
      </c>
      <c r="L866" s="4">
        <f t="shared" si="13"/>
        <v>0</v>
      </c>
    </row>
    <row r="867" spans="2:12" ht="23.25" hidden="1" customHeight="1" x14ac:dyDescent="0.25">
      <c r="B867" s="4">
        <v>862</v>
      </c>
      <c r="C867" s="36" t="str">
        <f>IF(Order!$C$188="","",Order!$C$188)</f>
        <v>LB070</v>
      </c>
      <c r="D867" s="36" t="str">
        <f>IF($C867="","",_xlfn.XLOOKUP($C867,Order!$C:$C,Order!$D:$D,"",0,1))</f>
        <v>LB070</v>
      </c>
      <c r="E867" s="4" t="e" vm="373">
        <f>IF($C867="","",_xlfn.XLOOKUP($C867,Order!$C:$C,Order!$E:$E,"",0,1))</f>
        <v>#VALUE!</v>
      </c>
      <c r="F867" s="4">
        <f>IF($C867="","",_xlfn.XLOOKUP($C867,Order!$C:$C,Order!$F:$F,"",0,1))</f>
        <v>6000</v>
      </c>
      <c r="G867" s="4" t="str">
        <f>IF($C867="","",_xlfn.XLOOKUP($C867,Order!$C:$C,Order!$G:$G,"",0,1))</f>
        <v>6063T5</v>
      </c>
      <c r="H867" s="4">
        <f>IF($C867="","",_xlfn.XLOOKUP($C867,Order!$C:$C,Order!$H:$H,"",0,1))</f>
        <v>0.71699999999999997</v>
      </c>
      <c r="I867" s="36">
        <f>IF($C867="","",_xlfn.XLOOKUP($C867,Order!$C:$C,Order!$K:$K,"",0,1))</f>
        <v>0</v>
      </c>
      <c r="J867" s="4" t="str">
        <f>IF(C867="","",Order!$K$16)</f>
        <v>WHITE POWDER COAT (PE/BA)</v>
      </c>
      <c r="K867" s="36">
        <f>IF($C867="","",_xlfn.XLOOKUP($C867,Order!$C:$C,Order!$P:$P,"",0,1))</f>
        <v>0</v>
      </c>
      <c r="L867" s="4">
        <f t="shared" si="13"/>
        <v>0</v>
      </c>
    </row>
    <row r="868" spans="2:12" ht="23.25" hidden="1" customHeight="1" x14ac:dyDescent="0.25">
      <c r="B868" s="4">
        <v>863</v>
      </c>
      <c r="C868" s="36" t="str">
        <f>IF(Order!$C$189="","",Order!$C$189)</f>
        <v>LB081</v>
      </c>
      <c r="D868" s="36" t="str">
        <f>IF($C868="","",_xlfn.XLOOKUP($C868,Order!$C:$C,Order!$D:$D,"",0,1))</f>
        <v>LB081</v>
      </c>
      <c r="E868" s="4" t="e" vm="374">
        <f>IF($C868="","",_xlfn.XLOOKUP($C868,Order!$C:$C,Order!$E:$E,"",0,1))</f>
        <v>#VALUE!</v>
      </c>
      <c r="F868" s="4">
        <f>IF($C868="","",_xlfn.XLOOKUP($C868,Order!$C:$C,Order!$F:$F,"",0,1))</f>
        <v>6000</v>
      </c>
      <c r="G868" s="4" t="str">
        <f>IF($C868="","",_xlfn.XLOOKUP($C868,Order!$C:$C,Order!$G:$G,"",0,1))</f>
        <v>6063T5</v>
      </c>
      <c r="H868" s="4">
        <f>IF($C868="","",_xlfn.XLOOKUP($C868,Order!$C:$C,Order!$H:$H,"",0,1))</f>
        <v>0.52800000000000002</v>
      </c>
      <c r="I868" s="36">
        <f>IF($C868="","",_xlfn.XLOOKUP($C868,Order!$C:$C,Order!$K:$K,"",0,1))</f>
        <v>0</v>
      </c>
      <c r="J868" s="4" t="str">
        <f>IF(C868="","",Order!$K$16)</f>
        <v>WHITE POWDER COAT (PE/BA)</v>
      </c>
      <c r="K868" s="36">
        <f>IF($C868="","",_xlfn.XLOOKUP($C868,Order!$C:$C,Order!$P:$P,"",0,1))</f>
        <v>0</v>
      </c>
      <c r="L868" s="4">
        <f t="shared" si="13"/>
        <v>0</v>
      </c>
    </row>
    <row r="869" spans="2:12" ht="23.25" hidden="1" customHeight="1" x14ac:dyDescent="0.25">
      <c r="B869" s="4">
        <v>864</v>
      </c>
      <c r="C869" s="36" t="str">
        <f>IF(Order!$C$190="","",Order!$C$190)</f>
        <v>BX816</v>
      </c>
      <c r="D869" s="36" t="str">
        <f>IF($C869="","",_xlfn.XLOOKUP($C869,Order!$C:$C,Order!$D:$D,"",0,1))</f>
        <v>BX816</v>
      </c>
      <c r="E869" s="4" t="e" vm="375">
        <f>IF($C869="","",_xlfn.XLOOKUP($C869,Order!$C:$C,Order!$E:$E,"",0,1))</f>
        <v>#VALUE!</v>
      </c>
      <c r="F869" s="4">
        <f>IF($C869="","",_xlfn.XLOOKUP($C869,Order!$C:$C,Order!$F:$F,"",0,1))</f>
        <v>6000</v>
      </c>
      <c r="G869" s="4" t="str">
        <f>IF($C869="","",_xlfn.XLOOKUP($C869,Order!$C:$C,Order!$G:$G,"",0,1))</f>
        <v>6063T5</v>
      </c>
      <c r="H869" s="4">
        <f>IF($C869="","",_xlfn.XLOOKUP($C869,Order!$C:$C,Order!$H:$H,"",0,1))</f>
        <v>0.67</v>
      </c>
      <c r="I869" s="36">
        <f>IF($C869="","",_xlfn.XLOOKUP($C869,Order!$C:$C,Order!$K:$K,"",0,1))</f>
        <v>0</v>
      </c>
      <c r="J869" s="4" t="str">
        <f>IF(C869="","",Order!$K$16)</f>
        <v>WHITE POWDER COAT (PE/BA)</v>
      </c>
      <c r="K869" s="36">
        <f>IF($C869="","",_xlfn.XLOOKUP($C869,Order!$C:$C,Order!$P:$P,"",0,1))</f>
        <v>0</v>
      </c>
      <c r="L869" s="4">
        <f t="shared" si="13"/>
        <v>0</v>
      </c>
    </row>
    <row r="870" spans="2:12" ht="23.25" hidden="1" customHeight="1" x14ac:dyDescent="0.25">
      <c r="B870" s="4">
        <v>865</v>
      </c>
      <c r="C870" s="36" t="str">
        <f>IF(Order!$C$191="","",Order!$C$191)</f>
        <v>BX841</v>
      </c>
      <c r="D870" s="36" t="str">
        <f>IF($C870="","",_xlfn.XLOOKUP($C870,Order!$C:$C,Order!$D:$D,"",0,1))</f>
        <v>BX841</v>
      </c>
      <c r="E870" s="4" t="e" vm="376">
        <f>IF($C870="","",_xlfn.XLOOKUP($C870,Order!$C:$C,Order!$E:$E,"",0,1))</f>
        <v>#VALUE!</v>
      </c>
      <c r="F870" s="4">
        <f>IF($C870="","",_xlfn.XLOOKUP($C870,Order!$C:$C,Order!$F:$F,"",0,1))</f>
        <v>6000</v>
      </c>
      <c r="G870" s="4" t="str">
        <f>IF($C870="","",_xlfn.XLOOKUP($C870,Order!$C:$C,Order!$G:$G,"",0,1))</f>
        <v>6063T5</v>
      </c>
      <c r="H870" s="4">
        <f>IF($C870="","",_xlfn.XLOOKUP($C870,Order!$C:$C,Order!$H:$H,"",0,1))</f>
        <v>0.54500000000000004</v>
      </c>
      <c r="I870" s="36">
        <f>IF($C870="","",_xlfn.XLOOKUP($C870,Order!$C:$C,Order!$K:$K,"",0,1))</f>
        <v>0</v>
      </c>
      <c r="J870" s="4" t="str">
        <f>IF(C870="","",Order!$K$16)</f>
        <v>WHITE POWDER COAT (PE/BA)</v>
      </c>
      <c r="K870" s="36">
        <f>IF($C870="","",_xlfn.XLOOKUP($C870,Order!$C:$C,Order!$P:$P,"",0,1))</f>
        <v>0</v>
      </c>
      <c r="L870" s="4">
        <f t="shared" si="13"/>
        <v>0</v>
      </c>
    </row>
    <row r="871" spans="2:12" ht="23.25" hidden="1" customHeight="1" x14ac:dyDescent="0.25">
      <c r="B871" s="4">
        <v>866</v>
      </c>
      <c r="C871" s="36" t="str">
        <f>IF(Order!$C$192="","",Order!$C$192)</f>
        <v>BX842</v>
      </c>
      <c r="D871" s="36" t="str">
        <f>IF($C871="","",_xlfn.XLOOKUP($C871,Order!$C:$C,Order!$D:$D,"",0,1))</f>
        <v>BX842</v>
      </c>
      <c r="E871" s="4" t="e" vm="377">
        <f>IF($C871="","",_xlfn.XLOOKUP($C871,Order!$C:$C,Order!$E:$E,"",0,1))</f>
        <v>#VALUE!</v>
      </c>
      <c r="F871" s="4">
        <f>IF($C871="","",_xlfn.XLOOKUP($C871,Order!$C:$C,Order!$F:$F,"",0,1))</f>
        <v>6000</v>
      </c>
      <c r="G871" s="4" t="str">
        <f>IF($C871="","",_xlfn.XLOOKUP($C871,Order!$C:$C,Order!$G:$G,"",0,1))</f>
        <v>6063T5</v>
      </c>
      <c r="H871" s="4">
        <f>IF($C871="","",_xlfn.XLOOKUP($C871,Order!$C:$C,Order!$H:$H,"",0,1))</f>
        <v>0</v>
      </c>
      <c r="I871" s="36">
        <f>IF($C871="","",_xlfn.XLOOKUP($C871,Order!$C:$C,Order!$K:$K,"",0,1))</f>
        <v>0</v>
      </c>
      <c r="J871" s="4" t="str">
        <f>IF(C871="","",Order!$K$16)</f>
        <v>WHITE POWDER COAT (PE/BA)</v>
      </c>
      <c r="K871" s="36">
        <f>IF($C871="","",_xlfn.XLOOKUP($C871,Order!$C:$C,Order!$P:$P,"",0,1))</f>
        <v>0</v>
      </c>
      <c r="L871" s="4">
        <f t="shared" si="13"/>
        <v>0</v>
      </c>
    </row>
    <row r="872" spans="2:12" ht="23.25" hidden="1" customHeight="1" x14ac:dyDescent="0.25">
      <c r="B872" s="4">
        <v>867</v>
      </c>
      <c r="C872" s="36" t="str">
        <f>IF(Order!$C$193="","",Order!$C$193)</f>
        <v>BX1041</v>
      </c>
      <c r="D872" s="36" t="str">
        <f>IF($C872="","",_xlfn.XLOOKUP($C872,Order!$C:$C,Order!$D:$D,"",0,1))</f>
        <v>BX1041</v>
      </c>
      <c r="E872" s="4" t="e" vm="378">
        <f>IF($C872="","",_xlfn.XLOOKUP($C872,Order!$C:$C,Order!$E:$E,"",0,1))</f>
        <v>#VALUE!</v>
      </c>
      <c r="F872" s="4">
        <f>IF($C872="","",_xlfn.XLOOKUP($C872,Order!$C:$C,Order!$F:$F,"",0,1))</f>
        <v>6000</v>
      </c>
      <c r="G872" s="4" t="str">
        <f>IF($C872="","",_xlfn.XLOOKUP($C872,Order!$C:$C,Order!$G:$G,"",0,1))</f>
        <v>6063T5</v>
      </c>
      <c r="H872" s="4">
        <f>IF($C872="","",_xlfn.XLOOKUP($C872,Order!$C:$C,Order!$H:$H,"",0,1))</f>
        <v>0.72499999999999998</v>
      </c>
      <c r="I872" s="36">
        <f>IF($C872="","",_xlfn.XLOOKUP($C872,Order!$C:$C,Order!$K:$K,"",0,1))</f>
        <v>0</v>
      </c>
      <c r="J872" s="4" t="str">
        <f>IF(C872="","",Order!$K$16)</f>
        <v>WHITE POWDER COAT (PE/BA)</v>
      </c>
      <c r="K872" s="36">
        <f>IF($C872="","",_xlfn.XLOOKUP($C872,Order!$C:$C,Order!$P:$P,"",0,1))</f>
        <v>0</v>
      </c>
      <c r="L872" s="4">
        <f t="shared" si="13"/>
        <v>0</v>
      </c>
    </row>
    <row r="873" spans="2:12" ht="23.25" hidden="1" customHeight="1" x14ac:dyDescent="0.25">
      <c r="B873" s="4">
        <v>868</v>
      </c>
      <c r="C873" s="36" t="str">
        <f>IF(Order!$C$194="","",Order!$C$194)</f>
        <v/>
      </c>
      <c r="D873" s="36" t="str">
        <f>IF($C873="","",_xlfn.XLOOKUP($C873,Order!$C:$C,Order!$D:$D,"",0,1))</f>
        <v/>
      </c>
      <c r="E873" s="4" t="str">
        <f>IF($C873="","",_xlfn.XLOOKUP($C873,Order!$C:$C,Order!$E:$E,"",0,1))</f>
        <v/>
      </c>
      <c r="F873" s="4" t="str">
        <f>IF($C873="","",_xlfn.XLOOKUP($C873,Order!$C:$C,Order!$F:$F,"",0,1))</f>
        <v/>
      </c>
      <c r="G873" s="4" t="str">
        <f>IF($C873="","",_xlfn.XLOOKUP($C873,Order!$C:$C,Order!$G:$G,"",0,1))</f>
        <v/>
      </c>
      <c r="H873" s="4" t="str">
        <f>IF($C873="","",_xlfn.XLOOKUP($C873,Order!$C:$C,Order!$H:$H,"",0,1))</f>
        <v/>
      </c>
      <c r="I873" s="36" t="str">
        <f>IF($C873="","",_xlfn.XLOOKUP($C873,Order!$C:$C,Order!$K:$K,"",0,1))</f>
        <v/>
      </c>
      <c r="J873" s="4" t="str">
        <f>IF(C873="","",Order!$K$16)</f>
        <v/>
      </c>
      <c r="K873" s="36" t="str">
        <f>IF($C873="","",_xlfn.XLOOKUP($C873,Order!$C:$C,Order!$P:$P,"",0,1))</f>
        <v/>
      </c>
      <c r="L873" s="4" t="str">
        <f t="shared" si="13"/>
        <v/>
      </c>
    </row>
    <row r="874" spans="2:12" ht="23.25" hidden="1" customHeight="1" x14ac:dyDescent="0.25">
      <c r="B874" s="4">
        <v>869</v>
      </c>
      <c r="C874" s="36" t="str">
        <f>IF(Order!$C$195="","",Order!$C$195)</f>
        <v>TGR2X1 (Rectangular tube 2"X1" with 0.90 mm thickness c/reforco)</v>
      </c>
      <c r="D874" s="36" t="str">
        <f>IF($C874="","",_xlfn.XLOOKUP($C874,Order!$C:$C,Order!$D:$D,"",0,1))</f>
        <v>TGR2X1</v>
      </c>
      <c r="E874" s="4" t="e" vm="379">
        <f>IF($C874="","",_xlfn.XLOOKUP($C874,Order!$C:$C,Order!$E:$E,"",0,1))</f>
        <v>#VALUE!</v>
      </c>
      <c r="F874" s="4">
        <f>IF($C874="","",_xlfn.XLOOKUP($C874,Order!$C:$C,Order!$F:$F,"",0,1))</f>
        <v>6000</v>
      </c>
      <c r="G874" s="4" t="str">
        <f>IF($C874="","",_xlfn.XLOOKUP($C874,Order!$C:$C,Order!$G:$G,"",0,1))</f>
        <v>6063T5</v>
      </c>
      <c r="H874" s="4">
        <f>IF($C874="","",_xlfn.XLOOKUP($C874,Order!$C:$C,Order!$H:$H,"",0,1))</f>
        <v>0.39500000000000002</v>
      </c>
      <c r="I874" s="36">
        <f>IF($C874="","",_xlfn.XLOOKUP($C874,Order!$C:$C,Order!$K:$K,"",0,1))</f>
        <v>0</v>
      </c>
      <c r="J874" s="4" t="str">
        <f>IF(C874="","",Order!$K$16)</f>
        <v>WHITE POWDER COAT (PE/BA)</v>
      </c>
      <c r="K874" s="36">
        <f>IF($C874="","",_xlfn.XLOOKUP($C874,Order!$C:$C,Order!$P:$P,"",0,1))</f>
        <v>0</v>
      </c>
      <c r="L874" s="4">
        <f t="shared" si="13"/>
        <v>0</v>
      </c>
    </row>
    <row r="875" spans="2:12" ht="23.25" hidden="1" customHeight="1" x14ac:dyDescent="0.25">
      <c r="B875" s="4">
        <v>870</v>
      </c>
      <c r="C875" s="36" t="str">
        <f>IF(Order!$C$196="","",Order!$C$196)</f>
        <v>TGR3X1.1/2L (Rectangular tube 3"x1.1 /2" with 1.00 mm tickness c/reforço)</v>
      </c>
      <c r="D875" s="36" t="str">
        <f>IF($C875="","",_xlfn.XLOOKUP($C875,Order!$C:$C,Order!$D:$D,"",0,1))</f>
        <v>TGR3X1.1-2L</v>
      </c>
      <c r="E875" s="4" t="e" vm="380">
        <f>IF($C875="","",_xlfn.XLOOKUP($C875,Order!$C:$C,Order!$E:$E,"",0,1))</f>
        <v>#VALUE!</v>
      </c>
      <c r="F875" s="4">
        <f>IF($C875="","",_xlfn.XLOOKUP($C875,Order!$C:$C,Order!$F:$F,"",0,1))</f>
        <v>6000</v>
      </c>
      <c r="G875" s="4" t="str">
        <f>IF($C875="","",_xlfn.XLOOKUP($C875,Order!$C:$C,Order!$G:$G,"",0,1))</f>
        <v>6063T5</v>
      </c>
      <c r="H875" s="4">
        <f>IF($C875="","",_xlfn.XLOOKUP($C875,Order!$C:$C,Order!$H:$H,"",0,1))</f>
        <v>0.65200000000000002</v>
      </c>
      <c r="I875" s="36">
        <f>IF($C875="","",_xlfn.XLOOKUP($C875,Order!$C:$C,Order!$K:$K,"",0,1))</f>
        <v>0</v>
      </c>
      <c r="J875" s="4" t="str">
        <f>IF(C875="","",Order!$K$16)</f>
        <v>WHITE POWDER COAT (PE/BA)</v>
      </c>
      <c r="K875" s="36">
        <f>IF($C875="","",_xlfn.XLOOKUP($C875,Order!$C:$C,Order!$P:$P,"",0,1))</f>
        <v>0</v>
      </c>
      <c r="L875" s="4">
        <f t="shared" si="13"/>
        <v>0</v>
      </c>
    </row>
    <row r="876" spans="2:12" ht="23.25" hidden="1" customHeight="1" x14ac:dyDescent="0.25">
      <c r="B876" s="4">
        <v>871</v>
      </c>
      <c r="C876" s="36" t="str">
        <f>IF(Order!$C$197="","",Order!$C$197)</f>
        <v>TGR3X1.1/2 (Rectangular tube 3"x1.1 /2" with 1.98 mm tickness c/reforço)</v>
      </c>
      <c r="D876" s="36" t="str">
        <f>IF($C876="","",_xlfn.XLOOKUP($C876,Order!$C:$C,Order!$D:$D,"",0,1))</f>
        <v>TGR3X1.1-2</v>
      </c>
      <c r="E876" s="4" t="e" vm="381">
        <f>IF($C876="","",_xlfn.XLOOKUP($C876,Order!$C:$C,Order!$E:$E,"",0,1))</f>
        <v>#VALUE!</v>
      </c>
      <c r="F876" s="4">
        <f>IF($C876="","",_xlfn.XLOOKUP($C876,Order!$C:$C,Order!$F:$F,"",0,1))</f>
        <v>6000</v>
      </c>
      <c r="G876" s="4" t="str">
        <f>IF($C876="","",_xlfn.XLOOKUP($C876,Order!$C:$C,Order!$G:$G,"",0,1))</f>
        <v>6063T5</v>
      </c>
      <c r="H876" s="4">
        <f>IF($C876="","",_xlfn.XLOOKUP($C876,Order!$C:$C,Order!$H:$H,"",0,1))</f>
        <v>0.94799999999999995</v>
      </c>
      <c r="I876" s="36">
        <f>IF($C876="","",_xlfn.XLOOKUP($C876,Order!$C:$C,Order!$K:$K,"",0,1))</f>
        <v>0</v>
      </c>
      <c r="J876" s="4" t="str">
        <f>IF(C876="","",Order!$K$16)</f>
        <v>WHITE POWDER COAT (PE/BA)</v>
      </c>
      <c r="K876" s="36">
        <f>IF($C876="","",_xlfn.XLOOKUP($C876,Order!$C:$C,Order!$P:$P,"",0,1))</f>
        <v>0</v>
      </c>
      <c r="L876" s="4">
        <f t="shared" si="13"/>
        <v>0</v>
      </c>
    </row>
    <row r="877" spans="2:12" ht="23.25" hidden="1" customHeight="1" x14ac:dyDescent="0.25">
      <c r="B877" s="4">
        <v>872</v>
      </c>
      <c r="C877" s="36" t="str">
        <f>IF(Order!$C$198="","",Order!$C$198)</f>
        <v>TGR4X2 (Rectangular Tube 4" X 2" with 1.50 mm tickness c/reforço)</v>
      </c>
      <c r="D877" s="36" t="str">
        <f>IF($C877="","",_xlfn.XLOOKUP($C877,Order!$C:$C,Order!$D:$D,"",0,1))</f>
        <v>TGR4X2</v>
      </c>
      <c r="E877" s="4" t="e" vm="382">
        <f>IF($C877="","",_xlfn.XLOOKUP($C877,Order!$C:$C,Order!$E:$E,"",0,1))</f>
        <v>#VALUE!</v>
      </c>
      <c r="F877" s="4">
        <f>IF($C877="","",_xlfn.XLOOKUP($C877,Order!$C:$C,Order!$F:$F,"",0,1))</f>
        <v>6000</v>
      </c>
      <c r="G877" s="4" t="str">
        <f>IF($C877="","",_xlfn.XLOOKUP($C877,Order!$C:$C,Order!$G:$G,"",0,1))</f>
        <v>6063T5</v>
      </c>
      <c r="H877" s="4">
        <f>IF($C877="","",_xlfn.XLOOKUP($C877,Order!$C:$C,Order!$H:$H,"",0,1))</f>
        <v>1.268</v>
      </c>
      <c r="I877" s="36">
        <f>IF($C877="","",_xlfn.XLOOKUP($C877,Order!$C:$C,Order!$K:$K,"",0,1))</f>
        <v>0</v>
      </c>
      <c r="J877" s="4" t="str">
        <f>IF(C877="","",Order!$K$16)</f>
        <v>WHITE POWDER COAT (PE/BA)</v>
      </c>
      <c r="K877" s="36">
        <f>IF($C877="","",_xlfn.XLOOKUP($C877,Order!$C:$C,Order!$P:$P,"",0,1))</f>
        <v>0</v>
      </c>
      <c r="L877" s="4">
        <f t="shared" si="13"/>
        <v>0</v>
      </c>
    </row>
    <row r="878" spans="2:12" ht="23.25" hidden="1" customHeight="1" x14ac:dyDescent="0.25">
      <c r="B878" s="4">
        <v>873</v>
      </c>
      <c r="C878" s="36" t="str">
        <f>IF(Order!$C$199="","",Order!$C$199)</f>
        <v>MT 0045 (Retangular Tube 3x1.1/2 com raia)</v>
      </c>
      <c r="D878" s="36" t="str">
        <f>IF($C878="","",_xlfn.XLOOKUP($C878,Order!$C:$C,Order!$D:$D,"",0,1))</f>
        <v>MT0045</v>
      </c>
      <c r="E878" s="4" t="e" vm="383">
        <f>IF($C878="","",_xlfn.XLOOKUP($C878,Order!$C:$C,Order!$E:$E,"",0,1))</f>
        <v>#VALUE!</v>
      </c>
      <c r="F878" s="4">
        <f>IF($C878="","",_xlfn.XLOOKUP($C878,Order!$C:$C,Order!$F:$F,"",0,1))</f>
        <v>6000</v>
      </c>
      <c r="G878" s="4" t="str">
        <f>IF($C878="","",_xlfn.XLOOKUP($C878,Order!$C:$C,Order!$G:$G,"",0,1))</f>
        <v>6063T5</v>
      </c>
      <c r="H878" s="4">
        <f>IF($C878="","",_xlfn.XLOOKUP($C878,Order!$C:$C,Order!$H:$H,"",0,1))</f>
        <v>0.66400000000000003</v>
      </c>
      <c r="I878" s="36">
        <f>IF($C878="","",_xlfn.XLOOKUP($C878,Order!$C:$C,Order!$K:$K,"",0,1))</f>
        <v>0</v>
      </c>
      <c r="J878" s="4" t="str">
        <f>IF(C878="","",Order!$K$16)</f>
        <v>WHITE POWDER COAT (PE/BA)</v>
      </c>
      <c r="K878" s="36">
        <f>IF($C878="","",_xlfn.XLOOKUP($C878,Order!$C:$C,Order!$P:$P,"",0,1))</f>
        <v>0</v>
      </c>
      <c r="L878" s="4">
        <f t="shared" si="13"/>
        <v>0</v>
      </c>
    </row>
    <row r="879" spans="2:12" ht="23.25" hidden="1" customHeight="1" x14ac:dyDescent="0.25">
      <c r="B879" s="4">
        <v>874</v>
      </c>
      <c r="C879" s="36" t="str">
        <f>IF(Order!$C$200="","",Order!$C$200)</f>
        <v>MT0008</v>
      </c>
      <c r="D879" s="36" t="str">
        <f>IF($C879="","",_xlfn.XLOOKUP($C879,Order!$C:$C,Order!$D:$D,"",0,1))</f>
        <v>MT0008</v>
      </c>
      <c r="E879" s="4" t="e" vm="384">
        <f>IF($C879="","",_xlfn.XLOOKUP($C879,Order!$C:$C,Order!$E:$E,"",0,1))</f>
        <v>#VALUE!</v>
      </c>
      <c r="F879" s="4">
        <f>IF($C879="","",_xlfn.XLOOKUP($C879,Order!$C:$C,Order!$F:$F,"",0,1))</f>
        <v>6000</v>
      </c>
      <c r="G879" s="4" t="str">
        <f>IF($C879="","",_xlfn.XLOOKUP($C879,Order!$C:$C,Order!$G:$G,"",0,1))</f>
        <v>6063T5</v>
      </c>
      <c r="H879" s="4">
        <f>IF($C879="","",_xlfn.XLOOKUP($C879,Order!$C:$C,Order!$H:$H,"",0,1))</f>
        <v>0.44400000000000001</v>
      </c>
      <c r="I879" s="36">
        <f>IF($C879="","",_xlfn.XLOOKUP($C879,Order!$C:$C,Order!$K:$K,"",0,1))</f>
        <v>0</v>
      </c>
      <c r="J879" s="4" t="str">
        <f>IF(C879="","",Order!$K$16)</f>
        <v>WHITE POWDER COAT (PE/BA)</v>
      </c>
      <c r="K879" s="36">
        <f>IF($C879="","",_xlfn.XLOOKUP($C879,Order!$C:$C,Order!$P:$P,"",0,1))</f>
        <v>0</v>
      </c>
      <c r="L879" s="4">
        <f t="shared" si="13"/>
        <v>0</v>
      </c>
    </row>
    <row r="880" spans="2:12" ht="23.25" hidden="1" customHeight="1" x14ac:dyDescent="0.25">
      <c r="B880" s="4">
        <v>875</v>
      </c>
      <c r="C880" s="36" t="str">
        <f>IF(Order!$C$201="","",Order!$C$201)</f>
        <v>MT0010</v>
      </c>
      <c r="D880" s="36" t="str">
        <f>IF($C880="","",_xlfn.XLOOKUP($C880,Order!$C:$C,Order!$D:$D,"",0,1))</f>
        <v>MT0010</v>
      </c>
      <c r="E880" s="4" t="e" vm="385">
        <f>IF($C880="","",_xlfn.XLOOKUP($C880,Order!$C:$C,Order!$E:$E,"",0,1))</f>
        <v>#VALUE!</v>
      </c>
      <c r="F880" s="4">
        <f>IF($C880="","",_xlfn.XLOOKUP($C880,Order!$C:$C,Order!$F:$F,"",0,1))</f>
        <v>6000</v>
      </c>
      <c r="G880" s="4" t="str">
        <f>IF($C880="","",_xlfn.XLOOKUP($C880,Order!$C:$C,Order!$G:$G,"",0,1))</f>
        <v>6063T5</v>
      </c>
      <c r="H880" s="4">
        <f>IF($C880="","",_xlfn.XLOOKUP($C880,Order!$C:$C,Order!$H:$H,"",0,1))</f>
        <v>0.49299999999999999</v>
      </c>
      <c r="I880" s="36">
        <f>IF($C880="","",_xlfn.XLOOKUP($C880,Order!$C:$C,Order!$K:$K,"",0,1))</f>
        <v>0</v>
      </c>
      <c r="J880" s="4" t="str">
        <f>IF(C880="","",Order!$K$16)</f>
        <v>WHITE POWDER COAT (PE/BA)</v>
      </c>
      <c r="K880" s="36">
        <f>IF($C880="","",_xlfn.XLOOKUP($C880,Order!$C:$C,Order!$P:$P,"",0,1))</f>
        <v>0</v>
      </c>
      <c r="L880" s="4">
        <f t="shared" si="13"/>
        <v>0</v>
      </c>
    </row>
    <row r="881" spans="2:12" ht="23.25" customHeight="1" x14ac:dyDescent="0.25">
      <c r="B881" s="4">
        <v>876</v>
      </c>
      <c r="C881" s="36" t="str">
        <f>IF(Order!$C$202="","",Order!$C$202)</f>
        <v>CG072</v>
      </c>
      <c r="D881" s="36" t="str">
        <f>IF($C881="","",_xlfn.XLOOKUP($C881,Order!$C:$C,Order!$D:$D,"",0,1))</f>
        <v>CG072</v>
      </c>
      <c r="E881" s="4" t="e" vm="386">
        <f>IF($C881="","",_xlfn.XLOOKUP($C881,Order!$C:$C,Order!$E:$E,"",0,1))</f>
        <v>#VALUE!</v>
      </c>
      <c r="F881" s="4">
        <f>IF($C881="","",_xlfn.XLOOKUP($C881,Order!$C:$C,Order!$F:$F,"",0,1))</f>
        <v>6000</v>
      </c>
      <c r="G881" s="4" t="str">
        <f>IF($C881="","",_xlfn.XLOOKUP($C881,Order!$C:$C,Order!$G:$G,"",0,1))</f>
        <v>6063T5</v>
      </c>
      <c r="H881" s="4">
        <f>IF($C881="","",_xlfn.XLOOKUP($C881,Order!$C:$C,Order!$H:$H,"",0,1))</f>
        <v>0.96299999999999997</v>
      </c>
      <c r="I881" s="36">
        <f>IF($C881="","",_xlfn.XLOOKUP($C881,Order!$C:$C,Order!$K:$K,"",0,1))</f>
        <v>100</v>
      </c>
      <c r="J881" s="4" t="str">
        <f>IF(C881="","",Order!$K$16)</f>
        <v>WHITE POWDER COAT (PE/BA)</v>
      </c>
      <c r="K881" s="36">
        <f>IF($C881="","",_xlfn.XLOOKUP($C881,Order!$C:$C,Order!$P:$P,"",0,1))</f>
        <v>0</v>
      </c>
      <c r="L881" s="4">
        <f t="shared" si="13"/>
        <v>577.79999999999995</v>
      </c>
    </row>
    <row r="882" spans="2:12" ht="23.25" hidden="1" customHeight="1" x14ac:dyDescent="0.25">
      <c r="B882" s="4">
        <v>877</v>
      </c>
      <c r="C882" s="36" t="str">
        <f>IF(Order!$C$203="","",Order!$C$203)</f>
        <v>MT0046</v>
      </c>
      <c r="D882" s="36" t="str">
        <f>IF($C882="","",_xlfn.XLOOKUP($C882,Order!$C:$C,Order!$D:$D,"",0,1))</f>
        <v>MT0046</v>
      </c>
      <c r="E882" s="4" t="e" vm="387">
        <f>IF($C882="","",_xlfn.XLOOKUP($C882,Order!$C:$C,Order!$E:$E,"",0,1))</f>
        <v>#VALUE!</v>
      </c>
      <c r="F882" s="4">
        <f>IF($C882="","",_xlfn.XLOOKUP($C882,Order!$C:$C,Order!$F:$F,"",0,1))</f>
        <v>6000</v>
      </c>
      <c r="G882" s="4" t="str">
        <f>IF($C882="","",_xlfn.XLOOKUP($C882,Order!$C:$C,Order!$G:$G,"",0,1))</f>
        <v>6063T5</v>
      </c>
      <c r="H882" s="4">
        <f>IF($C882="","",_xlfn.XLOOKUP($C882,Order!$C:$C,Order!$H:$H,"",0,1))</f>
        <v>1.2410000000000001</v>
      </c>
      <c r="I882" s="36">
        <f>IF($C882="","",_xlfn.XLOOKUP($C882,Order!$C:$C,Order!$K:$K,"",0,1))</f>
        <v>0</v>
      </c>
      <c r="J882" s="4" t="str">
        <f>IF(C882="","",Order!$K$16)</f>
        <v>WHITE POWDER COAT (PE/BA)</v>
      </c>
      <c r="K882" s="36">
        <f>IF($C882="","",_xlfn.XLOOKUP($C882,Order!$C:$C,Order!$P:$P,"",0,1))</f>
        <v>0</v>
      </c>
      <c r="L882" s="4">
        <f t="shared" si="13"/>
        <v>0</v>
      </c>
    </row>
    <row r="883" spans="2:12" ht="23.25" hidden="1" customHeight="1" x14ac:dyDescent="0.25">
      <c r="B883" s="4">
        <v>878</v>
      </c>
      <c r="C883" s="36" t="str">
        <f>IF(Order!$C$204="","",Order!$C$204)</f>
        <v>MT0047</v>
      </c>
      <c r="D883" s="36" t="str">
        <f>IF($C883="","",_xlfn.XLOOKUP($C883,Order!$C:$C,Order!$D:$D,"",0,1))</f>
        <v>MT0047</v>
      </c>
      <c r="E883" s="4" t="e" vm="388">
        <f>IF($C883="","",_xlfn.XLOOKUP($C883,Order!$C:$C,Order!$E:$E,"",0,1))</f>
        <v>#VALUE!</v>
      </c>
      <c r="F883" s="4">
        <f>IF($C883="","",_xlfn.XLOOKUP($C883,Order!$C:$C,Order!$F:$F,"",0,1))</f>
        <v>6000</v>
      </c>
      <c r="G883" s="4" t="str">
        <f>IF($C883="","",_xlfn.XLOOKUP($C883,Order!$C:$C,Order!$G:$G,"",0,1))</f>
        <v>6063T5</v>
      </c>
      <c r="H883" s="4">
        <f>IF($C883="","",_xlfn.XLOOKUP($C883,Order!$C:$C,Order!$H:$H,"",0,1))</f>
        <v>0.23599999999999999</v>
      </c>
      <c r="I883" s="36">
        <f>IF($C883="","",_xlfn.XLOOKUP($C883,Order!$C:$C,Order!$K:$K,"",0,1))</f>
        <v>0</v>
      </c>
      <c r="J883" s="4" t="str">
        <f>IF(C883="","",Order!$K$16)</f>
        <v>WHITE POWDER COAT (PE/BA)</v>
      </c>
      <c r="K883" s="36">
        <f>IF($C883="","",_xlfn.XLOOKUP($C883,Order!$C:$C,Order!$P:$P,"",0,1))</f>
        <v>0</v>
      </c>
      <c r="L883" s="4">
        <f t="shared" si="13"/>
        <v>0</v>
      </c>
    </row>
    <row r="884" spans="2:12" ht="23.25" hidden="1" customHeight="1" x14ac:dyDescent="0.25">
      <c r="B884" s="4">
        <v>879</v>
      </c>
      <c r="C884" s="36" t="str">
        <f>IF(Order!$C$205="","",Order!$C$205)</f>
        <v>MT0048</v>
      </c>
      <c r="D884" s="36" t="str">
        <f>IF($C884="","",_xlfn.XLOOKUP($C884,Order!$C:$C,Order!$D:$D,"",0,1))</f>
        <v>MT0048</v>
      </c>
      <c r="E884" s="4" t="e" vm="389">
        <f>IF($C884="","",_xlfn.XLOOKUP($C884,Order!$C:$C,Order!$E:$E,"",0,1))</f>
        <v>#VALUE!</v>
      </c>
      <c r="F884" s="4">
        <f>IF($C884="","",_xlfn.XLOOKUP($C884,Order!$C:$C,Order!$F:$F,"",0,1))</f>
        <v>6000</v>
      </c>
      <c r="G884" s="4" t="str">
        <f>IF($C884="","",_xlfn.XLOOKUP($C884,Order!$C:$C,Order!$G:$G,"",0,1))</f>
        <v>6063T5</v>
      </c>
      <c r="H884" s="4">
        <f>IF($C884="","",_xlfn.XLOOKUP($C884,Order!$C:$C,Order!$H:$H,"",0,1))</f>
        <v>0.79300000000000004</v>
      </c>
      <c r="I884" s="36">
        <f>IF($C884="","",_xlfn.XLOOKUP($C884,Order!$C:$C,Order!$K:$K,"",0,1))</f>
        <v>0</v>
      </c>
      <c r="J884" s="4" t="str">
        <f>IF(C884="","",Order!$K$16)</f>
        <v>WHITE POWDER COAT (PE/BA)</v>
      </c>
      <c r="K884" s="36">
        <f>IF($C884="","",_xlfn.XLOOKUP($C884,Order!$C:$C,Order!$P:$P,"",0,1))</f>
        <v>0</v>
      </c>
      <c r="L884" s="4">
        <f t="shared" si="13"/>
        <v>0</v>
      </c>
    </row>
    <row r="885" spans="2:12" ht="23.25" customHeight="1" x14ac:dyDescent="0.25">
      <c r="B885" s="4">
        <v>880</v>
      </c>
      <c r="C885" s="36" t="str">
        <f>IF(Order!$C$206="","",Order!$C$206)</f>
        <v>CG075 (MT0049)</v>
      </c>
      <c r="D885" s="36" t="str">
        <f>IF($C885="","",_xlfn.XLOOKUP($C885,Order!$C:$C,Order!$D:$D,"",0,1))</f>
        <v>MT0049</v>
      </c>
      <c r="E885" s="4" t="e" vm="390">
        <f>IF($C885="","",_xlfn.XLOOKUP($C885,Order!$C:$C,Order!$E:$E,"",0,1))</f>
        <v>#VALUE!</v>
      </c>
      <c r="F885" s="4">
        <f>IF($C885="","",_xlfn.XLOOKUP($C885,Order!$C:$C,Order!$F:$F,"",0,1))</f>
        <v>6000</v>
      </c>
      <c r="G885" s="4" t="str">
        <f>IF($C885="","",_xlfn.XLOOKUP($C885,Order!$C:$C,Order!$G:$G,"",0,1))</f>
        <v>6063T5</v>
      </c>
      <c r="H885" s="4">
        <f>IF($C885="","",_xlfn.XLOOKUP($C885,Order!$C:$C,Order!$H:$H,"",0,1))</f>
        <v>0.46300000000000002</v>
      </c>
      <c r="I885" s="36">
        <f>IF($C885="","",_xlfn.XLOOKUP($C885,Order!$C:$C,Order!$K:$K,"",0,1))</f>
        <v>100</v>
      </c>
      <c r="J885" s="4" t="str">
        <f>IF(C885="","",Order!$K$16)</f>
        <v>WHITE POWDER COAT (PE/BA)</v>
      </c>
      <c r="K885" s="36">
        <f>IF($C885="","",_xlfn.XLOOKUP($C885,Order!$C:$C,Order!$P:$P,"",0,1))</f>
        <v>0</v>
      </c>
      <c r="L885" s="4">
        <f t="shared" si="13"/>
        <v>277.8</v>
      </c>
    </row>
    <row r="886" spans="2:12" ht="23.25" customHeight="1" x14ac:dyDescent="0.25">
      <c r="B886" s="4">
        <v>881</v>
      </c>
      <c r="C886" s="36" t="str">
        <f>IF(Order!$C$207="","",Order!$C$207)</f>
        <v>CG2535</v>
      </c>
      <c r="D886" s="36" t="str">
        <f>IF($C886="","",_xlfn.XLOOKUP($C886,Order!$C:$C,Order!$D:$D,"",0,1))</f>
        <v>CG2535</v>
      </c>
      <c r="E886" s="4" t="e" vm="391">
        <f>IF($C886="","",_xlfn.XLOOKUP($C886,Order!$C:$C,Order!$E:$E,"",0,1))</f>
        <v>#VALUE!</v>
      </c>
      <c r="F886" s="4">
        <f>IF($C886="","",_xlfn.XLOOKUP($C886,Order!$C:$C,Order!$F:$F,"",0,1))</f>
        <v>6000</v>
      </c>
      <c r="G886" s="4" t="str">
        <f>IF($C886="","",_xlfn.XLOOKUP($C886,Order!$C:$C,Order!$G:$G,"",0,1))</f>
        <v>6063T5</v>
      </c>
      <c r="H886" s="4">
        <f>IF($C886="","",_xlfn.XLOOKUP($C886,Order!$C:$C,Order!$H:$H,"",0,1))</f>
        <v>0.39400000000000002</v>
      </c>
      <c r="I886" s="36">
        <f>IF($C886="","",_xlfn.XLOOKUP($C886,Order!$C:$C,Order!$K:$K,"",0,1))</f>
        <v>80</v>
      </c>
      <c r="J886" s="4" t="str">
        <f>IF(C886="","",Order!$K$16)</f>
        <v>WHITE POWDER COAT (PE/BA)</v>
      </c>
      <c r="K886" s="36">
        <f>IF($C886="","",_xlfn.XLOOKUP($C886,Order!$C:$C,Order!$P:$P,"",0,1))</f>
        <v>0</v>
      </c>
      <c r="L886" s="4">
        <f t="shared" si="13"/>
        <v>189.12</v>
      </c>
    </row>
    <row r="887" spans="2:12" ht="23.25" hidden="1" customHeight="1" x14ac:dyDescent="0.25">
      <c r="B887" s="4">
        <v>882</v>
      </c>
      <c r="C887" s="36" t="str">
        <f>IF(Order!$C$208="","",Order!$C$208)</f>
        <v>BX706</v>
      </c>
      <c r="D887" s="36" t="str">
        <f>IF($C887="","",_xlfn.XLOOKUP($C887,Order!$C:$C,Order!$D:$D,"",0,1))</f>
        <v>BX706</v>
      </c>
      <c r="E887" s="4" t="e" vm="392">
        <f>IF($C887="","",_xlfn.XLOOKUP($C887,Order!$C:$C,Order!$E:$E,"",0,1))</f>
        <v>#VALUE!</v>
      </c>
      <c r="F887" s="4">
        <f>IF($C887="","",_xlfn.XLOOKUP($C887,Order!$C:$C,Order!$F:$F,"",0,1))</f>
        <v>6000</v>
      </c>
      <c r="G887" s="4" t="str">
        <f>IF($C887="","",_xlfn.XLOOKUP($C887,Order!$C:$C,Order!$G:$G,"",0,1))</f>
        <v>6063T5</v>
      </c>
      <c r="H887" s="4">
        <f>IF($C887="","",_xlfn.XLOOKUP($C887,Order!$C:$C,Order!$H:$H,"",0,1))</f>
        <v>0.84799999999999998</v>
      </c>
      <c r="I887" s="36">
        <f>IF($C887="","",_xlfn.XLOOKUP($C887,Order!$C:$C,Order!$K:$K,"",0,1))</f>
        <v>0</v>
      </c>
      <c r="J887" s="4" t="str">
        <f>IF(C887="","",Order!$K$16)</f>
        <v>WHITE POWDER COAT (PE/BA)</v>
      </c>
      <c r="K887" s="36">
        <f>IF($C887="","",_xlfn.XLOOKUP($C887,Order!$C:$C,Order!$P:$P,"",0,1))</f>
        <v>0</v>
      </c>
      <c r="L887" s="4">
        <f t="shared" si="13"/>
        <v>0</v>
      </c>
    </row>
    <row r="888" spans="2:12" ht="23.25" hidden="1" customHeight="1" x14ac:dyDescent="0.25">
      <c r="B888" s="4">
        <v>883</v>
      </c>
      <c r="C888" s="36" t="str">
        <f>IF(Order!$C$209="","",Order!$C$209)</f>
        <v>GR001</v>
      </c>
      <c r="D888" s="36" t="str">
        <f>IF($C888="","",_xlfn.XLOOKUP($C888,Order!$C:$C,Order!$D:$D,"",0,1))</f>
        <v>GR001</v>
      </c>
      <c r="E888" s="4" t="e" vm="393">
        <f>IF($C888="","",_xlfn.XLOOKUP($C888,Order!$C:$C,Order!$E:$E,"",0,1))</f>
        <v>#VALUE!</v>
      </c>
      <c r="F888" s="4">
        <f>IF($C888="","",_xlfn.XLOOKUP($C888,Order!$C:$C,Order!$F:$F,"",0,1))</f>
        <v>6000</v>
      </c>
      <c r="G888" s="4" t="str">
        <f>IF($C888="","",_xlfn.XLOOKUP($C888,Order!$C:$C,Order!$G:$G,"",0,1))</f>
        <v>6063T5</v>
      </c>
      <c r="H888" s="4">
        <f>IF($C888="","",_xlfn.XLOOKUP($C888,Order!$C:$C,Order!$H:$H,"",0,1))</f>
        <v>1.0089999999999999</v>
      </c>
      <c r="I888" s="36">
        <f>IF($C888="","",_xlfn.XLOOKUP($C888,Order!$C:$C,Order!$K:$K,"",0,1))</f>
        <v>0</v>
      </c>
      <c r="J888" s="4" t="str">
        <f>IF(C888="","",Order!$K$16)</f>
        <v>WHITE POWDER COAT (PE/BA)</v>
      </c>
      <c r="K888" s="36">
        <f>IF($C888="","",_xlfn.XLOOKUP($C888,Order!$C:$C,Order!$P:$P,"",0,1))</f>
        <v>0</v>
      </c>
      <c r="L888" s="4">
        <f t="shared" si="13"/>
        <v>0</v>
      </c>
    </row>
    <row r="889" spans="2:12" ht="23.25" hidden="1" customHeight="1" x14ac:dyDescent="0.25">
      <c r="B889" s="4">
        <v>884</v>
      </c>
      <c r="C889" s="36" t="str">
        <f>IF(Order!$C$210="","",Order!$C$210)</f>
        <v>GR002</v>
      </c>
      <c r="D889" s="36" t="str">
        <f>IF($C889="","",_xlfn.XLOOKUP($C889,Order!$C:$C,Order!$D:$D,"",0,1))</f>
        <v>GR002</v>
      </c>
      <c r="E889" s="4" t="e" vm="394">
        <f>IF($C889="","",_xlfn.XLOOKUP($C889,Order!$C:$C,Order!$E:$E,"",0,1))</f>
        <v>#VALUE!</v>
      </c>
      <c r="F889" s="4">
        <f>IF($C889="","",_xlfn.XLOOKUP($C889,Order!$C:$C,Order!$F:$F,"",0,1))</f>
        <v>6000</v>
      </c>
      <c r="G889" s="4" t="str">
        <f>IF($C889="","",_xlfn.XLOOKUP($C889,Order!$C:$C,Order!$G:$G,"",0,1))</f>
        <v>6063T5</v>
      </c>
      <c r="H889" s="4">
        <f>IF($C889="","",_xlfn.XLOOKUP($C889,Order!$C:$C,Order!$H:$H,"",0,1))</f>
        <v>0.95599999999999996</v>
      </c>
      <c r="I889" s="36">
        <f>IF($C889="","",_xlfn.XLOOKUP($C889,Order!$C:$C,Order!$K:$K,"",0,1))</f>
        <v>0</v>
      </c>
      <c r="J889" s="4" t="str">
        <f>IF(C889="","",Order!$K$16)</f>
        <v>WHITE POWDER COAT (PE/BA)</v>
      </c>
      <c r="K889" s="36">
        <f>IF($C889="","",_xlfn.XLOOKUP($C889,Order!$C:$C,Order!$P:$P,"",0,1))</f>
        <v>0</v>
      </c>
      <c r="L889" s="4">
        <f t="shared" si="13"/>
        <v>0</v>
      </c>
    </row>
    <row r="890" spans="2:12" ht="23.25" hidden="1" customHeight="1" x14ac:dyDescent="0.25">
      <c r="B890" s="4">
        <v>885</v>
      </c>
      <c r="C890" s="36" t="str">
        <f>IF(Order!$C$211="","",Order!$C$211)</f>
        <v>BX062</v>
      </c>
      <c r="D890" s="36" t="str">
        <f>IF($C890="","",_xlfn.XLOOKUP($C890,Order!$C:$C,Order!$D:$D,"",0,1))</f>
        <v>BX062</v>
      </c>
      <c r="E890" s="4" t="e" vm="395">
        <f>IF($C890="","",_xlfn.XLOOKUP($C890,Order!$C:$C,Order!$E:$E,"",0,1))</f>
        <v>#VALUE!</v>
      </c>
      <c r="F890" s="4">
        <f>IF($C890="","",_xlfn.XLOOKUP($C890,Order!$C:$C,Order!$F:$F,"",0,1))</f>
        <v>6000</v>
      </c>
      <c r="G890" s="4" t="str">
        <f>IF($C890="","",_xlfn.XLOOKUP($C890,Order!$C:$C,Order!$G:$G,"",0,1))</f>
        <v>6063T5</v>
      </c>
      <c r="H890" s="4">
        <f>IF($C890="","",_xlfn.XLOOKUP($C890,Order!$C:$C,Order!$H:$H,"",0,1))</f>
        <v>0.23599999999999999</v>
      </c>
      <c r="I890" s="36">
        <f>IF($C890="","",_xlfn.XLOOKUP($C890,Order!$C:$C,Order!$K:$K,"",0,1))</f>
        <v>0</v>
      </c>
      <c r="J890" s="4" t="str">
        <f>IF(C890="","",Order!$K$16)</f>
        <v>WHITE POWDER COAT (PE/BA)</v>
      </c>
      <c r="K890" s="36">
        <f>IF($C890="","",_xlfn.XLOOKUP($C890,Order!$C:$C,Order!$P:$P,"",0,1))</f>
        <v>0</v>
      </c>
      <c r="L890" s="4">
        <f t="shared" si="13"/>
        <v>0</v>
      </c>
    </row>
    <row r="891" spans="2:12" ht="23.25" hidden="1" customHeight="1" x14ac:dyDescent="0.25">
      <c r="B891" s="4">
        <v>886</v>
      </c>
      <c r="C891" s="36" t="str">
        <f>IF(Order!$C$212="","",Order!$C$212)</f>
        <v>BX101</v>
      </c>
      <c r="D891" s="36" t="str">
        <f>IF($C891="","",_xlfn.XLOOKUP($C891,Order!$C:$C,Order!$D:$D,"",0,1))</f>
        <v>BX101</v>
      </c>
      <c r="E891" s="4" t="e" vm="396">
        <f>IF($C891="","",_xlfn.XLOOKUP($C891,Order!$C:$C,Order!$E:$E,"",0,1))</f>
        <v>#VALUE!</v>
      </c>
      <c r="F891" s="4">
        <f>IF($C891="","",_xlfn.XLOOKUP($C891,Order!$C:$C,Order!$F:$F,"",0,1))</f>
        <v>6000</v>
      </c>
      <c r="G891" s="4" t="str">
        <f>IF($C891="","",_xlfn.XLOOKUP($C891,Order!$C:$C,Order!$G:$G,"",0,1))</f>
        <v>6063T5</v>
      </c>
      <c r="H891" s="4">
        <f>IF($C891="","",_xlfn.XLOOKUP($C891,Order!$C:$C,Order!$H:$H,"",0,1))</f>
        <v>0.42599999999999999</v>
      </c>
      <c r="I891" s="36">
        <f>IF($C891="","",_xlfn.XLOOKUP($C891,Order!$C:$C,Order!$K:$K,"",0,1))</f>
        <v>0</v>
      </c>
      <c r="J891" s="4" t="str">
        <f>IF(C891="","",Order!$K$16)</f>
        <v>WHITE POWDER COAT (PE/BA)</v>
      </c>
      <c r="K891" s="36">
        <f>IF($C891="","",_xlfn.XLOOKUP($C891,Order!$C:$C,Order!$P:$P,"",0,1))</f>
        <v>0</v>
      </c>
      <c r="L891" s="4">
        <f t="shared" si="13"/>
        <v>0</v>
      </c>
    </row>
    <row r="892" spans="2:12" ht="23.25" hidden="1" customHeight="1" x14ac:dyDescent="0.25">
      <c r="B892" s="4">
        <v>887</v>
      </c>
      <c r="C892" s="36" t="str">
        <f>IF(Order!$C$213="","",Order!$C$213)</f>
        <v>BX060</v>
      </c>
      <c r="D892" s="36" t="str">
        <f>IF($C892="","",_xlfn.XLOOKUP($C892,Order!$C:$C,Order!$D:$D,"",0,1))</f>
        <v>BX060</v>
      </c>
      <c r="E892" s="4" t="e" vm="397">
        <f>IF($C892="","",_xlfn.XLOOKUP($C892,Order!$C:$C,Order!$E:$E,"",0,1))</f>
        <v>#VALUE!</v>
      </c>
      <c r="F892" s="4">
        <f>IF($C892="","",_xlfn.XLOOKUP($C892,Order!$C:$C,Order!$F:$F,"",0,1))</f>
        <v>6000</v>
      </c>
      <c r="G892" s="4" t="str">
        <f>IF($C892="","",_xlfn.XLOOKUP($C892,Order!$C:$C,Order!$G:$G,"",0,1))</f>
        <v>6063T5</v>
      </c>
      <c r="H892" s="4">
        <f>IF($C892="","",_xlfn.XLOOKUP($C892,Order!$C:$C,Order!$H:$H,"",0,1))</f>
        <v>0.17499999999999999</v>
      </c>
      <c r="I892" s="36">
        <f>IF($C892="","",_xlfn.XLOOKUP($C892,Order!$C:$C,Order!$K:$K,"",0,1))</f>
        <v>0</v>
      </c>
      <c r="J892" s="4" t="str">
        <f>IF(C892="","",Order!$K$16)</f>
        <v>WHITE POWDER COAT (PE/BA)</v>
      </c>
      <c r="K892" s="36">
        <f>IF($C892="","",_xlfn.XLOOKUP($C892,Order!$C:$C,Order!$P:$P,"",0,1))</f>
        <v>0</v>
      </c>
      <c r="L892" s="4">
        <f t="shared" si="13"/>
        <v>0</v>
      </c>
    </row>
    <row r="893" spans="2:12" ht="23.25" hidden="1" customHeight="1" x14ac:dyDescent="0.25">
      <c r="B893" s="4">
        <v>888</v>
      </c>
      <c r="C893" s="36" t="str">
        <f>IF(Order!$C$214="","",Order!$C$214)</f>
        <v>BX061</v>
      </c>
      <c r="D893" s="36" t="str">
        <f>IF($C893="","",_xlfn.XLOOKUP($C893,Order!$C:$C,Order!$D:$D,"",0,1))</f>
        <v>BX061</v>
      </c>
      <c r="E893" s="4" t="e" vm="398">
        <f>IF($C893="","",_xlfn.XLOOKUP($C893,Order!$C:$C,Order!$E:$E,"",0,1))</f>
        <v>#VALUE!</v>
      </c>
      <c r="F893" s="4">
        <f>IF($C893="","",_xlfn.XLOOKUP($C893,Order!$C:$C,Order!$F:$F,"",0,1))</f>
        <v>6000</v>
      </c>
      <c r="G893" s="4" t="str">
        <f>IF($C893="","",_xlfn.XLOOKUP($C893,Order!$C:$C,Order!$G:$G,"",0,1))</f>
        <v>6063T5</v>
      </c>
      <c r="H893" s="4">
        <f>IF($C893="","",_xlfn.XLOOKUP($C893,Order!$C:$C,Order!$H:$H,"",0,1))</f>
        <v>0.161</v>
      </c>
      <c r="I893" s="36">
        <f>IF($C893="","",_xlfn.XLOOKUP($C893,Order!$C:$C,Order!$K:$K,"",0,1))</f>
        <v>0</v>
      </c>
      <c r="J893" s="4" t="str">
        <f>IF(C893="","",Order!$K$16)</f>
        <v>WHITE POWDER COAT (PE/BA)</v>
      </c>
      <c r="K893" s="36">
        <f>IF($C893="","",_xlfn.XLOOKUP($C893,Order!$C:$C,Order!$P:$P,"",0,1))</f>
        <v>0</v>
      </c>
      <c r="L893" s="4">
        <f t="shared" si="13"/>
        <v>0</v>
      </c>
    </row>
    <row r="894" spans="2:12" ht="23.25" hidden="1" customHeight="1" x14ac:dyDescent="0.25">
      <c r="B894" s="4">
        <v>889</v>
      </c>
      <c r="C894" s="36" t="str">
        <f>IF(Order!$C$215="","",Order!$C$215)</f>
        <v>BX063</v>
      </c>
      <c r="D894" s="36" t="str">
        <f>IF($C894="","",_xlfn.XLOOKUP($C894,Order!$C:$C,Order!$D:$D,"",0,1))</f>
        <v>BX063</v>
      </c>
      <c r="E894" s="4" t="e" vm="399">
        <f>IF($C894="","",_xlfn.XLOOKUP($C894,Order!$C:$C,Order!$E:$E,"",0,1))</f>
        <v>#VALUE!</v>
      </c>
      <c r="F894" s="4">
        <f>IF($C894="","",_xlfn.XLOOKUP($C894,Order!$C:$C,Order!$F:$F,"",0,1))</f>
        <v>6000</v>
      </c>
      <c r="G894" s="4" t="str">
        <f>IF($C894="","",_xlfn.XLOOKUP($C894,Order!$C:$C,Order!$G:$G,"",0,1))</f>
        <v>6063T5</v>
      </c>
      <c r="H894" s="4">
        <f>IF($C894="","",_xlfn.XLOOKUP($C894,Order!$C:$C,Order!$H:$H,"",0,1))</f>
        <v>0.20699999999999999</v>
      </c>
      <c r="I894" s="36">
        <f>IF($C894="","",_xlfn.XLOOKUP($C894,Order!$C:$C,Order!$K:$K,"",0,1))</f>
        <v>0</v>
      </c>
      <c r="J894" s="4" t="str">
        <f>IF(C894="","",Order!$K$16)</f>
        <v>WHITE POWDER COAT (PE/BA)</v>
      </c>
      <c r="K894" s="36">
        <f>IF($C894="","",_xlfn.XLOOKUP($C894,Order!$C:$C,Order!$P:$P,"",0,1))</f>
        <v>0</v>
      </c>
      <c r="L894" s="4">
        <f t="shared" si="13"/>
        <v>0</v>
      </c>
    </row>
    <row r="895" spans="2:12" ht="23.25" hidden="1" customHeight="1" x14ac:dyDescent="0.25">
      <c r="B895" s="4">
        <v>890</v>
      </c>
      <c r="C895" s="36" t="str">
        <f>IF(Order!$C$216="","",Order!$C$216)</f>
        <v>BX116</v>
      </c>
      <c r="D895" s="36" t="str">
        <f>IF($C895="","",_xlfn.XLOOKUP($C895,Order!$C:$C,Order!$D:$D,"",0,1))</f>
        <v>BX116</v>
      </c>
      <c r="E895" s="4" t="e" vm="400">
        <f>IF($C895="","",_xlfn.XLOOKUP($C895,Order!$C:$C,Order!$E:$E,"",0,1))</f>
        <v>#VALUE!</v>
      </c>
      <c r="F895" s="4">
        <f>IF($C895="","",_xlfn.XLOOKUP($C895,Order!$C:$C,Order!$F:$F,"",0,1))</f>
        <v>6000</v>
      </c>
      <c r="G895" s="4" t="str">
        <f>IF($C895="","",_xlfn.XLOOKUP($C895,Order!$C:$C,Order!$G:$G,"",0,1))</f>
        <v>6063T5</v>
      </c>
      <c r="H895" s="4">
        <f>IF($C895="","",_xlfn.XLOOKUP($C895,Order!$C:$C,Order!$H:$H,"",0,1))</f>
        <v>0.26400000000000001</v>
      </c>
      <c r="I895" s="36">
        <f>IF($C895="","",_xlfn.XLOOKUP($C895,Order!$C:$C,Order!$K:$K,"",0,1))</f>
        <v>0</v>
      </c>
      <c r="J895" s="4" t="str">
        <f>IF(C895="","",Order!$K$16)</f>
        <v>WHITE POWDER COAT (PE/BA)</v>
      </c>
      <c r="K895" s="36">
        <f>IF($C895="","",_xlfn.XLOOKUP($C895,Order!$C:$C,Order!$P:$P,"",0,1))</f>
        <v>0</v>
      </c>
      <c r="L895" s="4">
        <f t="shared" si="13"/>
        <v>0</v>
      </c>
    </row>
    <row r="896" spans="2:12" ht="23.25" hidden="1" customHeight="1" x14ac:dyDescent="0.25">
      <c r="B896" s="4">
        <v>891</v>
      </c>
      <c r="C896" s="36" t="str">
        <f>IF(Order!$C$217="","",Order!$C$217)</f>
        <v>BX156</v>
      </c>
      <c r="D896" s="36" t="str">
        <f>IF($C896="","",_xlfn.XLOOKUP($C896,Order!$C:$C,Order!$D:$D,"",0,1))</f>
        <v>BX156</v>
      </c>
      <c r="E896" s="4" t="e" vm="401">
        <f>IF($C896="","",_xlfn.XLOOKUP($C896,Order!$C:$C,Order!$E:$E,"",0,1))</f>
        <v>#VALUE!</v>
      </c>
      <c r="F896" s="4">
        <f>IF($C896="","",_xlfn.XLOOKUP($C896,Order!$C:$C,Order!$F:$F,"",0,1))</f>
        <v>6000</v>
      </c>
      <c r="G896" s="4" t="str">
        <f>IF($C896="","",_xlfn.XLOOKUP($C896,Order!$C:$C,Order!$G:$G,"",0,1))</f>
        <v>6063T5</v>
      </c>
      <c r="H896" s="4">
        <f>IF($C896="","",_xlfn.XLOOKUP($C896,Order!$C:$C,Order!$H:$H,"",0,1))</f>
        <v>0.2</v>
      </c>
      <c r="I896" s="36">
        <f>IF($C896="","",_xlfn.XLOOKUP($C896,Order!$C:$C,Order!$K:$K,"",0,1))</f>
        <v>0</v>
      </c>
      <c r="J896" s="4" t="str">
        <f>IF(C896="","",Order!$K$16)</f>
        <v>WHITE POWDER COAT (PE/BA)</v>
      </c>
      <c r="K896" s="36">
        <f>IF($C896="","",_xlfn.XLOOKUP($C896,Order!$C:$C,Order!$P:$P,"",0,1))</f>
        <v>0</v>
      </c>
      <c r="L896" s="4">
        <f t="shared" si="13"/>
        <v>0</v>
      </c>
    </row>
    <row r="897" spans="2:12" ht="23.25" hidden="1" customHeight="1" x14ac:dyDescent="0.25">
      <c r="B897" s="4">
        <v>892</v>
      </c>
      <c r="C897" s="36" t="str">
        <f>IF(Order!$C$218="","",Order!$C$218)</f>
        <v>BX157</v>
      </c>
      <c r="D897" s="36" t="str">
        <f>IF($C897="","",_xlfn.XLOOKUP($C897,Order!$C:$C,Order!$D:$D,"",0,1))</f>
        <v>BX157</v>
      </c>
      <c r="E897" s="4" t="e" vm="402">
        <f>IF($C897="","",_xlfn.XLOOKUP($C897,Order!$C:$C,Order!$E:$E,"",0,1))</f>
        <v>#VALUE!</v>
      </c>
      <c r="F897" s="4">
        <f>IF($C897="","",_xlfn.XLOOKUP($C897,Order!$C:$C,Order!$F:$F,"",0,1))</f>
        <v>6000</v>
      </c>
      <c r="G897" s="4" t="str">
        <f>IF($C897="","",_xlfn.XLOOKUP($C897,Order!$C:$C,Order!$G:$G,"",0,1))</f>
        <v>6063T5</v>
      </c>
      <c r="H897" s="4">
        <f>IF($C897="","",_xlfn.XLOOKUP($C897,Order!$C:$C,Order!$H:$H,"",0,1))</f>
        <v>0.50800000000000001</v>
      </c>
      <c r="I897" s="36">
        <f>IF($C897="","",_xlfn.XLOOKUP($C897,Order!$C:$C,Order!$K:$K,"",0,1))</f>
        <v>0</v>
      </c>
      <c r="J897" s="4" t="str">
        <f>IF(C897="","",Order!$K$16)</f>
        <v>WHITE POWDER COAT (PE/BA)</v>
      </c>
      <c r="K897" s="36">
        <f>IF($C897="","",_xlfn.XLOOKUP($C897,Order!$C:$C,Order!$P:$P,"",0,1))</f>
        <v>0</v>
      </c>
      <c r="L897" s="4">
        <f t="shared" si="13"/>
        <v>0</v>
      </c>
    </row>
    <row r="898" spans="2:12" ht="23.25" hidden="1" customHeight="1" x14ac:dyDescent="0.25">
      <c r="B898" s="4">
        <v>893</v>
      </c>
      <c r="C898" s="36" t="str">
        <f>IF(Order!$C$219="","",Order!$C$219)</f>
        <v>BX158</v>
      </c>
      <c r="D898" s="36" t="str">
        <f>IF($C898="","",_xlfn.XLOOKUP($C898,Order!$C:$C,Order!$D:$D,"",0,1))</f>
        <v>BX158</v>
      </c>
      <c r="E898" s="4" t="e" vm="403">
        <f>IF($C898="","",_xlfn.XLOOKUP($C898,Order!$C:$C,Order!$E:$E,"",0,1))</f>
        <v>#VALUE!</v>
      </c>
      <c r="F898" s="4">
        <f>IF($C898="","",_xlfn.XLOOKUP($C898,Order!$C:$C,Order!$F:$F,"",0,1))</f>
        <v>6000</v>
      </c>
      <c r="G898" s="4" t="str">
        <f>IF($C898="","",_xlfn.XLOOKUP($C898,Order!$C:$C,Order!$G:$G,"",0,1))</f>
        <v>6063T5</v>
      </c>
      <c r="H898" s="4">
        <f>IF($C898="","",_xlfn.XLOOKUP($C898,Order!$C:$C,Order!$H:$H,"",0,1))</f>
        <v>0.188</v>
      </c>
      <c r="I898" s="36">
        <f>IF($C898="","",_xlfn.XLOOKUP($C898,Order!$C:$C,Order!$K:$K,"",0,1))</f>
        <v>0</v>
      </c>
      <c r="J898" s="4" t="str">
        <f>IF(C898="","",Order!$K$16)</f>
        <v>WHITE POWDER COAT (PE/BA)</v>
      </c>
      <c r="K898" s="36">
        <f>IF($C898="","",_xlfn.XLOOKUP($C898,Order!$C:$C,Order!$P:$P,"",0,1))</f>
        <v>0</v>
      </c>
      <c r="L898" s="4">
        <f t="shared" si="13"/>
        <v>0</v>
      </c>
    </row>
    <row r="899" spans="2:12" ht="23.25" hidden="1" customHeight="1" x14ac:dyDescent="0.25">
      <c r="B899" s="4">
        <v>894</v>
      </c>
      <c r="C899" s="36" t="str">
        <f>IF(Order!$C$220="","",Order!$C$220)</f>
        <v>BX159</v>
      </c>
      <c r="D899" s="36" t="str">
        <f>IF($C899="","",_xlfn.XLOOKUP($C899,Order!$C:$C,Order!$D:$D,"",0,1))</f>
        <v>BX159</v>
      </c>
      <c r="E899" s="4" t="e" vm="404">
        <f>IF($C899="","",_xlfn.XLOOKUP($C899,Order!$C:$C,Order!$E:$E,"",0,1))</f>
        <v>#VALUE!</v>
      </c>
      <c r="F899" s="4">
        <f>IF($C899="","",_xlfn.XLOOKUP($C899,Order!$C:$C,Order!$F:$F,"",0,1))</f>
        <v>6000</v>
      </c>
      <c r="G899" s="4" t="str">
        <f>IF($C899="","",_xlfn.XLOOKUP($C899,Order!$C:$C,Order!$G:$G,"",0,1))</f>
        <v>6063T5</v>
      </c>
      <c r="H899" s="4">
        <f>IF($C899="","",_xlfn.XLOOKUP($C899,Order!$C:$C,Order!$H:$H,"",0,1))</f>
        <v>0.19700000000000001</v>
      </c>
      <c r="I899" s="36">
        <f>IF($C899="","",_xlfn.XLOOKUP($C899,Order!$C:$C,Order!$K:$K,"",0,1))</f>
        <v>0</v>
      </c>
      <c r="J899" s="4" t="str">
        <f>IF(C899="","",Order!$K$16)</f>
        <v>WHITE POWDER COAT (PE/BA)</v>
      </c>
      <c r="K899" s="36">
        <f>IF($C899="","",_xlfn.XLOOKUP($C899,Order!$C:$C,Order!$P:$P,"",0,1))</f>
        <v>0</v>
      </c>
      <c r="L899" s="4">
        <f t="shared" si="13"/>
        <v>0</v>
      </c>
    </row>
    <row r="900" spans="2:12" ht="23.25" customHeight="1" x14ac:dyDescent="0.25">
      <c r="B900" s="4">
        <v>895</v>
      </c>
      <c r="C900" s="36" t="str">
        <f>IF(Order!$C$221="","",Order!$C$221)</f>
        <v>BX092</v>
      </c>
      <c r="D900" s="36" t="str">
        <f>IF($C900="","",_xlfn.XLOOKUP($C900,Order!$C:$C,Order!$D:$D,"",0,1))</f>
        <v>BX092</v>
      </c>
      <c r="E900" s="4" t="e" vm="405">
        <f>IF($C900="","",_xlfn.XLOOKUP($C900,Order!$C:$C,Order!$E:$E,"",0,1))</f>
        <v>#VALUE!</v>
      </c>
      <c r="F900" s="4">
        <f>IF($C900="","",_xlfn.XLOOKUP($C900,Order!$C:$C,Order!$F:$F,"",0,1))</f>
        <v>6000</v>
      </c>
      <c r="G900" s="4" t="str">
        <f>IF($C900="","",_xlfn.XLOOKUP($C900,Order!$C:$C,Order!$G:$G,"",0,1))</f>
        <v>6063T5</v>
      </c>
      <c r="H900" s="4">
        <f>IF($C900="","",_xlfn.XLOOKUP($C900,Order!$C:$C,Order!$H:$H,"",0,1))</f>
        <v>0.185</v>
      </c>
      <c r="I900" s="36">
        <f>IF($C900="","",_xlfn.XLOOKUP($C900,Order!$C:$C,Order!$K:$K,"",0,1))</f>
        <v>100</v>
      </c>
      <c r="J900" s="4" t="str">
        <f>IF(C900="","",Order!$K$16)</f>
        <v>WHITE POWDER COAT (PE/BA)</v>
      </c>
      <c r="K900" s="36">
        <f>IF($C900="","",_xlfn.XLOOKUP($C900,Order!$C:$C,Order!$P:$P,"",0,1))</f>
        <v>0</v>
      </c>
      <c r="L900" s="4">
        <f t="shared" si="13"/>
        <v>110.99999999999999</v>
      </c>
    </row>
    <row r="901" spans="2:12" ht="23.25" customHeight="1" x14ac:dyDescent="0.25">
      <c r="B901" s="4">
        <v>896</v>
      </c>
      <c r="C901" s="36" t="str">
        <f>IF(Order!$C$222="","",Order!$C$222)</f>
        <v>BX189A</v>
      </c>
      <c r="D901" s="36" t="str">
        <f>IF($C901="","",_xlfn.XLOOKUP($C901,Order!$C:$C,Order!$D:$D,"",0,1))</f>
        <v>BX189A</v>
      </c>
      <c r="E901" s="4" t="e" vm="406">
        <f>IF($C901="","",_xlfn.XLOOKUP($C901,Order!$C:$C,Order!$E:$E,"",0,1))</f>
        <v>#VALUE!</v>
      </c>
      <c r="F901" s="4">
        <f>IF($C901="","",_xlfn.XLOOKUP($C901,Order!$C:$C,Order!$F:$F,"",0,1))</f>
        <v>6000</v>
      </c>
      <c r="G901" s="4" t="str">
        <f>IF($C901="","",_xlfn.XLOOKUP($C901,Order!$C:$C,Order!$G:$G,"",0,1))</f>
        <v>6063T5</v>
      </c>
      <c r="H901" s="4">
        <f>IF($C901="","",_xlfn.XLOOKUP($C901,Order!$C:$C,Order!$H:$H,"",0,1))</f>
        <v>0.17299999999999999</v>
      </c>
      <c r="I901" s="36">
        <f>IF($C901="","",_xlfn.XLOOKUP($C901,Order!$C:$C,Order!$K:$K,"",0,1))</f>
        <v>50</v>
      </c>
      <c r="J901" s="4" t="str">
        <f>IF(C901="","",Order!$K$16)</f>
        <v>WHITE POWDER COAT (PE/BA)</v>
      </c>
      <c r="K901" s="36">
        <f>IF($C901="","",_xlfn.XLOOKUP($C901,Order!$C:$C,Order!$P:$P,"",0,1))</f>
        <v>0</v>
      </c>
      <c r="L901" s="4">
        <f t="shared" si="13"/>
        <v>51.899999999999991</v>
      </c>
    </row>
    <row r="902" spans="2:12" ht="23.25" customHeight="1" x14ac:dyDescent="0.25">
      <c r="B902" s="4">
        <v>897</v>
      </c>
      <c r="C902" s="36" t="str">
        <f>IF(Order!$C$223="","",Order!$C$223)</f>
        <v>BX201</v>
      </c>
      <c r="D902" s="36" t="str">
        <f>IF($C902="","",_xlfn.XLOOKUP($C902,Order!$C:$C,Order!$D:$D,"",0,1))</f>
        <v>BX201</v>
      </c>
      <c r="E902" s="4" t="e" vm="407">
        <f>IF($C902="","",_xlfn.XLOOKUP($C902,Order!$C:$C,Order!$E:$E,"",0,1))</f>
        <v>#VALUE!</v>
      </c>
      <c r="F902" s="4">
        <f>IF($C902="","",_xlfn.XLOOKUP($C902,Order!$C:$C,Order!$F:$F,"",0,1))</f>
        <v>6000</v>
      </c>
      <c r="G902" s="4" t="str">
        <f>IF($C902="","",_xlfn.XLOOKUP($C902,Order!$C:$C,Order!$G:$G,"",0,1))</f>
        <v>6063T5</v>
      </c>
      <c r="H902" s="4">
        <f>IF($C902="","",_xlfn.XLOOKUP($C902,Order!$C:$C,Order!$H:$H,"",0,1))</f>
        <v>0.47699999999999998</v>
      </c>
      <c r="I902" s="36">
        <f>IF($C902="","",_xlfn.XLOOKUP($C902,Order!$C:$C,Order!$K:$K,"",0,1))</f>
        <v>100</v>
      </c>
      <c r="J902" s="4" t="str">
        <f>IF(C902="","",Order!$K$16)</f>
        <v>WHITE POWDER COAT (PE/BA)</v>
      </c>
      <c r="K902" s="36">
        <f>IF($C902="","",_xlfn.XLOOKUP($C902,Order!$C:$C,Order!$P:$P,"",0,1))</f>
        <v>0</v>
      </c>
      <c r="L902" s="4">
        <f t="shared" si="13"/>
        <v>286.2</v>
      </c>
    </row>
    <row r="903" spans="2:12" ht="23.25" customHeight="1" x14ac:dyDescent="0.25">
      <c r="B903" s="4">
        <v>898</v>
      </c>
      <c r="C903" s="36" t="str">
        <f>IF(Order!$C$224="","",Order!$C$224)</f>
        <v>AL001</v>
      </c>
      <c r="D903" s="36" t="str">
        <f>IF($C903="","",_xlfn.XLOOKUP($C903,Order!$C:$C,Order!$D:$D,"",0,1))</f>
        <v>AL001AL</v>
      </c>
      <c r="E903" s="4" t="e" vm="408">
        <f>IF($C903="","",_xlfn.XLOOKUP($C903,Order!$C:$C,Order!$E:$E,"",0,1))</f>
        <v>#VALUE!</v>
      </c>
      <c r="F903" s="4">
        <f>IF($C903="","",_xlfn.XLOOKUP($C903,Order!$C:$C,Order!$F:$F,"",0,1))</f>
        <v>6000</v>
      </c>
      <c r="G903" s="4" t="str">
        <f>IF($C903="","",_xlfn.XLOOKUP($C903,Order!$C:$C,Order!$G:$G,"",0,1))</f>
        <v>6063T5</v>
      </c>
      <c r="H903" s="4">
        <f>IF($C903="","",_xlfn.XLOOKUP($C903,Order!$C:$C,Order!$H:$H,"",0,1))</f>
        <v>0.434</v>
      </c>
      <c r="I903" s="36">
        <f>IF($C903="","",_xlfn.XLOOKUP($C903,Order!$C:$C,Order!$K:$K,"",0,1))</f>
        <v>300</v>
      </c>
      <c r="J903" s="4" t="str">
        <f>IF(C903="","",Order!$K$16)</f>
        <v>WHITE POWDER COAT (PE/BA)</v>
      </c>
      <c r="K903" s="36">
        <f>IF($C903="","",_xlfn.XLOOKUP($C903,Order!$C:$C,Order!$P:$P,"",0,1))</f>
        <v>0</v>
      </c>
      <c r="L903" s="4">
        <f t="shared" ref="L903:L966" si="14">IF(C903="","",F903/1000*H903*I903)</f>
        <v>781.2</v>
      </c>
    </row>
    <row r="904" spans="2:12" ht="23.25" customHeight="1" x14ac:dyDescent="0.25">
      <c r="B904" s="4">
        <v>899</v>
      </c>
      <c r="C904" s="36" t="str">
        <f>IF(Order!$C$225="","",Order!$C$225)</f>
        <v>AL002</v>
      </c>
      <c r="D904" s="36" t="str">
        <f>IF($C904="","",_xlfn.XLOOKUP($C904,Order!$C:$C,Order!$D:$D,"",0,1))</f>
        <v>AL002AL</v>
      </c>
      <c r="E904" s="4" t="e" vm="409">
        <f>IF($C904="","",_xlfn.XLOOKUP($C904,Order!$C:$C,Order!$E:$E,"",0,1))</f>
        <v>#VALUE!</v>
      </c>
      <c r="F904" s="4">
        <f>IF($C904="","",_xlfn.XLOOKUP($C904,Order!$C:$C,Order!$F:$F,"",0,1))</f>
        <v>6000</v>
      </c>
      <c r="G904" s="4" t="str">
        <f>IF($C904="","",_xlfn.XLOOKUP($C904,Order!$C:$C,Order!$G:$G,"",0,1))</f>
        <v>6063T5</v>
      </c>
      <c r="H904" s="4">
        <f>IF($C904="","",_xlfn.XLOOKUP($C904,Order!$C:$C,Order!$H:$H,"",0,1))</f>
        <v>0.17499999999999999</v>
      </c>
      <c r="I904" s="36">
        <f>IF($C904="","",_xlfn.XLOOKUP($C904,Order!$C:$C,Order!$K:$K,"",0,1))</f>
        <v>300</v>
      </c>
      <c r="J904" s="4" t="str">
        <f>IF(C904="","",Order!$K$16)</f>
        <v>WHITE POWDER COAT (PE/BA)</v>
      </c>
      <c r="K904" s="36">
        <f>IF($C904="","",_xlfn.XLOOKUP($C904,Order!$C:$C,Order!$P:$P,"",0,1))</f>
        <v>0</v>
      </c>
      <c r="L904" s="4">
        <f t="shared" si="14"/>
        <v>314.99999999999994</v>
      </c>
    </row>
    <row r="905" spans="2:12" ht="23.25" customHeight="1" x14ac:dyDescent="0.25">
      <c r="B905" s="4">
        <v>900</v>
      </c>
      <c r="C905" s="36" t="str">
        <f>IF(Order!$C$226="","",Order!$C$226)</f>
        <v>AL 049</v>
      </c>
      <c r="D905" s="36" t="str">
        <f>IF($C905="","",_xlfn.XLOOKUP($C905,Order!$C:$C,Order!$D:$D,"",0,1))</f>
        <v>AL049</v>
      </c>
      <c r="E905" s="4" t="e" vm="410">
        <f>IF($C905="","",_xlfn.XLOOKUP($C905,Order!$C:$C,Order!$E:$E,"",0,1))</f>
        <v>#VALUE!</v>
      </c>
      <c r="F905" s="4">
        <f>IF($C905="","",_xlfn.XLOOKUP($C905,Order!$C:$C,Order!$F:$F,"",0,1))</f>
        <v>6000</v>
      </c>
      <c r="G905" s="4" t="str">
        <f>IF($C905="","",_xlfn.XLOOKUP($C905,Order!$C:$C,Order!$G:$G,"",0,1))</f>
        <v>6063T5</v>
      </c>
      <c r="H905" s="4">
        <f>IF($C905="","",_xlfn.XLOOKUP($C905,Order!$C:$C,Order!$H:$H,"",0,1))</f>
        <v>0.45300000000000001</v>
      </c>
      <c r="I905" s="36">
        <f>IF($C905="","",_xlfn.XLOOKUP($C905,Order!$C:$C,Order!$K:$K,"",0,1))</f>
        <v>1800</v>
      </c>
      <c r="J905" s="4" t="str">
        <f>IF(C905="","",Order!$K$16)</f>
        <v>WHITE POWDER COAT (PE/BA)</v>
      </c>
      <c r="K905" s="36">
        <f>IF($C905="","",_xlfn.XLOOKUP($C905,Order!$C:$C,Order!$P:$P,"",0,1))</f>
        <v>0</v>
      </c>
      <c r="L905" s="4">
        <f t="shared" si="14"/>
        <v>4892.3999999999996</v>
      </c>
    </row>
    <row r="906" spans="2:12" ht="23.25" customHeight="1" x14ac:dyDescent="0.25">
      <c r="B906" s="4">
        <v>901</v>
      </c>
      <c r="C906" s="36" t="str">
        <f>IF(Order!$C$227="","",Order!$C$227)</f>
        <v>AL050</v>
      </c>
      <c r="D906" s="36" t="str">
        <f>IF($C906="","",_xlfn.XLOOKUP($C906,Order!$C:$C,Order!$D:$D,"",0,1))</f>
        <v>AL050</v>
      </c>
      <c r="E906" s="4" t="e" vm="411">
        <f>IF($C906="","",_xlfn.XLOOKUP($C906,Order!$C:$C,Order!$E:$E,"",0,1))</f>
        <v>#VALUE!</v>
      </c>
      <c r="F906" s="4">
        <f>IF($C906="","",_xlfn.XLOOKUP($C906,Order!$C:$C,Order!$F:$F,"",0,1))</f>
        <v>6000</v>
      </c>
      <c r="G906" s="4" t="str">
        <f>IF($C906="","",_xlfn.XLOOKUP($C906,Order!$C:$C,Order!$G:$G,"",0,1))</f>
        <v>6063T5</v>
      </c>
      <c r="H906" s="4">
        <f>IF($C906="","",_xlfn.XLOOKUP($C906,Order!$C:$C,Order!$H:$H,"",0,1))</f>
        <v>0.249</v>
      </c>
      <c r="I906" s="36">
        <f>IF($C906="","",_xlfn.XLOOKUP($C906,Order!$C:$C,Order!$K:$K,"",0,1))</f>
        <v>1800</v>
      </c>
      <c r="J906" s="4" t="str">
        <f>IF(C906="","",Order!$K$16)</f>
        <v>WHITE POWDER COAT (PE/BA)</v>
      </c>
      <c r="K906" s="36">
        <f>IF($C906="","",_xlfn.XLOOKUP($C906,Order!$C:$C,Order!$P:$P,"",0,1))</f>
        <v>0</v>
      </c>
      <c r="L906" s="4">
        <f t="shared" si="14"/>
        <v>2689.2</v>
      </c>
    </row>
    <row r="907" spans="2:12" ht="23.25" customHeight="1" x14ac:dyDescent="0.25">
      <c r="B907" s="4">
        <v>902</v>
      </c>
      <c r="C907" s="36" t="str">
        <f>IF(Order!$C$228="","",Order!$C$228)</f>
        <v>AL003L</v>
      </c>
      <c r="D907" s="36" t="str">
        <f>IF($C907="","",_xlfn.XLOOKUP($C907,Order!$C:$C,Order!$D:$D,"",0,1))</f>
        <v>AL003L</v>
      </c>
      <c r="E907" s="4" t="e" vm="412">
        <f>IF($C907="","",_xlfn.XLOOKUP($C907,Order!$C:$C,Order!$E:$E,"",0,1))</f>
        <v>#VALUE!</v>
      </c>
      <c r="F907" s="4">
        <f>IF($C907="","",_xlfn.XLOOKUP($C907,Order!$C:$C,Order!$F:$F,"",0,1))</f>
        <v>6000</v>
      </c>
      <c r="G907" s="4" t="str">
        <f>IF($C907="","",_xlfn.XLOOKUP($C907,Order!$C:$C,Order!$G:$G,"",0,1))</f>
        <v>6063T5</v>
      </c>
      <c r="H907" s="4">
        <f>IF($C907="","",_xlfn.XLOOKUP($C907,Order!$C:$C,Order!$H:$H,"",0,1))</f>
        <v>0.23</v>
      </c>
      <c r="I907" s="36">
        <f>IF($C907="","",_xlfn.XLOOKUP($C907,Order!$C:$C,Order!$K:$K,"",0,1))</f>
        <v>1800</v>
      </c>
      <c r="J907" s="4" t="str">
        <f>IF(C907="","",Order!$K$16)</f>
        <v>WHITE POWDER COAT (PE/BA)</v>
      </c>
      <c r="K907" s="36">
        <f>IF($C907="","",_xlfn.XLOOKUP($C907,Order!$C:$C,Order!$P:$P,"",0,1))</f>
        <v>0</v>
      </c>
      <c r="L907" s="4">
        <f t="shared" si="14"/>
        <v>2484</v>
      </c>
    </row>
    <row r="908" spans="2:12" ht="23.25" customHeight="1" x14ac:dyDescent="0.25">
      <c r="B908" s="4">
        <v>903</v>
      </c>
      <c r="C908" s="36" t="str">
        <f>IF(Order!$C$229="","",Order!$C$229)</f>
        <v>MT0066</v>
      </c>
      <c r="D908" s="36" t="str">
        <f>IF($C908="","",_xlfn.XLOOKUP($C908,Order!$C:$C,Order!$D:$D,"",0,1))</f>
        <v>MT0066(PU010)</v>
      </c>
      <c r="E908" s="4" t="e" vm="413">
        <f>IF($C908="","",_xlfn.XLOOKUP($C908,Order!$C:$C,Order!$E:$E,"",0,1))</f>
        <v>#VALUE!</v>
      </c>
      <c r="F908" s="4">
        <f>IF($C908="","",_xlfn.XLOOKUP($C908,Order!$C:$C,Order!$F:$F,"",0,1))</f>
        <v>6000</v>
      </c>
      <c r="G908" s="4" t="str">
        <f>IF($C908="","",_xlfn.XLOOKUP($C908,Order!$C:$C,Order!$G:$G,"",0,1))</f>
        <v>6063T5</v>
      </c>
      <c r="H908" s="4">
        <f>IF($C908="","",_xlfn.XLOOKUP($C908,Order!$C:$C,Order!$H:$H,"",0,1))</f>
        <v>0.11700000000000001</v>
      </c>
      <c r="I908" s="36">
        <f>IF($C908="","",_xlfn.XLOOKUP($C908,Order!$C:$C,Order!$K:$K,"",0,1))</f>
        <v>1500</v>
      </c>
      <c r="J908" s="4" t="str">
        <f>IF(C908="","",Order!$K$16)</f>
        <v>WHITE POWDER COAT (PE/BA)</v>
      </c>
      <c r="K908" s="36">
        <f>IF($C908="","",_xlfn.XLOOKUP($C908,Order!$C:$C,Order!$P:$P,"",0,1))</f>
        <v>0</v>
      </c>
      <c r="L908" s="4">
        <f t="shared" si="14"/>
        <v>1053</v>
      </c>
    </row>
    <row r="909" spans="2:12" ht="23.25" customHeight="1" x14ac:dyDescent="0.25">
      <c r="B909" s="4">
        <v>904</v>
      </c>
      <c r="C909" s="36" t="str">
        <f>IF(Order!$C$230="","",Order!$C$230)</f>
        <v>MT0067</v>
      </c>
      <c r="D909" s="36" t="str">
        <f>IF($C909="","",_xlfn.XLOOKUP($C909,Order!$C:$C,Order!$D:$D,"",0,1))</f>
        <v>MT0067(PU008)</v>
      </c>
      <c r="E909" s="4" t="e" vm="414">
        <f>IF($C909="","",_xlfn.XLOOKUP($C909,Order!$C:$C,Order!$E:$E,"",0,1))</f>
        <v>#VALUE!</v>
      </c>
      <c r="F909" s="4">
        <f>IF($C909="","",_xlfn.XLOOKUP($C909,Order!$C:$C,Order!$F:$F,"",0,1))</f>
        <v>6000</v>
      </c>
      <c r="G909" s="4" t="str">
        <f>IF($C909="","",_xlfn.XLOOKUP($C909,Order!$C:$C,Order!$G:$G,"",0,1))</f>
        <v>6063T5</v>
      </c>
      <c r="H909" s="4">
        <f>IF($C909="","",_xlfn.XLOOKUP($C909,Order!$C:$C,Order!$H:$H,"",0,1))</f>
        <v>0.11</v>
      </c>
      <c r="I909" s="36">
        <f>IF($C909="","",_xlfn.XLOOKUP($C909,Order!$C:$C,Order!$K:$K,"",0,1))</f>
        <v>1800</v>
      </c>
      <c r="J909" s="4" t="str">
        <f>IF(C909="","",Order!$K$16)</f>
        <v>WHITE POWDER COAT (PE/BA)</v>
      </c>
      <c r="K909" s="36">
        <f>IF($C909="","",_xlfn.XLOOKUP($C909,Order!$C:$C,Order!$P:$P,"",0,1))</f>
        <v>0</v>
      </c>
      <c r="L909" s="4">
        <f t="shared" si="14"/>
        <v>1188</v>
      </c>
    </row>
    <row r="910" spans="2:12" ht="23.25" hidden="1" customHeight="1" x14ac:dyDescent="0.25">
      <c r="B910" s="4">
        <v>905</v>
      </c>
      <c r="C910" s="36" t="str">
        <f>IF(Order!$C$231="","",Order!$C$231)</f>
        <v>MT0080</v>
      </c>
      <c r="D910" s="36" t="str">
        <f>IF($C910="","",_xlfn.XLOOKUP($C910,Order!$C:$C,Order!$D:$D,"",0,1))</f>
        <v>MT0080</v>
      </c>
      <c r="E910" s="4" t="e" vm="415">
        <f>IF($C910="","",_xlfn.XLOOKUP($C910,Order!$C:$C,Order!$E:$E,"",0,1))</f>
        <v>#VALUE!</v>
      </c>
      <c r="F910" s="4">
        <f>IF($C910="","",_xlfn.XLOOKUP($C910,Order!$C:$C,Order!$F:$F,"",0,1))</f>
        <v>6000</v>
      </c>
      <c r="G910" s="4" t="str">
        <f>IF($C910="","",_xlfn.XLOOKUP($C910,Order!$C:$C,Order!$G:$G,"",0,1))</f>
        <v>6063T5</v>
      </c>
      <c r="H910" s="4">
        <f>IF($C910="","",_xlfn.XLOOKUP($C910,Order!$C:$C,Order!$H:$H,"",0,1))</f>
        <v>0.32200000000000001</v>
      </c>
      <c r="I910" s="36">
        <f>IF($C910="","",_xlfn.XLOOKUP($C910,Order!$C:$C,Order!$K:$K,"",0,1))</f>
        <v>0</v>
      </c>
      <c r="J910" s="4" t="str">
        <f>IF(C910="","",Order!$K$16)</f>
        <v>WHITE POWDER COAT (PE/BA)</v>
      </c>
      <c r="K910" s="36">
        <f>IF($C910="","",_xlfn.XLOOKUP($C910,Order!$C:$C,Order!$P:$P,"",0,1))</f>
        <v>0</v>
      </c>
      <c r="L910" s="4">
        <f t="shared" si="14"/>
        <v>0</v>
      </c>
    </row>
    <row r="911" spans="2:12" ht="23.25" hidden="1" customHeight="1" x14ac:dyDescent="0.25">
      <c r="B911" s="4">
        <v>906</v>
      </c>
      <c r="C911" s="36" t="str">
        <f>IF(Order!$C$232="","",Order!$C$232)</f>
        <v>MT0088</v>
      </c>
      <c r="D911" s="36" t="str">
        <f>IF($C911="","",_xlfn.XLOOKUP($C911,Order!$C:$C,Order!$D:$D,"",0,1))</f>
        <v>MT0088</v>
      </c>
      <c r="E911" s="4" t="e" vm="416">
        <f>IF($C911="","",_xlfn.XLOOKUP($C911,Order!$C:$C,Order!$E:$E,"",0,1))</f>
        <v>#VALUE!</v>
      </c>
      <c r="F911" s="4">
        <f>IF($C911="","",_xlfn.XLOOKUP($C911,Order!$C:$C,Order!$F:$F,"",0,1))</f>
        <v>6000</v>
      </c>
      <c r="G911" s="4" t="str">
        <f>IF($C911="","",_xlfn.XLOOKUP($C911,Order!$C:$C,Order!$G:$G,"",0,1))</f>
        <v>6063T5</v>
      </c>
      <c r="H911" s="4">
        <f>IF($C911="","",_xlfn.XLOOKUP($C911,Order!$C:$C,Order!$H:$H,"",0,1))</f>
        <v>0.26400000000000001</v>
      </c>
      <c r="I911" s="36">
        <f>IF($C911="","",_xlfn.XLOOKUP($C911,Order!$C:$C,Order!$K:$K,"",0,1))</f>
        <v>0</v>
      </c>
      <c r="J911" s="4" t="str">
        <f>IF(C911="","",Order!$K$16)</f>
        <v>WHITE POWDER COAT (PE/BA)</v>
      </c>
      <c r="K911" s="36">
        <f>IF($C911="","",_xlfn.XLOOKUP($C911,Order!$C:$C,Order!$P:$P,"",0,1))</f>
        <v>0</v>
      </c>
      <c r="L911" s="4">
        <f t="shared" si="14"/>
        <v>0</v>
      </c>
    </row>
    <row r="912" spans="2:12" ht="23.25" hidden="1" customHeight="1" x14ac:dyDescent="0.25">
      <c r="B912" s="4">
        <v>907</v>
      </c>
      <c r="C912" s="36" t="str">
        <f>IF(Order!$C$233="","",Order!$C$233)</f>
        <v>MT0089</v>
      </c>
      <c r="D912" s="36" t="str">
        <f>IF($C912="","",_xlfn.XLOOKUP($C912,Order!$C:$C,Order!$D:$D,"",0,1))</f>
        <v>MT0089</v>
      </c>
      <c r="E912" s="4" t="e" vm="417">
        <f>IF($C912="","",_xlfn.XLOOKUP($C912,Order!$C:$C,Order!$E:$E,"",0,1))</f>
        <v>#VALUE!</v>
      </c>
      <c r="F912" s="4">
        <f>IF($C912="","",_xlfn.XLOOKUP($C912,Order!$C:$C,Order!$F:$F,"",0,1))</f>
        <v>6000</v>
      </c>
      <c r="G912" s="4" t="str">
        <f>IF($C912="","",_xlfn.XLOOKUP($C912,Order!$C:$C,Order!$G:$G,"",0,1))</f>
        <v>6063T5</v>
      </c>
      <c r="H912" s="4">
        <f>IF($C912="","",_xlfn.XLOOKUP($C912,Order!$C:$C,Order!$H:$H,"",0,1))</f>
        <v>7.9000000000000001E-2</v>
      </c>
      <c r="I912" s="36">
        <f>IF($C912="","",_xlfn.XLOOKUP($C912,Order!$C:$C,Order!$K:$K,"",0,1))</f>
        <v>0</v>
      </c>
      <c r="J912" s="4" t="str">
        <f>IF(C912="","",Order!$K$16)</f>
        <v>WHITE POWDER COAT (PE/BA)</v>
      </c>
      <c r="K912" s="36">
        <f>IF($C912="","",_xlfn.XLOOKUP($C912,Order!$C:$C,Order!$P:$P,"",0,1))</f>
        <v>0</v>
      </c>
      <c r="L912" s="4">
        <f t="shared" si="14"/>
        <v>0</v>
      </c>
    </row>
    <row r="913" spans="2:12" ht="23.25" hidden="1" customHeight="1" x14ac:dyDescent="0.25">
      <c r="B913" s="4">
        <v>908</v>
      </c>
      <c r="C913" s="36" t="str">
        <f>IF(Order!$C$234="","",Order!$C$234)</f>
        <v>MT0090</v>
      </c>
      <c r="D913" s="36" t="str">
        <f>IF($C913="","",_xlfn.XLOOKUP($C913,Order!$C:$C,Order!$D:$D,"",0,1))</f>
        <v>MT0090</v>
      </c>
      <c r="E913" s="4" t="e" vm="418">
        <f>IF($C913="","",_xlfn.XLOOKUP($C913,Order!$C:$C,Order!$E:$E,"",0,1))</f>
        <v>#VALUE!</v>
      </c>
      <c r="F913" s="4">
        <f>IF($C913="","",_xlfn.XLOOKUP($C913,Order!$C:$C,Order!$F:$F,"",0,1))</f>
        <v>6000</v>
      </c>
      <c r="G913" s="4" t="str">
        <f>IF($C913="","",_xlfn.XLOOKUP($C913,Order!$C:$C,Order!$G:$G,"",0,1))</f>
        <v>6063T5</v>
      </c>
      <c r="H913" s="4">
        <f>IF($C913="","",_xlfn.XLOOKUP($C913,Order!$C:$C,Order!$H:$H,"",0,1))</f>
        <v>0.55600000000000005</v>
      </c>
      <c r="I913" s="36">
        <f>IF($C913="","",_xlfn.XLOOKUP($C913,Order!$C:$C,Order!$K:$K,"",0,1))</f>
        <v>0</v>
      </c>
      <c r="J913" s="4" t="str">
        <f>IF(C913="","",Order!$K$16)</f>
        <v>WHITE POWDER COAT (PE/BA)</v>
      </c>
      <c r="K913" s="36">
        <f>IF($C913="","",_xlfn.XLOOKUP($C913,Order!$C:$C,Order!$P:$P,"",0,1))</f>
        <v>0</v>
      </c>
      <c r="L913" s="4">
        <f t="shared" si="14"/>
        <v>0</v>
      </c>
    </row>
    <row r="914" spans="2:12" ht="23.25" hidden="1" customHeight="1" x14ac:dyDescent="0.25">
      <c r="B914" s="4">
        <v>909</v>
      </c>
      <c r="C914" s="36" t="str">
        <f>IF(Order!$C$235="","",Order!$C$235)</f>
        <v>BX128</v>
      </c>
      <c r="D914" s="36" t="str">
        <f>IF($C914="","",_xlfn.XLOOKUP($C914,Order!$C:$C,Order!$D:$D,"",0,1))</f>
        <v>BX128</v>
      </c>
      <c r="E914" s="4" t="e" vm="419">
        <f>IF($C914="","",_xlfn.XLOOKUP($C914,Order!$C:$C,Order!$E:$E,"",0,1))</f>
        <v>#VALUE!</v>
      </c>
      <c r="F914" s="4">
        <f>IF($C914="","",_xlfn.XLOOKUP($C914,Order!$C:$C,Order!$F:$F,"",0,1))</f>
        <v>6000</v>
      </c>
      <c r="G914" s="4" t="str">
        <f>IF($C914="","",_xlfn.XLOOKUP($C914,Order!$C:$C,Order!$G:$G,"",0,1))</f>
        <v>6063T5</v>
      </c>
      <c r="H914" s="4">
        <f>IF($C914="","",_xlfn.XLOOKUP($C914,Order!$C:$C,Order!$H:$H,"",0,1))</f>
        <v>0.16900000000000001</v>
      </c>
      <c r="I914" s="36">
        <f>IF($C914="","",_xlfn.XLOOKUP($C914,Order!$C:$C,Order!$K:$K,"",0,1))</f>
        <v>0</v>
      </c>
      <c r="J914" s="4" t="str">
        <f>IF(C914="","",Order!$K$16)</f>
        <v>WHITE POWDER COAT (PE/BA)</v>
      </c>
      <c r="K914" s="36">
        <f>IF($C914="","",_xlfn.XLOOKUP($C914,Order!$C:$C,Order!$P:$P,"",0,1))</f>
        <v>0</v>
      </c>
      <c r="L914" s="4">
        <f t="shared" si="14"/>
        <v>0</v>
      </c>
    </row>
    <row r="915" spans="2:12" ht="23.25" customHeight="1" x14ac:dyDescent="0.25">
      <c r="B915" s="4">
        <v>910</v>
      </c>
      <c r="C915" s="36" t="str">
        <f>IF(Order!$C$236="","",Order!$C$236)</f>
        <v>BX626</v>
      </c>
      <c r="D915" s="36" t="str">
        <f>IF($C915="","",_xlfn.XLOOKUP($C915,Order!$C:$C,Order!$D:$D,"",0,1))</f>
        <v>BX626</v>
      </c>
      <c r="E915" s="4" t="e" vm="420">
        <f>IF($C915="","",_xlfn.XLOOKUP($C915,Order!$C:$C,Order!$E:$E,"",0,1))</f>
        <v>#VALUE!</v>
      </c>
      <c r="F915" s="4">
        <f>IF($C915="","",_xlfn.XLOOKUP($C915,Order!$C:$C,Order!$F:$F,"",0,1))</f>
        <v>6000</v>
      </c>
      <c r="G915" s="4" t="str">
        <f>IF($C915="","",_xlfn.XLOOKUP($C915,Order!$C:$C,Order!$G:$G,"",0,1))</f>
        <v>6063T5</v>
      </c>
      <c r="H915" s="4">
        <f>IF($C915="","",_xlfn.XLOOKUP($C915,Order!$C:$C,Order!$H:$H,"",0,1))</f>
        <v>0.13800000000000001</v>
      </c>
      <c r="I915" s="36">
        <f>IF($C915="","",_xlfn.XLOOKUP($C915,Order!$C:$C,Order!$K:$K,"",0,1))</f>
        <v>300</v>
      </c>
      <c r="J915" s="4" t="str">
        <f>IF(C915="","",Order!$K$16)</f>
        <v>WHITE POWDER COAT (PE/BA)</v>
      </c>
      <c r="K915" s="36">
        <f>IF($C915="","",_xlfn.XLOOKUP($C915,Order!$C:$C,Order!$P:$P,"",0,1))</f>
        <v>0</v>
      </c>
      <c r="L915" s="4">
        <f t="shared" si="14"/>
        <v>248.40000000000003</v>
      </c>
    </row>
    <row r="916" spans="2:12" ht="23.25" hidden="1" customHeight="1" x14ac:dyDescent="0.25">
      <c r="B916" s="4">
        <v>911</v>
      </c>
      <c r="C916" s="36" t="str">
        <f>IF(Order!$C$237="","",Order!$C$237)</f>
        <v>BT807</v>
      </c>
      <c r="D916" s="36" t="str">
        <f>IF($C916="","",_xlfn.XLOOKUP($C916,Order!$C:$C,Order!$D:$D,"",0,1))</f>
        <v>BT807</v>
      </c>
      <c r="E916" s="4" t="e" vm="421">
        <f>IF($C916="","",_xlfn.XLOOKUP($C916,Order!$C:$C,Order!$E:$E,"",0,1))</f>
        <v>#VALUE!</v>
      </c>
      <c r="F916" s="4">
        <f>IF($C916="","",_xlfn.XLOOKUP($C916,Order!$C:$C,Order!$F:$F,"",0,1))</f>
        <v>6000</v>
      </c>
      <c r="G916" s="4" t="str">
        <f>IF($C916="","",_xlfn.XLOOKUP($C916,Order!$C:$C,Order!$G:$G,"",0,1))</f>
        <v>6063T5</v>
      </c>
      <c r="H916" s="4">
        <f>IF($C916="","",_xlfn.XLOOKUP($C916,Order!$C:$C,Order!$H:$H,"",0,1))</f>
        <v>0.153</v>
      </c>
      <c r="I916" s="36">
        <f>IF($C916="","",_xlfn.XLOOKUP($C916,Order!$C:$C,Order!$K:$K,"",0,1))</f>
        <v>0</v>
      </c>
      <c r="J916" s="4" t="str">
        <f>IF(C916="","",Order!$K$16)</f>
        <v>WHITE POWDER COAT (PE/BA)</v>
      </c>
      <c r="K916" s="36">
        <f>IF($C916="","",_xlfn.XLOOKUP($C916,Order!$C:$C,Order!$P:$P,"",0,1))</f>
        <v>0</v>
      </c>
      <c r="L916" s="4">
        <f t="shared" si="14"/>
        <v>0</v>
      </c>
    </row>
    <row r="917" spans="2:12" ht="23.25" hidden="1" customHeight="1" x14ac:dyDescent="0.25">
      <c r="B917" s="4">
        <v>912</v>
      </c>
      <c r="C917" s="36" t="str">
        <f>IF(Order!$C$238="","",Order!$C$238)</f>
        <v>BX013</v>
      </c>
      <c r="D917" s="36" t="str">
        <f>IF($C917="","",_xlfn.XLOOKUP($C917,Order!$C:$C,Order!$D:$D,"",0,1))</f>
        <v>BX013</v>
      </c>
      <c r="E917" s="4" t="e" vm="422">
        <f>IF($C917="","",_xlfn.XLOOKUP($C917,Order!$C:$C,Order!$E:$E,"",0,1))</f>
        <v>#VALUE!</v>
      </c>
      <c r="F917" s="4">
        <f>IF($C917="","",_xlfn.XLOOKUP($C917,Order!$C:$C,Order!$F:$F,"",0,1))</f>
        <v>6000</v>
      </c>
      <c r="G917" s="4" t="str">
        <f>IF($C917="","",_xlfn.XLOOKUP($C917,Order!$C:$C,Order!$G:$G,"",0,1))</f>
        <v>6063T5</v>
      </c>
      <c r="H917" s="4">
        <f>IF($C917="","",_xlfn.XLOOKUP($C917,Order!$C:$C,Order!$H:$H,"",0,1))</f>
        <v>0</v>
      </c>
      <c r="I917" s="36">
        <f>IF($C917="","",_xlfn.XLOOKUP($C917,Order!$C:$C,Order!$K:$K,"",0,1))</f>
        <v>0</v>
      </c>
      <c r="J917" s="4" t="str">
        <f>IF(C917="","",Order!$K$16)</f>
        <v>WHITE POWDER COAT (PE/BA)</v>
      </c>
      <c r="K917" s="36">
        <f>IF($C917="","",_xlfn.XLOOKUP($C917,Order!$C:$C,Order!$P:$P,"",0,1))</f>
        <v>0</v>
      </c>
      <c r="L917" s="4">
        <f t="shared" si="14"/>
        <v>0</v>
      </c>
    </row>
    <row r="918" spans="2:12" ht="23.25" hidden="1" customHeight="1" x14ac:dyDescent="0.25">
      <c r="B918" s="4">
        <v>913</v>
      </c>
      <c r="C918" s="36" t="str">
        <f>IF(Order!$C$239="","",Order!$C$239)</f>
        <v>BX014</v>
      </c>
      <c r="D918" s="36" t="str">
        <f>IF($C918="","",_xlfn.XLOOKUP($C918,Order!$C:$C,Order!$D:$D,"",0,1))</f>
        <v>BX014</v>
      </c>
      <c r="E918" s="4" t="e" vm="423">
        <f>IF($C918="","",_xlfn.XLOOKUP($C918,Order!$C:$C,Order!$E:$E,"",0,1))</f>
        <v>#VALUE!</v>
      </c>
      <c r="F918" s="4">
        <f>IF($C918="","",_xlfn.XLOOKUP($C918,Order!$C:$C,Order!$F:$F,"",0,1))</f>
        <v>6000</v>
      </c>
      <c r="G918" s="4" t="str">
        <f>IF($C918="","",_xlfn.XLOOKUP($C918,Order!$C:$C,Order!$G:$G,"",0,1))</f>
        <v>6063T5</v>
      </c>
      <c r="H918" s="4">
        <f>IF($C918="","",_xlfn.XLOOKUP($C918,Order!$C:$C,Order!$H:$H,"",0,1))</f>
        <v>0</v>
      </c>
      <c r="I918" s="36">
        <f>IF($C918="","",_xlfn.XLOOKUP($C918,Order!$C:$C,Order!$K:$K,"",0,1))</f>
        <v>0</v>
      </c>
      <c r="J918" s="4" t="str">
        <f>IF(C918="","",Order!$K$16)</f>
        <v>WHITE POWDER COAT (PE/BA)</v>
      </c>
      <c r="K918" s="36">
        <f>IF($C918="","",_xlfn.XLOOKUP($C918,Order!$C:$C,Order!$P:$P,"",0,1))</f>
        <v>0</v>
      </c>
      <c r="L918" s="4">
        <f t="shared" si="14"/>
        <v>0</v>
      </c>
    </row>
    <row r="919" spans="2:12" ht="23.25" hidden="1" customHeight="1" x14ac:dyDescent="0.25">
      <c r="B919" s="4">
        <v>914</v>
      </c>
      <c r="C919" s="36" t="str">
        <f>IF(Order!$C$240="","",Order!$C$240)</f>
        <v>BX016</v>
      </c>
      <c r="D919" s="36" t="str">
        <f>IF($C919="","",_xlfn.XLOOKUP($C919,Order!$C:$C,Order!$D:$D,"",0,1))</f>
        <v>BX016</v>
      </c>
      <c r="E919" s="4" t="e" vm="424">
        <f>IF($C919="","",_xlfn.XLOOKUP($C919,Order!$C:$C,Order!$E:$E,"",0,1))</f>
        <v>#VALUE!</v>
      </c>
      <c r="F919" s="4">
        <f>IF($C919="","",_xlfn.XLOOKUP($C919,Order!$C:$C,Order!$F:$F,"",0,1))</f>
        <v>6000</v>
      </c>
      <c r="G919" s="4" t="str">
        <f>IF($C919="","",_xlfn.XLOOKUP($C919,Order!$C:$C,Order!$G:$G,"",0,1))</f>
        <v>6063T5</v>
      </c>
      <c r="H919" s="4">
        <f>IF($C919="","",_xlfn.XLOOKUP($C919,Order!$C:$C,Order!$H:$H,"",0,1))</f>
        <v>0</v>
      </c>
      <c r="I919" s="36">
        <f>IF($C919="","",_xlfn.XLOOKUP($C919,Order!$C:$C,Order!$K:$K,"",0,1))</f>
        <v>0</v>
      </c>
      <c r="J919" s="4" t="str">
        <f>IF(C919="","",Order!$K$16)</f>
        <v>WHITE POWDER COAT (PE/BA)</v>
      </c>
      <c r="K919" s="36">
        <f>IF($C919="","",_xlfn.XLOOKUP($C919,Order!$C:$C,Order!$P:$P,"",0,1))</f>
        <v>0</v>
      </c>
      <c r="L919" s="4">
        <f t="shared" si="14"/>
        <v>0</v>
      </c>
    </row>
    <row r="920" spans="2:12" ht="23.25" hidden="1" customHeight="1" x14ac:dyDescent="0.25">
      <c r="B920" s="4">
        <v>915</v>
      </c>
      <c r="C920" s="36" t="str">
        <f>IF(Order!$C$241="","",Order!$C$241)</f>
        <v>MT0079 (Infeiror de engenharia 10 mm)</v>
      </c>
      <c r="D920" s="36" t="str">
        <f>IF($C920="","",_xlfn.XLOOKUP($C920,Order!$C:$C,Order!$D:$D,"",0,1))</f>
        <v>MT0079</v>
      </c>
      <c r="E920" s="4" t="e" vm="425">
        <f>IF($C920="","",_xlfn.XLOOKUP($C920,Order!$C:$C,Order!$E:$E,"",0,1))</f>
        <v>#VALUE!</v>
      </c>
      <c r="F920" s="4">
        <f>IF($C920="","",_xlfn.XLOOKUP($C920,Order!$C:$C,Order!$F:$F,"",0,1))</f>
        <v>6000</v>
      </c>
      <c r="G920" s="4" t="str">
        <f>IF($C920="","",_xlfn.XLOOKUP($C920,Order!$C:$C,Order!$G:$G,"",0,1))</f>
        <v>6063T5</v>
      </c>
      <c r="H920" s="4">
        <f>IF($C920="","",_xlfn.XLOOKUP($C920,Order!$C:$C,Order!$H:$H,"",0,1))</f>
        <v>0.439</v>
      </c>
      <c r="I920" s="36">
        <f>IF($C920="","",_xlfn.XLOOKUP($C920,Order!$C:$C,Order!$K:$K,"",0,1))</f>
        <v>0</v>
      </c>
      <c r="J920" s="4" t="str">
        <f>IF(C920="","",Order!$K$16)</f>
        <v>WHITE POWDER COAT (PE/BA)</v>
      </c>
      <c r="K920" s="36">
        <f>IF($C920="","",_xlfn.XLOOKUP($C920,Order!$C:$C,Order!$P:$P,"",0,1))</f>
        <v>0</v>
      </c>
      <c r="L920" s="4">
        <f t="shared" si="14"/>
        <v>0</v>
      </c>
    </row>
    <row r="921" spans="2:12" ht="23.25" hidden="1" customHeight="1" x14ac:dyDescent="0.25">
      <c r="B921" s="4">
        <v>916</v>
      </c>
      <c r="C921" s="36" t="str">
        <f>IF(Order!$C$242="","",Order!$C$242)</f>
        <v>MT0092 (Inferior engenharia de 10mm)</v>
      </c>
      <c r="D921" s="36" t="str">
        <f>IF($C921="","",_xlfn.XLOOKUP($C921,Order!$C:$C,Order!$D:$D,"",0,1))</f>
        <v>MT0092</v>
      </c>
      <c r="E921" s="4" t="e" vm="426">
        <f>IF($C921="","",_xlfn.XLOOKUP($C921,Order!$C:$C,Order!$E:$E,"",0,1))</f>
        <v>#VALUE!</v>
      </c>
      <c r="F921" s="4">
        <f>IF($C921="","",_xlfn.XLOOKUP($C921,Order!$C:$C,Order!$F:$F,"",0,1))</f>
        <v>6000</v>
      </c>
      <c r="G921" s="4" t="str">
        <f>IF($C921="","",_xlfn.XLOOKUP($C921,Order!$C:$C,Order!$G:$G,"",0,1))</f>
        <v>6063T5</v>
      </c>
      <c r="H921" s="4">
        <f>IF($C921="","",_xlfn.XLOOKUP($C921,Order!$C:$C,Order!$H:$H,"",0,1))</f>
        <v>0.39700000000000002</v>
      </c>
      <c r="I921" s="36">
        <f>IF($C921="","",_xlfn.XLOOKUP($C921,Order!$C:$C,Order!$K:$K,"",0,1))</f>
        <v>0</v>
      </c>
      <c r="J921" s="4" t="str">
        <f>IF(C921="","",Order!$K$16)</f>
        <v>WHITE POWDER COAT (PE/BA)</v>
      </c>
      <c r="K921" s="36">
        <f>IF($C921="","",_xlfn.XLOOKUP($C921,Order!$C:$C,Order!$P:$P,"",0,1))</f>
        <v>0</v>
      </c>
      <c r="L921" s="4">
        <f t="shared" si="14"/>
        <v>0</v>
      </c>
    </row>
    <row r="922" spans="2:12" ht="23.25" hidden="1" customHeight="1" x14ac:dyDescent="0.25">
      <c r="B922" s="4">
        <v>917</v>
      </c>
      <c r="C922" s="36" t="str">
        <f>IF(Order!$C$243="","",Order!$C$243)</f>
        <v>MT0093 (Superior engenharia 10 mm)</v>
      </c>
      <c r="D922" s="36" t="str">
        <f>IF($C922="","",_xlfn.XLOOKUP($C922,Order!$C:$C,Order!$D:$D,"",0,1))</f>
        <v>MT0093</v>
      </c>
      <c r="E922" s="4" t="e" vm="427">
        <f>IF($C922="","",_xlfn.XLOOKUP($C922,Order!$C:$C,Order!$E:$E,"",0,1))</f>
        <v>#VALUE!</v>
      </c>
      <c r="F922" s="4">
        <f>IF($C922="","",_xlfn.XLOOKUP($C922,Order!$C:$C,Order!$F:$F,"",0,1))</f>
        <v>6000</v>
      </c>
      <c r="G922" s="4" t="str">
        <f>IF($C922="","",_xlfn.XLOOKUP($C922,Order!$C:$C,Order!$G:$G,"",0,1))</f>
        <v>6063T5</v>
      </c>
      <c r="H922" s="4">
        <f>IF($C922="","",_xlfn.XLOOKUP($C922,Order!$C:$C,Order!$H:$H,"",0,1))</f>
        <v>0.70499999999999996</v>
      </c>
      <c r="I922" s="36">
        <f>IF($C922="","",_xlfn.XLOOKUP($C922,Order!$C:$C,Order!$K:$K,"",0,1))</f>
        <v>0</v>
      </c>
      <c r="J922" s="4" t="str">
        <f>IF(C922="","",Order!$K$16)</f>
        <v>WHITE POWDER COAT (PE/BA)</v>
      </c>
      <c r="K922" s="36">
        <f>IF($C922="","",_xlfn.XLOOKUP($C922,Order!$C:$C,Order!$P:$P,"",0,1))</f>
        <v>0</v>
      </c>
      <c r="L922" s="4">
        <f t="shared" si="14"/>
        <v>0</v>
      </c>
    </row>
    <row r="923" spans="2:12" ht="23.25" hidden="1" customHeight="1" x14ac:dyDescent="0.25">
      <c r="B923" s="4">
        <v>918</v>
      </c>
      <c r="C923" s="36" t="str">
        <f>IF(Order!$C$244="","",Order!$C$244)</f>
        <v>MT0094 (Capa engenharia de 10 mm)</v>
      </c>
      <c r="D923" s="36" t="str">
        <f>IF($C923="","",_xlfn.XLOOKUP($C923,Order!$C:$C,Order!$D:$D,"",0,1))</f>
        <v>MT0094</v>
      </c>
      <c r="E923" s="4" t="e" vm="428">
        <f>IF($C923="","",_xlfn.XLOOKUP($C923,Order!$C:$C,Order!$E:$E,"",0,1))</f>
        <v>#VALUE!</v>
      </c>
      <c r="F923" s="4">
        <f>IF($C923="","",_xlfn.XLOOKUP($C923,Order!$C:$C,Order!$F:$F,"",0,1))</f>
        <v>6000</v>
      </c>
      <c r="G923" s="4" t="str">
        <f>IF($C923="","",_xlfn.XLOOKUP($C923,Order!$C:$C,Order!$G:$G,"",0,1))</f>
        <v>6063T5</v>
      </c>
      <c r="H923" s="4">
        <f>IF($C923="","",_xlfn.XLOOKUP($C923,Order!$C:$C,Order!$H:$H,"",0,1))</f>
        <v>0.29399999999999998</v>
      </c>
      <c r="I923" s="36">
        <f>IF($C923="","",_xlfn.XLOOKUP($C923,Order!$C:$C,Order!$K:$K,"",0,1))</f>
        <v>0</v>
      </c>
      <c r="J923" s="4" t="str">
        <f>IF(C923="","",Order!$K$16)</f>
        <v>WHITE POWDER COAT (PE/BA)</v>
      </c>
      <c r="K923" s="36">
        <f>IF($C923="","",_xlfn.XLOOKUP($C923,Order!$C:$C,Order!$P:$P,"",0,1))</f>
        <v>0</v>
      </c>
      <c r="L923" s="4">
        <f t="shared" si="14"/>
        <v>0</v>
      </c>
    </row>
    <row r="924" spans="2:12" ht="23.25" hidden="1" customHeight="1" x14ac:dyDescent="0.25">
      <c r="B924" s="4">
        <v>919</v>
      </c>
      <c r="C924" s="36" t="str">
        <f>IF(Order!$C$245="","",Order!$C$245)</f>
        <v>MT0095 (BX330-Click Engenharia de 10 mm)</v>
      </c>
      <c r="D924" s="36" t="str">
        <f>IF($C924="","",_xlfn.XLOOKUP($C924,Order!$C:$C,Order!$D:$D,"",0,1))</f>
        <v>MT0095</v>
      </c>
      <c r="E924" s="4" t="e" vm="429">
        <f>IF($C924="","",_xlfn.XLOOKUP($C924,Order!$C:$C,Order!$E:$E,"",0,1))</f>
        <v>#VALUE!</v>
      </c>
      <c r="F924" s="4">
        <f>IF($C924="","",_xlfn.XLOOKUP($C924,Order!$C:$C,Order!$F:$F,"",0,1))</f>
        <v>6000</v>
      </c>
      <c r="G924" s="4" t="str">
        <f>IF($C924="","",_xlfn.XLOOKUP($C924,Order!$C:$C,Order!$G:$G,"",0,1))</f>
        <v>6063T5</v>
      </c>
      <c r="H924" s="4">
        <f>IF($C924="","",_xlfn.XLOOKUP($C924,Order!$C:$C,Order!$H:$H,"",0,1))</f>
        <v>8.6999999999999994E-2</v>
      </c>
      <c r="I924" s="36">
        <f>IF($C924="","",_xlfn.XLOOKUP($C924,Order!$C:$C,Order!$K:$K,"",0,1))</f>
        <v>0</v>
      </c>
      <c r="J924" s="4" t="str">
        <f>IF(C924="","",Order!$K$16)</f>
        <v>WHITE POWDER COAT (PE/BA)</v>
      </c>
      <c r="K924" s="36">
        <f>IF($C924="","",_xlfn.XLOOKUP($C924,Order!$C:$C,Order!$P:$P,"",0,1))</f>
        <v>0</v>
      </c>
      <c r="L924" s="4">
        <f t="shared" si="14"/>
        <v>0</v>
      </c>
    </row>
    <row r="925" spans="2:12" ht="23.25" hidden="1" customHeight="1" x14ac:dyDescent="0.25">
      <c r="B925" s="4">
        <v>920</v>
      </c>
      <c r="C925" s="36" t="str">
        <f>IF(Order!$C$246="","",Order!$C$246)</f>
        <v>BX054 (Inferior simples 10mm)</v>
      </c>
      <c r="D925" s="36" t="str">
        <f>IF($C925="","",_xlfn.XLOOKUP($C925,Order!$C:$C,Order!$D:$D,"",0,1))</f>
        <v>BX054</v>
      </c>
      <c r="E925" s="4" t="e" vm="430">
        <f>IF($C925="","",_xlfn.XLOOKUP($C925,Order!$C:$C,Order!$E:$E,"",0,1))</f>
        <v>#VALUE!</v>
      </c>
      <c r="F925" s="4">
        <f>IF($C925="","",_xlfn.XLOOKUP($C925,Order!$C:$C,Order!$F:$F,"",0,1))</f>
        <v>6000</v>
      </c>
      <c r="G925" s="4" t="str">
        <f>IF($C925="","",_xlfn.XLOOKUP($C925,Order!$C:$C,Order!$G:$G,"",0,1))</f>
        <v>6063T5</v>
      </c>
      <c r="H925" s="4">
        <f>IF($C925="","",_xlfn.XLOOKUP($C925,Order!$C:$C,Order!$H:$H,"",0,1))</f>
        <v>0.28799999999999998</v>
      </c>
      <c r="I925" s="36">
        <f>IF($C925="","",_xlfn.XLOOKUP($C925,Order!$C:$C,Order!$K:$K,"",0,1))</f>
        <v>0</v>
      </c>
      <c r="J925" s="4" t="str">
        <f>IF(C925="","",Order!$K$16)</f>
        <v>WHITE POWDER COAT (PE/BA)</v>
      </c>
      <c r="K925" s="36">
        <f>IF($C925="","",_xlfn.XLOOKUP($C925,Order!$C:$C,Order!$P:$P,"",0,1))</f>
        <v>0</v>
      </c>
      <c r="L925" s="4">
        <f t="shared" si="14"/>
        <v>0</v>
      </c>
    </row>
    <row r="926" spans="2:12" ht="23.25" hidden="1" customHeight="1" x14ac:dyDescent="0.25">
      <c r="B926" s="4">
        <v>921</v>
      </c>
      <c r="C926" s="36" t="str">
        <f>IF(Order!$C$247="","",Order!$C$247)</f>
        <v>BX130</v>
      </c>
      <c r="D926" s="36" t="str">
        <f>IF($C926="","",_xlfn.XLOOKUP($C926,Order!$C:$C,Order!$D:$D,"",0,1))</f>
        <v>BX130</v>
      </c>
      <c r="E926" s="4" t="e" vm="431">
        <f>IF($C926="","",_xlfn.XLOOKUP($C926,Order!$C:$C,Order!$E:$E,"",0,1))</f>
        <v>#VALUE!</v>
      </c>
      <c r="F926" s="4">
        <f>IF($C926="","",_xlfn.XLOOKUP($C926,Order!$C:$C,Order!$F:$F,"",0,1))</f>
        <v>6000</v>
      </c>
      <c r="G926" s="4" t="str">
        <f>IF($C926="","",_xlfn.XLOOKUP($C926,Order!$C:$C,Order!$G:$G,"",0,1))</f>
        <v>6063T5</v>
      </c>
      <c r="H926" s="4">
        <f>IF($C926="","",_xlfn.XLOOKUP($C926,Order!$C:$C,Order!$H:$H,"",0,1))</f>
        <v>0.14199999999999999</v>
      </c>
      <c r="I926" s="36">
        <f>IF($C926="","",_xlfn.XLOOKUP($C926,Order!$C:$C,Order!$K:$K,"",0,1))</f>
        <v>0</v>
      </c>
      <c r="J926" s="4" t="str">
        <f>IF(C926="","",Order!$K$16)</f>
        <v>WHITE POWDER COAT (PE/BA)</v>
      </c>
      <c r="K926" s="36">
        <f>IF($C926="","",_xlfn.XLOOKUP($C926,Order!$C:$C,Order!$P:$P,"",0,1))</f>
        <v>0</v>
      </c>
      <c r="L926" s="4">
        <f t="shared" si="14"/>
        <v>0</v>
      </c>
    </row>
    <row r="927" spans="2:12" ht="23.25" hidden="1" customHeight="1" x14ac:dyDescent="0.25">
      <c r="B927" s="4">
        <v>922</v>
      </c>
      <c r="C927" s="36" t="str">
        <f>IF(Order!$C$248="","",Order!$C$248)</f>
        <v>BX238</v>
      </c>
      <c r="D927" s="36" t="str">
        <f>IF($C927="","",_xlfn.XLOOKUP($C927,Order!$C:$C,Order!$D:$D,"",0,1))</f>
        <v>BX238</v>
      </c>
      <c r="E927" s="4" t="e" vm="432">
        <f>IF($C927="","",_xlfn.XLOOKUP($C927,Order!$C:$C,Order!$E:$E,"",0,1))</f>
        <v>#VALUE!</v>
      </c>
      <c r="F927" s="4">
        <f>IF($C927="","",_xlfn.XLOOKUP($C927,Order!$C:$C,Order!$F:$F,"",0,1))</f>
        <v>6000</v>
      </c>
      <c r="G927" s="4" t="str">
        <f>IF($C927="","",_xlfn.XLOOKUP($C927,Order!$C:$C,Order!$G:$G,"",0,1))</f>
        <v>6063T5</v>
      </c>
      <c r="H927" s="4">
        <f>IF($C927="","",_xlfn.XLOOKUP($C927,Order!$C:$C,Order!$H:$H,"",0,1))</f>
        <v>0.35699999999999998</v>
      </c>
      <c r="I927" s="36">
        <f>IF($C927="","",_xlfn.XLOOKUP($C927,Order!$C:$C,Order!$K:$K,"",0,1))</f>
        <v>0</v>
      </c>
      <c r="J927" s="4" t="str">
        <f>IF(C927="","",Order!$K$16)</f>
        <v>WHITE POWDER COAT (PE/BA)</v>
      </c>
      <c r="K927" s="36">
        <f>IF($C927="","",_xlfn.XLOOKUP($C927,Order!$C:$C,Order!$P:$P,"",0,1))</f>
        <v>0</v>
      </c>
      <c r="L927" s="4">
        <f t="shared" si="14"/>
        <v>0</v>
      </c>
    </row>
    <row r="928" spans="2:12" ht="23.25" hidden="1" customHeight="1" x14ac:dyDescent="0.25">
      <c r="B928" s="4">
        <v>923</v>
      </c>
      <c r="C928" s="36" t="str">
        <f>IF(Order!$C$249="","",Order!$C$249)</f>
        <v/>
      </c>
      <c r="D928" s="36" t="str">
        <f>IF($C928="","",_xlfn.XLOOKUP($C928,Order!$C:$C,Order!$D:$D,"",0,1))</f>
        <v/>
      </c>
      <c r="E928" s="4" t="str">
        <f>IF($C928="","",_xlfn.XLOOKUP($C928,Order!$C:$C,Order!$E:$E,"",0,1))</f>
        <v/>
      </c>
      <c r="F928" s="4" t="str">
        <f>IF($C928="","",_xlfn.XLOOKUP($C928,Order!$C:$C,Order!$F:$F,"",0,1))</f>
        <v/>
      </c>
      <c r="G928" s="4" t="str">
        <f>IF($C928="","",_xlfn.XLOOKUP($C928,Order!$C:$C,Order!$G:$G,"",0,1))</f>
        <v/>
      </c>
      <c r="H928" s="4" t="str">
        <f>IF($C928="","",_xlfn.XLOOKUP($C928,Order!$C:$C,Order!$H:$H,"",0,1))</f>
        <v/>
      </c>
      <c r="I928" s="36" t="str">
        <f>IF($C928="","",_xlfn.XLOOKUP($C928,Order!$C:$C,Order!$K:$K,"",0,1))</f>
        <v/>
      </c>
      <c r="J928" s="4" t="str">
        <f>IF(C928="","",Order!$K$16)</f>
        <v/>
      </c>
      <c r="K928" s="36" t="str">
        <f>IF($C928="","",_xlfn.XLOOKUP($C928,Order!$C:$C,Order!$P:$P,"",0,1))</f>
        <v/>
      </c>
      <c r="L928" s="4" t="str">
        <f t="shared" si="14"/>
        <v/>
      </c>
    </row>
    <row r="929" spans="2:12" ht="23.25" hidden="1" customHeight="1" x14ac:dyDescent="0.25">
      <c r="B929" s="4">
        <v>924</v>
      </c>
      <c r="C929" s="36" t="str">
        <f>IF(Order!$C$250="","",Order!$C$250)</f>
        <v>KP062</v>
      </c>
      <c r="D929" s="36" t="str">
        <f>IF($C929="","",_xlfn.XLOOKUP($C929,Order!$C:$C,Order!$D:$D,"",0,1))</f>
        <v>KP062</v>
      </c>
      <c r="E929" s="4" t="e" vm="433">
        <f>IF($C929="","",_xlfn.XLOOKUP($C929,Order!$C:$C,Order!$E:$E,"",0,1))</f>
        <v>#VALUE!</v>
      </c>
      <c r="F929" s="4">
        <f>IF($C929="","",_xlfn.XLOOKUP($C929,Order!$C:$C,Order!$F:$F,"",0,1))</f>
        <v>6000</v>
      </c>
      <c r="G929" s="4" t="str">
        <f>IF($C929="","",_xlfn.XLOOKUP($C929,Order!$C:$C,Order!$G:$G,"",0,1))</f>
        <v>6063T5</v>
      </c>
      <c r="H929" s="4">
        <f>IF($C929="","",_xlfn.XLOOKUP($C929,Order!$C:$C,Order!$H:$H,"",0,1))</f>
        <v>0.17499999999999999</v>
      </c>
      <c r="I929" s="36">
        <f>IF($C929="","",_xlfn.XLOOKUP($C929,Order!$C:$C,Order!$K:$K,"",0,1))</f>
        <v>0</v>
      </c>
      <c r="J929" s="4" t="str">
        <f>IF(C929="","",Order!$K$16)</f>
        <v>WHITE POWDER COAT (PE/BA)</v>
      </c>
      <c r="K929" s="36">
        <f>IF($C929="","",_xlfn.XLOOKUP($C929,Order!$C:$C,Order!$P:$P,"",0,1))</f>
        <v>0</v>
      </c>
      <c r="L929" s="4">
        <f t="shared" si="14"/>
        <v>0</v>
      </c>
    </row>
    <row r="930" spans="2:12" ht="23.25" hidden="1" customHeight="1" x14ac:dyDescent="0.25">
      <c r="B930" s="4">
        <v>925</v>
      </c>
      <c r="C930" s="36" t="str">
        <f>IF(Order!$C$251="","",Order!$C$251)</f>
        <v>KP063</v>
      </c>
      <c r="D930" s="36" t="str">
        <f>IF($C930="","",_xlfn.XLOOKUP($C930,Order!$C:$C,Order!$D:$D,"",0,1))</f>
        <v>KP063</v>
      </c>
      <c r="E930" s="4" t="e" vm="434">
        <f>IF($C930="","",_xlfn.XLOOKUP($C930,Order!$C:$C,Order!$E:$E,"",0,1))</f>
        <v>#VALUE!</v>
      </c>
      <c r="F930" s="4">
        <f>IF($C930="","",_xlfn.XLOOKUP($C930,Order!$C:$C,Order!$F:$F,"",0,1))</f>
        <v>6000</v>
      </c>
      <c r="G930" s="4" t="str">
        <f>IF($C930="","",_xlfn.XLOOKUP($C930,Order!$C:$C,Order!$G:$G,"",0,1))</f>
        <v>6063T5</v>
      </c>
      <c r="H930" s="4">
        <f>IF($C930="","",_xlfn.XLOOKUP($C930,Order!$C:$C,Order!$H:$H,"",0,1))</f>
        <v>0.30199999999999999</v>
      </c>
      <c r="I930" s="36">
        <f>IF($C930="","",_xlfn.XLOOKUP($C930,Order!$C:$C,Order!$K:$K,"",0,1))</f>
        <v>0</v>
      </c>
      <c r="J930" s="4" t="str">
        <f>IF(C930="","",Order!$K$16)</f>
        <v>WHITE POWDER COAT (PE/BA)</v>
      </c>
      <c r="K930" s="36">
        <f>IF($C930="","",_xlfn.XLOOKUP($C930,Order!$C:$C,Order!$P:$P,"",0,1))</f>
        <v>0</v>
      </c>
      <c r="L930" s="4">
        <f t="shared" si="14"/>
        <v>0</v>
      </c>
    </row>
    <row r="931" spans="2:12" ht="23.25" hidden="1" customHeight="1" x14ac:dyDescent="0.25">
      <c r="B931" s="4">
        <v>926</v>
      </c>
      <c r="C931" s="36" t="str">
        <f>IF(Order!$C$252="","",Order!$C$252)</f>
        <v>KP064</v>
      </c>
      <c r="D931" s="36" t="str">
        <f>IF($C931="","",_xlfn.XLOOKUP($C931,Order!$C:$C,Order!$D:$D,"",0,1))</f>
        <v>KP064</v>
      </c>
      <c r="E931" s="4" t="e" vm="435">
        <f>IF($C931="","",_xlfn.XLOOKUP($C931,Order!$C:$C,Order!$E:$E,"",0,1))</f>
        <v>#VALUE!</v>
      </c>
      <c r="F931" s="4">
        <f>IF($C931="","",_xlfn.XLOOKUP($C931,Order!$C:$C,Order!$F:$F,"",0,1))</f>
        <v>6000</v>
      </c>
      <c r="G931" s="4" t="str">
        <f>IF($C931="","",_xlfn.XLOOKUP($C931,Order!$C:$C,Order!$G:$G,"",0,1))</f>
        <v>6063T5</v>
      </c>
      <c r="H931" s="4">
        <f>IF($C931="","",_xlfn.XLOOKUP($C931,Order!$C:$C,Order!$H:$H,"",0,1))</f>
        <v>0.308</v>
      </c>
      <c r="I931" s="36">
        <f>IF($C931="","",_xlfn.XLOOKUP($C931,Order!$C:$C,Order!$K:$K,"",0,1))</f>
        <v>0</v>
      </c>
      <c r="J931" s="4" t="str">
        <f>IF(C931="","",Order!$K$16)</f>
        <v>WHITE POWDER COAT (PE/BA)</v>
      </c>
      <c r="K931" s="36">
        <f>IF($C931="","",_xlfn.XLOOKUP($C931,Order!$C:$C,Order!$P:$P,"",0,1))</f>
        <v>0</v>
      </c>
      <c r="L931" s="4">
        <f t="shared" si="14"/>
        <v>0</v>
      </c>
    </row>
    <row r="932" spans="2:12" ht="23.25" hidden="1" customHeight="1" x14ac:dyDescent="0.25">
      <c r="B932" s="4">
        <v>927</v>
      </c>
      <c r="C932" s="36" t="str">
        <f>IF(Order!$C$253="","",Order!$C$253)</f>
        <v>DS004</v>
      </c>
      <c r="D932" s="36" t="str">
        <f>IF($C932="","",_xlfn.XLOOKUP($C932,Order!$C:$C,Order!$D:$D,"",0,1))</f>
        <v>DS004</v>
      </c>
      <c r="E932" s="4" t="e" vm="436">
        <f>IF($C932="","",_xlfn.XLOOKUP($C932,Order!$C:$C,Order!$E:$E,"",0,1))</f>
        <v>#VALUE!</v>
      </c>
      <c r="F932" s="4">
        <f>IF($C932="","",_xlfn.XLOOKUP($C932,Order!$C:$C,Order!$F:$F,"",0,1))</f>
        <v>6000</v>
      </c>
      <c r="G932" s="4" t="str">
        <f>IF($C932="","",_xlfn.XLOOKUP($C932,Order!$C:$C,Order!$G:$G,"",0,1))</f>
        <v>6063T5</v>
      </c>
      <c r="H932" s="4">
        <f>IF($C932="","",_xlfn.XLOOKUP($C932,Order!$C:$C,Order!$H:$H,"",0,1))</f>
        <v>0.33200000000000002</v>
      </c>
      <c r="I932" s="36">
        <f>IF($C932="","",_xlfn.XLOOKUP($C932,Order!$C:$C,Order!$K:$K,"",0,1))</f>
        <v>0</v>
      </c>
      <c r="J932" s="4" t="str">
        <f>IF(C932="","",Order!$K$16)</f>
        <v>WHITE POWDER COAT (PE/BA)</v>
      </c>
      <c r="K932" s="36">
        <f>IF($C932="","",_xlfn.XLOOKUP($C932,Order!$C:$C,Order!$P:$P,"",0,1))</f>
        <v>0</v>
      </c>
      <c r="L932" s="4">
        <f t="shared" si="14"/>
        <v>0</v>
      </c>
    </row>
    <row r="933" spans="2:12" ht="23.25" hidden="1" customHeight="1" x14ac:dyDescent="0.25">
      <c r="B933" s="4">
        <v>928</v>
      </c>
      <c r="C933" s="36" t="str">
        <f>IF(Order!$C$254="","",Order!$C$254)</f>
        <v>SU079</v>
      </c>
      <c r="D933" s="36" t="str">
        <f>IF($C933="","",_xlfn.XLOOKUP($C933,Order!$C:$C,Order!$D:$D,"",0,1))</f>
        <v>SU079</v>
      </c>
      <c r="E933" s="4" t="e" vm="437">
        <f>IF($C933="","",_xlfn.XLOOKUP($C933,Order!$C:$C,Order!$E:$E,"",0,1))</f>
        <v>#VALUE!</v>
      </c>
      <c r="F933" s="4">
        <f>IF($C933="","",_xlfn.XLOOKUP($C933,Order!$C:$C,Order!$F:$F,"",0,1))</f>
        <v>6000</v>
      </c>
      <c r="G933" s="4" t="str">
        <f>IF($C933="","",_xlfn.XLOOKUP($C933,Order!$C:$C,Order!$G:$G,"",0,1))</f>
        <v>6063T5</v>
      </c>
      <c r="H933" s="4">
        <f>IF($C933="","",_xlfn.XLOOKUP($C933,Order!$C:$C,Order!$H:$H,"",0,1))</f>
        <v>0.30099999999999999</v>
      </c>
      <c r="I933" s="36">
        <f>IF($C933="","",_xlfn.XLOOKUP($C933,Order!$C:$C,Order!$K:$K,"",0,1))</f>
        <v>0</v>
      </c>
      <c r="J933" s="4" t="str">
        <f>IF(C933="","",Order!$K$16)</f>
        <v>WHITE POWDER COAT (PE/BA)</v>
      </c>
      <c r="K933" s="36">
        <f>IF($C933="","",_xlfn.XLOOKUP($C933,Order!$C:$C,Order!$P:$P,"",0,1))</f>
        <v>0</v>
      </c>
      <c r="L933" s="4">
        <f t="shared" si="14"/>
        <v>0</v>
      </c>
    </row>
    <row r="934" spans="2:12" ht="23.25" hidden="1" customHeight="1" x14ac:dyDescent="0.25">
      <c r="B934" s="4">
        <v>929</v>
      </c>
      <c r="C934" s="36" t="str">
        <f>IF(Order!$C$255="","",Order!$C$255)</f>
        <v>SU086</v>
      </c>
      <c r="D934" s="36" t="str">
        <f>IF($C934="","",_xlfn.XLOOKUP($C934,Order!$C:$C,Order!$D:$D,"",0,1))</f>
        <v>SU086</v>
      </c>
      <c r="E934" s="4" t="e" vm="438">
        <f>IF($C934="","",_xlfn.XLOOKUP($C934,Order!$C:$C,Order!$E:$E,"",0,1))</f>
        <v>#VALUE!</v>
      </c>
      <c r="F934" s="4">
        <f>IF($C934="","",_xlfn.XLOOKUP($C934,Order!$C:$C,Order!$F:$F,"",0,1))</f>
        <v>6000</v>
      </c>
      <c r="G934" s="4" t="str">
        <f>IF($C934="","",_xlfn.XLOOKUP($C934,Order!$C:$C,Order!$G:$G,"",0,1))</f>
        <v>6063T5</v>
      </c>
      <c r="H934" s="4">
        <f>IF($C934="","",_xlfn.XLOOKUP($C934,Order!$C:$C,Order!$H:$H,"",0,1))</f>
        <v>0.57899999999999996</v>
      </c>
      <c r="I934" s="36">
        <f>IF($C934="","",_xlfn.XLOOKUP($C934,Order!$C:$C,Order!$K:$K,"",0,1))</f>
        <v>0</v>
      </c>
      <c r="J934" s="4" t="str">
        <f>IF(C934="","",Order!$K$16)</f>
        <v>WHITE POWDER COAT (PE/BA)</v>
      </c>
      <c r="K934" s="36">
        <f>IF($C934="","",_xlfn.XLOOKUP($C934,Order!$C:$C,Order!$P:$P,"",0,1))</f>
        <v>0</v>
      </c>
      <c r="L934" s="4">
        <f t="shared" si="14"/>
        <v>0</v>
      </c>
    </row>
    <row r="935" spans="2:12" ht="23.25" hidden="1" customHeight="1" x14ac:dyDescent="0.25">
      <c r="B935" s="4">
        <v>930</v>
      </c>
      <c r="C935" s="36" t="str">
        <f>IF(Order!$C$256="","",Order!$C$256)</f>
        <v>SU090</v>
      </c>
      <c r="D935" s="36" t="str">
        <f>IF($C935="","",_xlfn.XLOOKUP($C935,Order!$C:$C,Order!$D:$D,"",0,1))</f>
        <v>SU090</v>
      </c>
      <c r="E935" s="4" t="e" vm="439">
        <f>IF($C935="","",_xlfn.XLOOKUP($C935,Order!$C:$C,Order!$E:$E,"",0,1))</f>
        <v>#VALUE!</v>
      </c>
      <c r="F935" s="4">
        <f>IF($C935="","",_xlfn.XLOOKUP($C935,Order!$C:$C,Order!$F:$F,"",0,1))</f>
        <v>6000</v>
      </c>
      <c r="G935" s="4" t="str">
        <f>IF($C935="","",_xlfn.XLOOKUP($C935,Order!$C:$C,Order!$G:$G,"",0,1))</f>
        <v>6063T5</v>
      </c>
      <c r="H935" s="4">
        <f>IF($C935="","",_xlfn.XLOOKUP($C935,Order!$C:$C,Order!$H:$H,"",0,1))</f>
        <v>0.48399999999999999</v>
      </c>
      <c r="I935" s="36">
        <f>IF($C935="","",_xlfn.XLOOKUP($C935,Order!$C:$C,Order!$K:$K,"",0,1))</f>
        <v>0</v>
      </c>
      <c r="J935" s="4" t="str">
        <f>IF(C935="","",Order!$K$16)</f>
        <v>WHITE POWDER COAT (PE/BA)</v>
      </c>
      <c r="K935" s="36">
        <f>IF($C935="","",_xlfn.XLOOKUP($C935,Order!$C:$C,Order!$P:$P,"",0,1))</f>
        <v>0</v>
      </c>
      <c r="L935" s="4">
        <f t="shared" si="14"/>
        <v>0</v>
      </c>
    </row>
    <row r="936" spans="2:12" ht="23.25" hidden="1" customHeight="1" x14ac:dyDescent="0.25">
      <c r="B936" s="4">
        <v>931</v>
      </c>
      <c r="C936" s="36" t="str">
        <f>IF(Order!$C$257="","",Order!$C$257)</f>
        <v>SU091</v>
      </c>
      <c r="D936" s="36" t="str">
        <f>IF($C936="","",_xlfn.XLOOKUP($C936,Order!$C:$C,Order!$D:$D,"",0,1))</f>
        <v>SU091</v>
      </c>
      <c r="E936" s="4" t="e" vm="440">
        <f>IF($C936="","",_xlfn.XLOOKUP($C936,Order!$C:$C,Order!$E:$E,"",0,1))</f>
        <v>#VALUE!</v>
      </c>
      <c r="F936" s="4">
        <f>IF($C936="","",_xlfn.XLOOKUP($C936,Order!$C:$C,Order!$F:$F,"",0,1))</f>
        <v>6000</v>
      </c>
      <c r="G936" s="4" t="str">
        <f>IF($C936="","",_xlfn.XLOOKUP($C936,Order!$C:$C,Order!$G:$G,"",0,1))</f>
        <v>6063T5</v>
      </c>
      <c r="H936" s="4">
        <f>IF($C936="","",_xlfn.XLOOKUP($C936,Order!$C:$C,Order!$H:$H,"",0,1))</f>
        <v>0.42699999999999999</v>
      </c>
      <c r="I936" s="36">
        <f>IF($C936="","",_xlfn.XLOOKUP($C936,Order!$C:$C,Order!$K:$K,"",0,1))</f>
        <v>0</v>
      </c>
      <c r="J936" s="4" t="str">
        <f>IF(C936="","",Order!$K$16)</f>
        <v>WHITE POWDER COAT (PE/BA)</v>
      </c>
      <c r="K936" s="36">
        <f>IF($C936="","",_xlfn.XLOOKUP($C936,Order!$C:$C,Order!$P:$P,"",0,1))</f>
        <v>0</v>
      </c>
      <c r="L936" s="4">
        <f t="shared" si="14"/>
        <v>0</v>
      </c>
    </row>
    <row r="937" spans="2:12" ht="23.25" hidden="1" customHeight="1" x14ac:dyDescent="0.25">
      <c r="B937" s="4">
        <v>932</v>
      </c>
      <c r="C937" s="36" t="str">
        <f>IF(Order!$C$258="","",Order!$C$258)</f>
        <v>SU103</v>
      </c>
      <c r="D937" s="36" t="str">
        <f>IF($C937="","",_xlfn.XLOOKUP($C937,Order!$C:$C,Order!$D:$D,"",0,1))</f>
        <v>SU103</v>
      </c>
      <c r="E937" s="4" t="e" vm="441">
        <f>IF($C937="","",_xlfn.XLOOKUP($C937,Order!$C:$C,Order!$E:$E,"",0,1))</f>
        <v>#VALUE!</v>
      </c>
      <c r="F937" s="4">
        <f>IF($C937="","",_xlfn.XLOOKUP($C937,Order!$C:$C,Order!$F:$F,"",0,1))</f>
        <v>6000</v>
      </c>
      <c r="G937" s="4" t="str">
        <f>IF($C937="","",_xlfn.XLOOKUP($C937,Order!$C:$C,Order!$G:$G,"",0,1))</f>
        <v>6063T5</v>
      </c>
      <c r="H937" s="4">
        <f>IF($C937="","",_xlfn.XLOOKUP($C937,Order!$C:$C,Order!$H:$H,"",0,1))</f>
        <v>0.14299999999999999</v>
      </c>
      <c r="I937" s="36">
        <f>IF($C937="","",_xlfn.XLOOKUP($C937,Order!$C:$C,Order!$K:$K,"",0,1))</f>
        <v>0</v>
      </c>
      <c r="J937" s="4" t="str">
        <f>IF(C937="","",Order!$K$16)</f>
        <v>WHITE POWDER COAT (PE/BA)</v>
      </c>
      <c r="K937" s="36">
        <f>IF($C937="","",_xlfn.XLOOKUP($C937,Order!$C:$C,Order!$P:$P,"",0,1))</f>
        <v>0</v>
      </c>
      <c r="L937" s="4">
        <f t="shared" si="14"/>
        <v>0</v>
      </c>
    </row>
    <row r="938" spans="2:12" ht="23.25" hidden="1" customHeight="1" x14ac:dyDescent="0.25">
      <c r="B938" s="4">
        <v>933</v>
      </c>
      <c r="C938" s="36" t="str">
        <f>IF(Order!$C$259="","",Order!$C$259)</f>
        <v>SU276</v>
      </c>
      <c r="D938" s="36" t="str">
        <f>IF($C938="","",_xlfn.XLOOKUP($C938,Order!$C:$C,Order!$D:$D,"",0,1))</f>
        <v>SU276</v>
      </c>
      <c r="E938" s="4" t="e" vm="442">
        <f>IF($C938="","",_xlfn.XLOOKUP($C938,Order!$C:$C,Order!$E:$E,"",0,1))</f>
        <v>#VALUE!</v>
      </c>
      <c r="F938" s="4">
        <f>IF($C938="","",_xlfn.XLOOKUP($C938,Order!$C:$C,Order!$F:$F,"",0,1))</f>
        <v>6000</v>
      </c>
      <c r="G938" s="4" t="str">
        <f>IF($C938="","",_xlfn.XLOOKUP($C938,Order!$C:$C,Order!$G:$G,"",0,1))</f>
        <v>6063T5</v>
      </c>
      <c r="H938" s="4">
        <f>IF($C938="","",_xlfn.XLOOKUP($C938,Order!$C:$C,Order!$H:$H,"",0,1))</f>
        <v>0.17199999999999999</v>
      </c>
      <c r="I938" s="36">
        <f>IF($C938="","",_xlfn.XLOOKUP($C938,Order!$C:$C,Order!$K:$K,"",0,1))</f>
        <v>0</v>
      </c>
      <c r="J938" s="4" t="str">
        <f>IF(C938="","",Order!$K$16)</f>
        <v>WHITE POWDER COAT (PE/BA)</v>
      </c>
      <c r="K938" s="36">
        <f>IF($C938="","",_xlfn.XLOOKUP($C938,Order!$C:$C,Order!$P:$P,"",0,1))</f>
        <v>0</v>
      </c>
      <c r="L938" s="4">
        <f t="shared" si="14"/>
        <v>0</v>
      </c>
    </row>
    <row r="939" spans="2:12" ht="23.25" hidden="1" customHeight="1" x14ac:dyDescent="0.25">
      <c r="B939" s="4">
        <v>934</v>
      </c>
      <c r="C939" s="36" t="str">
        <f>IF(Order!$C$260="","",Order!$C$260)</f>
        <v>SU302</v>
      </c>
      <c r="D939" s="36" t="str">
        <f>IF($C939="","",_xlfn.XLOOKUP($C939,Order!$C:$C,Order!$D:$D,"",0,1))</f>
        <v>SU302</v>
      </c>
      <c r="E939" s="4" t="e" vm="443">
        <f>IF($C939="","",_xlfn.XLOOKUP($C939,Order!$C:$C,Order!$E:$E,"",0,1))</f>
        <v>#VALUE!</v>
      </c>
      <c r="F939" s="4">
        <f>IF($C939="","",_xlfn.XLOOKUP($C939,Order!$C:$C,Order!$F:$F,"",0,1))</f>
        <v>6000</v>
      </c>
      <c r="G939" s="4" t="str">
        <f>IF($C939="","",_xlfn.XLOOKUP($C939,Order!$C:$C,Order!$G:$G,"",0,1))</f>
        <v>6063T5</v>
      </c>
      <c r="H939" s="4">
        <f>IF($C939="","",_xlfn.XLOOKUP($C939,Order!$C:$C,Order!$H:$H,"",0,1))</f>
        <v>0.22700000000000001</v>
      </c>
      <c r="I939" s="36">
        <f>IF($C939="","",_xlfn.XLOOKUP($C939,Order!$C:$C,Order!$K:$K,"",0,1))</f>
        <v>0</v>
      </c>
      <c r="J939" s="4" t="str">
        <f>IF(C939="","",Order!$K$16)</f>
        <v>WHITE POWDER COAT (PE/BA)</v>
      </c>
      <c r="K939" s="36">
        <f>IF($C939="","",_xlfn.XLOOKUP($C939,Order!$C:$C,Order!$P:$P,"",0,1))</f>
        <v>0</v>
      </c>
      <c r="L939" s="4">
        <f t="shared" si="14"/>
        <v>0</v>
      </c>
    </row>
    <row r="940" spans="2:12" ht="23.25" hidden="1" customHeight="1" x14ac:dyDescent="0.25">
      <c r="B940" s="4">
        <v>935</v>
      </c>
      <c r="C940" s="36" t="str">
        <f>IF(Order!$C$261="","",Order!$C$261)</f>
        <v>SU779</v>
      </c>
      <c r="D940" s="36" t="str">
        <f>IF($C940="","",_xlfn.XLOOKUP($C940,Order!$C:$C,Order!$D:$D,"",0,1))</f>
        <v>SU779</v>
      </c>
      <c r="E940" s="4" t="e" vm="444">
        <f>IF($C940="","",_xlfn.XLOOKUP($C940,Order!$C:$C,Order!$E:$E,"",0,1))</f>
        <v>#VALUE!</v>
      </c>
      <c r="F940" s="4">
        <f>IF($C940="","",_xlfn.XLOOKUP($C940,Order!$C:$C,Order!$F:$F,"",0,1))</f>
        <v>6000</v>
      </c>
      <c r="G940" s="4" t="str">
        <f>IF($C940="","",_xlfn.XLOOKUP($C940,Order!$C:$C,Order!$G:$G,"",0,1))</f>
        <v>6063T5</v>
      </c>
      <c r="H940" s="4">
        <f>IF($C940="","",_xlfn.XLOOKUP($C940,Order!$C:$C,Order!$H:$H,"",0,1))</f>
        <v>0.378</v>
      </c>
      <c r="I940" s="36">
        <f>IF($C940="","",_xlfn.XLOOKUP($C940,Order!$C:$C,Order!$K:$K,"",0,1))</f>
        <v>0</v>
      </c>
      <c r="J940" s="4" t="str">
        <f>IF(C940="","",Order!$K$16)</f>
        <v>WHITE POWDER COAT (PE/BA)</v>
      </c>
      <c r="K940" s="36">
        <f>IF($C940="","",_xlfn.XLOOKUP($C940,Order!$C:$C,Order!$P:$P,"",0,1))</f>
        <v>0</v>
      </c>
      <c r="L940" s="4">
        <f t="shared" si="14"/>
        <v>0</v>
      </c>
    </row>
    <row r="941" spans="2:12" ht="23.25" hidden="1" customHeight="1" x14ac:dyDescent="0.25">
      <c r="B941" s="4">
        <v>936</v>
      </c>
      <c r="C941" s="36" t="str">
        <f>IF(Order!$C$262="","",Order!$C$262)</f>
        <v>SU004</v>
      </c>
      <c r="D941" s="36" t="str">
        <f>IF($C941="","",_xlfn.XLOOKUP($C941,Order!$C:$C,Order!$D:$D,"",0,1))</f>
        <v>SU004</v>
      </c>
      <c r="E941" s="4" t="e" vm="445">
        <f>IF($C941="","",_xlfn.XLOOKUP($C941,Order!$C:$C,Order!$E:$E,"",0,1))</f>
        <v>#VALUE!</v>
      </c>
      <c r="F941" s="4">
        <f>IF($C941="","",_xlfn.XLOOKUP($C941,Order!$C:$C,Order!$F:$F,"",0,1))</f>
        <v>6000</v>
      </c>
      <c r="G941" s="4" t="str">
        <f>IF($C941="","",_xlfn.XLOOKUP($C941,Order!$C:$C,Order!$G:$G,"",0,1))</f>
        <v>6063T5</v>
      </c>
      <c r="H941" s="4">
        <f>IF($C941="","",_xlfn.XLOOKUP($C941,Order!$C:$C,Order!$H:$H,"",0,1))</f>
        <v>0.47799999999999998</v>
      </c>
      <c r="I941" s="36">
        <f>IF($C941="","",_xlfn.XLOOKUP($C941,Order!$C:$C,Order!$K:$K,"",0,1))</f>
        <v>0</v>
      </c>
      <c r="J941" s="4" t="str">
        <f>IF(C941="","",Order!$K$16)</f>
        <v>WHITE POWDER COAT (PE/BA)</v>
      </c>
      <c r="K941" s="36">
        <f>IF($C941="","",_xlfn.XLOOKUP($C941,Order!$C:$C,Order!$P:$P,"",0,1))</f>
        <v>0</v>
      </c>
      <c r="L941" s="4">
        <f t="shared" si="14"/>
        <v>0</v>
      </c>
    </row>
    <row r="942" spans="2:12" ht="23.25" hidden="1" customHeight="1" x14ac:dyDescent="0.25">
      <c r="B942" s="4">
        <v>937</v>
      </c>
      <c r="C942" s="36" t="str">
        <f>IF(Order!$C$263="","",Order!$C$263)</f>
        <v>SU005</v>
      </c>
      <c r="D942" s="36" t="str">
        <f>IF($C942="","",_xlfn.XLOOKUP($C942,Order!$C:$C,Order!$D:$D,"",0,1))</f>
        <v>SU005</v>
      </c>
      <c r="E942" s="4" t="e" vm="446">
        <f>IF($C942="","",_xlfn.XLOOKUP($C942,Order!$C:$C,Order!$E:$E,"",0,1))</f>
        <v>#VALUE!</v>
      </c>
      <c r="F942" s="4">
        <f>IF($C942="","",_xlfn.XLOOKUP($C942,Order!$C:$C,Order!$F:$F,"",0,1))</f>
        <v>6000</v>
      </c>
      <c r="G942" s="4" t="str">
        <f>IF($C942="","",_xlfn.XLOOKUP($C942,Order!$C:$C,Order!$G:$G,"",0,1))</f>
        <v>6063T5</v>
      </c>
      <c r="H942" s="4">
        <f>IF($C942="","",_xlfn.XLOOKUP($C942,Order!$C:$C,Order!$H:$H,"",0,1))</f>
        <v>1.012</v>
      </c>
      <c r="I942" s="36">
        <f>IF($C942="","",_xlfn.XLOOKUP($C942,Order!$C:$C,Order!$K:$K,"",0,1))</f>
        <v>0</v>
      </c>
      <c r="J942" s="4" t="str">
        <f>IF(C942="","",Order!$K$16)</f>
        <v>WHITE POWDER COAT (PE/BA)</v>
      </c>
      <c r="K942" s="36">
        <f>IF($C942="","",_xlfn.XLOOKUP($C942,Order!$C:$C,Order!$P:$P,"",0,1))</f>
        <v>0</v>
      </c>
      <c r="L942" s="4">
        <f t="shared" si="14"/>
        <v>0</v>
      </c>
    </row>
    <row r="943" spans="2:12" ht="23.25" hidden="1" customHeight="1" x14ac:dyDescent="0.25">
      <c r="B943" s="4">
        <v>938</v>
      </c>
      <c r="C943" s="36" t="str">
        <f>IF(Order!$C$264="","",Order!$C$264)</f>
        <v>SU006</v>
      </c>
      <c r="D943" s="36" t="str">
        <f>IF($C943="","",_xlfn.XLOOKUP($C943,Order!$C:$C,Order!$D:$D,"",0,1))</f>
        <v>SU006</v>
      </c>
      <c r="E943" s="4" t="e" vm="447">
        <f>IF($C943="","",_xlfn.XLOOKUP($C943,Order!$C:$C,Order!$E:$E,"",0,1))</f>
        <v>#VALUE!</v>
      </c>
      <c r="F943" s="4">
        <f>IF($C943="","",_xlfn.XLOOKUP($C943,Order!$C:$C,Order!$F:$F,"",0,1))</f>
        <v>6000</v>
      </c>
      <c r="G943" s="4" t="str">
        <f>IF($C943="","",_xlfn.XLOOKUP($C943,Order!$C:$C,Order!$G:$G,"",0,1))</f>
        <v>6063T5</v>
      </c>
      <c r="H943" s="4">
        <f>IF($C943="","",_xlfn.XLOOKUP($C943,Order!$C:$C,Order!$H:$H,"",0,1))</f>
        <v>0.98399999999999999</v>
      </c>
      <c r="I943" s="36">
        <f>IF($C943="","",_xlfn.XLOOKUP($C943,Order!$C:$C,Order!$K:$K,"",0,1))</f>
        <v>0</v>
      </c>
      <c r="J943" s="4" t="str">
        <f>IF(C943="","",Order!$K$16)</f>
        <v>WHITE POWDER COAT (PE/BA)</v>
      </c>
      <c r="K943" s="36">
        <f>IF($C943="","",_xlfn.XLOOKUP($C943,Order!$C:$C,Order!$P:$P,"",0,1))</f>
        <v>0</v>
      </c>
      <c r="L943" s="4">
        <f t="shared" si="14"/>
        <v>0</v>
      </c>
    </row>
    <row r="944" spans="2:12" ht="23.25" hidden="1" customHeight="1" x14ac:dyDescent="0.25">
      <c r="B944" s="4">
        <v>939</v>
      </c>
      <c r="C944" s="36" t="str">
        <f>IF(Order!$C$265="","",Order!$C$265)</f>
        <v>SU007</v>
      </c>
      <c r="D944" s="36" t="str">
        <f>IF($C944="","",_xlfn.XLOOKUP($C944,Order!$C:$C,Order!$D:$D,"",0,1))</f>
        <v>SU007</v>
      </c>
      <c r="E944" s="4" t="e" vm="448">
        <f>IF($C944="","",_xlfn.XLOOKUP($C944,Order!$C:$C,Order!$E:$E,"",0,1))</f>
        <v>#VALUE!</v>
      </c>
      <c r="F944" s="4">
        <f>IF($C944="","",_xlfn.XLOOKUP($C944,Order!$C:$C,Order!$F:$F,"",0,1))</f>
        <v>6000</v>
      </c>
      <c r="G944" s="4" t="str">
        <f>IF($C944="","",_xlfn.XLOOKUP($C944,Order!$C:$C,Order!$G:$G,"",0,1))</f>
        <v>6063T5</v>
      </c>
      <c r="H944" s="4">
        <f>IF($C944="","",_xlfn.XLOOKUP($C944,Order!$C:$C,Order!$H:$H,"",0,1))</f>
        <v>0.38100000000000001</v>
      </c>
      <c r="I944" s="36">
        <f>IF($C944="","",_xlfn.XLOOKUP($C944,Order!$C:$C,Order!$K:$K,"",0,1))</f>
        <v>0</v>
      </c>
      <c r="J944" s="4" t="str">
        <f>IF(C944="","",Order!$K$16)</f>
        <v>WHITE POWDER COAT (PE/BA)</v>
      </c>
      <c r="K944" s="36">
        <f>IF($C944="","",_xlfn.XLOOKUP($C944,Order!$C:$C,Order!$P:$P,"",0,1))</f>
        <v>0</v>
      </c>
      <c r="L944" s="4">
        <f t="shared" si="14"/>
        <v>0</v>
      </c>
    </row>
    <row r="945" spans="2:12" ht="23.25" hidden="1" customHeight="1" x14ac:dyDescent="0.25">
      <c r="B945" s="4">
        <v>940</v>
      </c>
      <c r="C945" s="36" t="str">
        <f>IF(Order!$C$266="","",Order!$C$266)</f>
        <v>SU009</v>
      </c>
      <c r="D945" s="36" t="str">
        <f>IF($C945="","",_xlfn.XLOOKUP($C945,Order!$C:$C,Order!$D:$D,"",0,1))</f>
        <v>SU009</v>
      </c>
      <c r="E945" s="4" t="e" vm="449">
        <f>IF($C945="","",_xlfn.XLOOKUP($C945,Order!$C:$C,Order!$E:$E,"",0,1))</f>
        <v>#VALUE!</v>
      </c>
      <c r="F945" s="4">
        <f>IF($C945="","",_xlfn.XLOOKUP($C945,Order!$C:$C,Order!$F:$F,"",0,1))</f>
        <v>6000</v>
      </c>
      <c r="G945" s="4" t="str">
        <f>IF($C945="","",_xlfn.XLOOKUP($C945,Order!$C:$C,Order!$G:$G,"",0,1))</f>
        <v>6063T5</v>
      </c>
      <c r="H945" s="4">
        <f>IF($C945="","",_xlfn.XLOOKUP($C945,Order!$C:$C,Order!$H:$H,"",0,1))</f>
        <v>1.0669999999999999</v>
      </c>
      <c r="I945" s="36">
        <f>IF($C945="","",_xlfn.XLOOKUP($C945,Order!$C:$C,Order!$K:$K,"",0,1))</f>
        <v>0</v>
      </c>
      <c r="J945" s="4" t="str">
        <f>IF(C945="","",Order!$K$16)</f>
        <v>WHITE POWDER COAT (PE/BA)</v>
      </c>
      <c r="K945" s="36">
        <f>IF($C945="","",_xlfn.XLOOKUP($C945,Order!$C:$C,Order!$P:$P,"",0,1))</f>
        <v>0</v>
      </c>
      <c r="L945" s="4">
        <f t="shared" si="14"/>
        <v>0</v>
      </c>
    </row>
    <row r="946" spans="2:12" ht="23.25" hidden="1" customHeight="1" x14ac:dyDescent="0.25">
      <c r="B946" s="4">
        <v>941</v>
      </c>
      <c r="C946" s="36" t="str">
        <f>IF(Order!$C$267="","",Order!$C$267)</f>
        <v>SU010</v>
      </c>
      <c r="D946" s="36" t="str">
        <f>IF($C946="","",_xlfn.XLOOKUP($C946,Order!$C:$C,Order!$D:$D,"",0,1))</f>
        <v>SU010</v>
      </c>
      <c r="E946" s="4" t="e" vm="450">
        <f>IF($C946="","",_xlfn.XLOOKUP($C946,Order!$C:$C,Order!$E:$E,"",0,1))</f>
        <v>#VALUE!</v>
      </c>
      <c r="F946" s="4">
        <f>IF($C946="","",_xlfn.XLOOKUP($C946,Order!$C:$C,Order!$F:$F,"",0,1))</f>
        <v>6000</v>
      </c>
      <c r="G946" s="4" t="str">
        <f>IF($C946="","",_xlfn.XLOOKUP($C946,Order!$C:$C,Order!$G:$G,"",0,1))</f>
        <v>6063T5</v>
      </c>
      <c r="H946" s="4">
        <f>IF($C946="","",_xlfn.XLOOKUP($C946,Order!$C:$C,Order!$H:$H,"",0,1))</f>
        <v>1.0349999999999999</v>
      </c>
      <c r="I946" s="36">
        <f>IF($C946="","",_xlfn.XLOOKUP($C946,Order!$C:$C,Order!$K:$K,"",0,1))</f>
        <v>0</v>
      </c>
      <c r="J946" s="4" t="str">
        <f>IF(C946="","",Order!$K$16)</f>
        <v>WHITE POWDER COAT (PE/BA)</v>
      </c>
      <c r="K946" s="36">
        <f>IF($C946="","",_xlfn.XLOOKUP($C946,Order!$C:$C,Order!$P:$P,"",0,1))</f>
        <v>0</v>
      </c>
      <c r="L946" s="4">
        <f t="shared" si="14"/>
        <v>0</v>
      </c>
    </row>
    <row r="947" spans="2:12" ht="23.25" hidden="1" customHeight="1" x14ac:dyDescent="0.25">
      <c r="B947" s="4">
        <v>942</v>
      </c>
      <c r="C947" s="36" t="str">
        <f>IF(Order!$C$268="","",Order!$C$268)</f>
        <v>SU011</v>
      </c>
      <c r="D947" s="36" t="str">
        <f>IF($C947="","",_xlfn.XLOOKUP($C947,Order!$C:$C,Order!$D:$D,"",0,1))</f>
        <v>SU011</v>
      </c>
      <c r="E947" s="4" t="e" vm="451">
        <f>IF($C947="","",_xlfn.XLOOKUP($C947,Order!$C:$C,Order!$E:$E,"",0,1))</f>
        <v>#VALUE!</v>
      </c>
      <c r="F947" s="4">
        <f>IF($C947="","",_xlfn.XLOOKUP($C947,Order!$C:$C,Order!$F:$F,"",0,1))</f>
        <v>6000</v>
      </c>
      <c r="G947" s="4" t="str">
        <f>IF($C947="","",_xlfn.XLOOKUP($C947,Order!$C:$C,Order!$G:$G,"",0,1))</f>
        <v>6063T5</v>
      </c>
      <c r="H947" s="4">
        <f>IF($C947="","",_xlfn.XLOOKUP($C947,Order!$C:$C,Order!$H:$H,"",0,1))</f>
        <v>0.97299999999999998</v>
      </c>
      <c r="I947" s="36">
        <f>IF($C947="","",_xlfn.XLOOKUP($C947,Order!$C:$C,Order!$K:$K,"",0,1))</f>
        <v>0</v>
      </c>
      <c r="J947" s="4" t="str">
        <f>IF(C947="","",Order!$K$16)</f>
        <v>WHITE POWDER COAT (PE/BA)</v>
      </c>
      <c r="K947" s="36">
        <f>IF($C947="","",_xlfn.XLOOKUP($C947,Order!$C:$C,Order!$P:$P,"",0,1))</f>
        <v>0</v>
      </c>
      <c r="L947" s="4">
        <f t="shared" si="14"/>
        <v>0</v>
      </c>
    </row>
    <row r="948" spans="2:12" ht="23.25" hidden="1" customHeight="1" x14ac:dyDescent="0.25">
      <c r="B948" s="4">
        <v>943</v>
      </c>
      <c r="C948" s="36" t="str">
        <f>IF(Order!$C$269="","",Order!$C$269)</f>
        <v>SU012</v>
      </c>
      <c r="D948" s="36" t="str">
        <f>IF($C948="","",_xlfn.XLOOKUP($C948,Order!$C:$C,Order!$D:$D,"",0,1))</f>
        <v>SU012</v>
      </c>
      <c r="E948" s="4" t="e" vm="452">
        <f>IF($C948="","",_xlfn.XLOOKUP($C948,Order!$C:$C,Order!$E:$E,"",0,1))</f>
        <v>#VALUE!</v>
      </c>
      <c r="F948" s="4">
        <f>IF($C948="","",_xlfn.XLOOKUP($C948,Order!$C:$C,Order!$F:$F,"",0,1))</f>
        <v>6000</v>
      </c>
      <c r="G948" s="4" t="str">
        <f>IF($C948="","",_xlfn.XLOOKUP($C948,Order!$C:$C,Order!$G:$G,"",0,1))</f>
        <v>6063T5</v>
      </c>
      <c r="H948" s="4">
        <f>IF($C948="","",_xlfn.XLOOKUP($C948,Order!$C:$C,Order!$H:$H,"",0,1))</f>
        <v>0.47499999999999998</v>
      </c>
      <c r="I948" s="36">
        <f>IF($C948="","",_xlfn.XLOOKUP($C948,Order!$C:$C,Order!$K:$K,"",0,1))</f>
        <v>0</v>
      </c>
      <c r="J948" s="4" t="str">
        <f>IF(C948="","",Order!$K$16)</f>
        <v>WHITE POWDER COAT (PE/BA)</v>
      </c>
      <c r="K948" s="36">
        <f>IF($C948="","",_xlfn.XLOOKUP($C948,Order!$C:$C,Order!$P:$P,"",0,1))</f>
        <v>0</v>
      </c>
      <c r="L948" s="4">
        <f t="shared" si="14"/>
        <v>0</v>
      </c>
    </row>
    <row r="949" spans="2:12" ht="23.25" hidden="1" customHeight="1" x14ac:dyDescent="0.25">
      <c r="B949" s="4">
        <v>944</v>
      </c>
      <c r="C949" s="36" t="str">
        <f>IF(Order!$C$270="","",Order!$C$270)</f>
        <v>SU121</v>
      </c>
      <c r="D949" s="36" t="str">
        <f>IF($C949="","",_xlfn.XLOOKUP($C949,Order!$C:$C,Order!$D:$D,"",0,1))</f>
        <v>SU121</v>
      </c>
      <c r="E949" s="4" t="e" vm="453">
        <f>IF($C949="","",_xlfn.XLOOKUP($C949,Order!$C:$C,Order!$E:$E,"",0,1))</f>
        <v>#VALUE!</v>
      </c>
      <c r="F949" s="4">
        <f>IF($C949="","",_xlfn.XLOOKUP($C949,Order!$C:$C,Order!$F:$F,"",0,1))</f>
        <v>6000</v>
      </c>
      <c r="G949" s="4" t="str">
        <f>IF($C949="","",_xlfn.XLOOKUP($C949,Order!$C:$C,Order!$G:$G,"",0,1))</f>
        <v>6063T5</v>
      </c>
      <c r="H949" s="4">
        <f>IF($C949="","",_xlfn.XLOOKUP($C949,Order!$C:$C,Order!$H:$H,"",0,1))</f>
        <v>1.423</v>
      </c>
      <c r="I949" s="36">
        <f>IF($C949="","",_xlfn.XLOOKUP($C949,Order!$C:$C,Order!$K:$K,"",0,1))</f>
        <v>0</v>
      </c>
      <c r="J949" s="4" t="str">
        <f>IF(C949="","",Order!$K$16)</f>
        <v>WHITE POWDER COAT (PE/BA)</v>
      </c>
      <c r="K949" s="36">
        <f>IF($C949="","",_xlfn.XLOOKUP($C949,Order!$C:$C,Order!$P:$P,"",0,1))</f>
        <v>0</v>
      </c>
      <c r="L949" s="4">
        <f t="shared" si="14"/>
        <v>0</v>
      </c>
    </row>
    <row r="950" spans="2:12" ht="23.25" hidden="1" customHeight="1" x14ac:dyDescent="0.25">
      <c r="B950" s="4">
        <v>945</v>
      </c>
      <c r="C950" s="36" t="str">
        <f>IF(Order!$C$271="","",Order!$C$271)</f>
        <v>SU122</v>
      </c>
      <c r="D950" s="36" t="str">
        <f>IF($C950="","",_xlfn.XLOOKUP($C950,Order!$C:$C,Order!$D:$D,"",0,1))</f>
        <v>SU122</v>
      </c>
      <c r="E950" s="4" t="e" vm="454">
        <f>IF($C950="","",_xlfn.XLOOKUP($C950,Order!$C:$C,Order!$E:$E,"",0,1))</f>
        <v>#VALUE!</v>
      </c>
      <c r="F950" s="4">
        <f>IF($C950="","",_xlfn.XLOOKUP($C950,Order!$C:$C,Order!$F:$F,"",0,1))</f>
        <v>6000</v>
      </c>
      <c r="G950" s="4" t="str">
        <f>IF($C950="","",_xlfn.XLOOKUP($C950,Order!$C:$C,Order!$G:$G,"",0,1))</f>
        <v>6063T5</v>
      </c>
      <c r="H950" s="4">
        <f>IF($C950="","",_xlfn.XLOOKUP($C950,Order!$C:$C,Order!$H:$H,"",0,1))</f>
        <v>1.46</v>
      </c>
      <c r="I950" s="36">
        <f>IF($C950="","",_xlfn.XLOOKUP($C950,Order!$C:$C,Order!$K:$K,"",0,1))</f>
        <v>0</v>
      </c>
      <c r="J950" s="4" t="str">
        <f>IF(C950="","",Order!$K$16)</f>
        <v>WHITE POWDER COAT (PE/BA)</v>
      </c>
      <c r="K950" s="36">
        <f>IF($C950="","",_xlfn.XLOOKUP($C950,Order!$C:$C,Order!$P:$P,"",0,1))</f>
        <v>0</v>
      </c>
      <c r="L950" s="4">
        <f t="shared" si="14"/>
        <v>0</v>
      </c>
    </row>
    <row r="951" spans="2:12" ht="23.25" hidden="1" customHeight="1" x14ac:dyDescent="0.25">
      <c r="B951" s="4">
        <v>946</v>
      </c>
      <c r="C951" s="36" t="str">
        <f>IF(Order!$C$272="","",Order!$C$272)</f>
        <v>SU123</v>
      </c>
      <c r="D951" s="36" t="str">
        <f>IF($C951="","",_xlfn.XLOOKUP($C951,Order!$C:$C,Order!$D:$D,"",0,1))</f>
        <v>SU123</v>
      </c>
      <c r="E951" s="4" t="e" vm="455">
        <f>IF($C951="","",_xlfn.XLOOKUP($C951,Order!$C:$C,Order!$E:$E,"",0,1))</f>
        <v>#VALUE!</v>
      </c>
      <c r="F951" s="4">
        <f>IF($C951="","",_xlfn.XLOOKUP($C951,Order!$C:$C,Order!$F:$F,"",0,1))</f>
        <v>6000</v>
      </c>
      <c r="G951" s="4" t="str">
        <f>IF($C951="","",_xlfn.XLOOKUP($C951,Order!$C:$C,Order!$G:$G,"",0,1))</f>
        <v>6063T5</v>
      </c>
      <c r="H951" s="4">
        <f>IF($C951="","",_xlfn.XLOOKUP($C951,Order!$C:$C,Order!$H:$H,"",0,1))</f>
        <v>0.84799999999999998</v>
      </c>
      <c r="I951" s="36">
        <f>IF($C951="","",_xlfn.XLOOKUP($C951,Order!$C:$C,Order!$K:$K,"",0,1))</f>
        <v>0</v>
      </c>
      <c r="J951" s="4" t="str">
        <f>IF(C951="","",Order!$K$16)</f>
        <v>WHITE POWDER COAT (PE/BA)</v>
      </c>
      <c r="K951" s="36">
        <f>IF($C951="","",_xlfn.XLOOKUP($C951,Order!$C:$C,Order!$P:$P,"",0,1))</f>
        <v>0</v>
      </c>
      <c r="L951" s="4">
        <f t="shared" si="14"/>
        <v>0</v>
      </c>
    </row>
    <row r="952" spans="2:12" ht="23.25" hidden="1" customHeight="1" x14ac:dyDescent="0.25">
      <c r="B952" s="4">
        <v>947</v>
      </c>
      <c r="C952" s="36" t="str">
        <f>IF(Order!$C$273="","",Order!$C$273)</f>
        <v>SU230</v>
      </c>
      <c r="D952" s="36" t="str">
        <f>IF($C952="","",_xlfn.XLOOKUP($C952,Order!$C:$C,Order!$D:$D,"",0,1))</f>
        <v>SU230</v>
      </c>
      <c r="E952" s="4" t="e" vm="456">
        <f>IF($C952="","",_xlfn.XLOOKUP($C952,Order!$C:$C,Order!$E:$E,"",0,1))</f>
        <v>#VALUE!</v>
      </c>
      <c r="F952" s="4">
        <f>IF($C952="","",_xlfn.XLOOKUP($C952,Order!$C:$C,Order!$F:$F,"",0,1))</f>
        <v>6000</v>
      </c>
      <c r="G952" s="4" t="str">
        <f>IF($C952="","",_xlfn.XLOOKUP($C952,Order!$C:$C,Order!$G:$G,"",0,1))</f>
        <v>6063T5</v>
      </c>
      <c r="H952" s="4">
        <f>IF($C952="","",_xlfn.XLOOKUP($C952,Order!$C:$C,Order!$H:$H,"",0,1))</f>
        <v>0.88100000000000001</v>
      </c>
      <c r="I952" s="36">
        <f>IF($C952="","",_xlfn.XLOOKUP($C952,Order!$C:$C,Order!$K:$K,"",0,1))</f>
        <v>0</v>
      </c>
      <c r="J952" s="4" t="str">
        <f>IF(C952="","",Order!$K$16)</f>
        <v>WHITE POWDER COAT (PE/BA)</v>
      </c>
      <c r="K952" s="36">
        <f>IF($C952="","",_xlfn.XLOOKUP($C952,Order!$C:$C,Order!$P:$P,"",0,1))</f>
        <v>0</v>
      </c>
      <c r="L952" s="4">
        <f t="shared" si="14"/>
        <v>0</v>
      </c>
    </row>
    <row r="953" spans="2:12" ht="23.25" hidden="1" customHeight="1" x14ac:dyDescent="0.25">
      <c r="B953" s="4">
        <v>948</v>
      </c>
      <c r="C953" s="36" t="str">
        <f>IF(Order!$C$274="","",Order!$C$274)</f>
        <v>SU238</v>
      </c>
      <c r="D953" s="36" t="str">
        <f>IF($C953="","",_xlfn.XLOOKUP($C953,Order!$C:$C,Order!$D:$D,"",0,1))</f>
        <v>SU238</v>
      </c>
      <c r="E953" s="4" t="e" vm="457">
        <f>IF($C953="","",_xlfn.XLOOKUP($C953,Order!$C:$C,Order!$E:$E,"",0,1))</f>
        <v>#VALUE!</v>
      </c>
      <c r="F953" s="4">
        <f>IF($C953="","",_xlfn.XLOOKUP($C953,Order!$C:$C,Order!$F:$F,"",0,1))</f>
        <v>6000</v>
      </c>
      <c r="G953" s="4" t="str">
        <f>IF($C953="","",_xlfn.XLOOKUP($C953,Order!$C:$C,Order!$G:$G,"",0,1))</f>
        <v>6063T5</v>
      </c>
      <c r="H953" s="4">
        <f>IF($C953="","",_xlfn.XLOOKUP($C953,Order!$C:$C,Order!$H:$H,"",0,1))</f>
        <v>0.72699999999999998</v>
      </c>
      <c r="I953" s="36">
        <f>IF($C953="","",_xlfn.XLOOKUP($C953,Order!$C:$C,Order!$K:$K,"",0,1))</f>
        <v>0</v>
      </c>
      <c r="J953" s="4" t="str">
        <f>IF(C953="","",Order!$K$16)</f>
        <v>WHITE POWDER COAT (PE/BA)</v>
      </c>
      <c r="K953" s="36">
        <f>IF($C953="","",_xlfn.XLOOKUP($C953,Order!$C:$C,Order!$P:$P,"",0,1))</f>
        <v>0</v>
      </c>
      <c r="L953" s="4">
        <f t="shared" si="14"/>
        <v>0</v>
      </c>
    </row>
    <row r="954" spans="2:12" ht="23.25" hidden="1" customHeight="1" x14ac:dyDescent="0.25">
      <c r="B954" s="4">
        <v>949</v>
      </c>
      <c r="C954" s="36" t="str">
        <f>IF(Order!$C$275="","",Order!$C$275)</f>
        <v>SU250</v>
      </c>
      <c r="D954" s="36" t="str">
        <f>IF($C954="","",_xlfn.XLOOKUP($C954,Order!$C:$C,Order!$D:$D,"",0,1))</f>
        <v>SU250</v>
      </c>
      <c r="E954" s="4" t="e" vm="458">
        <f>IF($C954="","",_xlfn.XLOOKUP($C954,Order!$C:$C,Order!$E:$E,"",0,1))</f>
        <v>#VALUE!</v>
      </c>
      <c r="F954" s="4">
        <f>IF($C954="","",_xlfn.XLOOKUP($C954,Order!$C:$C,Order!$F:$F,"",0,1))</f>
        <v>6000</v>
      </c>
      <c r="G954" s="4" t="str">
        <f>IF($C954="","",_xlfn.XLOOKUP($C954,Order!$C:$C,Order!$G:$G,"",0,1))</f>
        <v>6063T5</v>
      </c>
      <c r="H954" s="4">
        <f>IF($C954="","",_xlfn.XLOOKUP($C954,Order!$C:$C,Order!$H:$H,"",0,1))</f>
        <v>0.89400000000000002</v>
      </c>
      <c r="I954" s="36">
        <f>IF($C954="","",_xlfn.XLOOKUP($C954,Order!$C:$C,Order!$K:$K,"",0,1))</f>
        <v>0</v>
      </c>
      <c r="J954" s="4" t="str">
        <f>IF(C954="","",Order!$K$16)</f>
        <v>WHITE POWDER COAT (PE/BA)</v>
      </c>
      <c r="K954" s="36">
        <f>IF($C954="","",_xlfn.XLOOKUP($C954,Order!$C:$C,Order!$P:$P,"",0,1))</f>
        <v>0</v>
      </c>
      <c r="L954" s="4">
        <f t="shared" si="14"/>
        <v>0</v>
      </c>
    </row>
    <row r="955" spans="2:12" ht="23.25" hidden="1" customHeight="1" x14ac:dyDescent="0.25">
      <c r="B955" s="4">
        <v>950</v>
      </c>
      <c r="C955" s="36" t="str">
        <f>IF(Order!$C$276="","",Order!$C$276)</f>
        <v>SU279</v>
      </c>
      <c r="D955" s="36" t="str">
        <f>IF($C955="","",_xlfn.XLOOKUP($C955,Order!$C:$C,Order!$D:$D,"",0,1))</f>
        <v>SU279</v>
      </c>
      <c r="E955" s="4" t="e" vm="459">
        <f>IF($C955="","",_xlfn.XLOOKUP($C955,Order!$C:$C,Order!$E:$E,"",0,1))</f>
        <v>#VALUE!</v>
      </c>
      <c r="F955" s="4">
        <f>IF($C955="","",_xlfn.XLOOKUP($C955,Order!$C:$C,Order!$F:$F,"",0,1))</f>
        <v>6000</v>
      </c>
      <c r="G955" s="4" t="str">
        <f>IF($C955="","",_xlfn.XLOOKUP($C955,Order!$C:$C,Order!$G:$G,"",0,1))</f>
        <v>6063T5</v>
      </c>
      <c r="H955" s="4">
        <f>IF($C955="","",_xlfn.XLOOKUP($C955,Order!$C:$C,Order!$H:$H,"",0,1))</f>
        <v>0.45800000000000002</v>
      </c>
      <c r="I955" s="36">
        <f>IF($C955="","",_xlfn.XLOOKUP($C955,Order!$C:$C,Order!$K:$K,"",0,1))</f>
        <v>0</v>
      </c>
      <c r="J955" s="4" t="str">
        <f>IF(C955="","",Order!$K$16)</f>
        <v>WHITE POWDER COAT (PE/BA)</v>
      </c>
      <c r="K955" s="36">
        <f>IF($C955="","",_xlfn.XLOOKUP($C955,Order!$C:$C,Order!$P:$P,"",0,1))</f>
        <v>0</v>
      </c>
      <c r="L955" s="4">
        <f t="shared" si="14"/>
        <v>0</v>
      </c>
    </row>
    <row r="956" spans="2:12" ht="23.25" hidden="1" customHeight="1" x14ac:dyDescent="0.25">
      <c r="B956" s="4">
        <v>951</v>
      </c>
      <c r="C956" s="36" t="str">
        <f>IF(Order!$C$277="","",Order!$C$277)</f>
        <v>SU352</v>
      </c>
      <c r="D956" s="36" t="str">
        <f>IF($C956="","",_xlfn.XLOOKUP($C956,Order!$C:$C,Order!$D:$D,"",0,1))</f>
        <v>SU352</v>
      </c>
      <c r="E956" s="4" t="e" vm="460">
        <f>IF($C956="","",_xlfn.XLOOKUP($C956,Order!$C:$C,Order!$E:$E,"",0,1))</f>
        <v>#VALUE!</v>
      </c>
      <c r="F956" s="4">
        <f>IF($C956="","",_xlfn.XLOOKUP($C956,Order!$C:$C,Order!$F:$F,"",0,1))</f>
        <v>6000</v>
      </c>
      <c r="G956" s="4" t="str">
        <f>IF($C956="","",_xlfn.XLOOKUP($C956,Order!$C:$C,Order!$G:$G,"",0,1))</f>
        <v>6063T5</v>
      </c>
      <c r="H956" s="4">
        <f>IF($C956="","",_xlfn.XLOOKUP($C956,Order!$C:$C,Order!$H:$H,"",0,1))</f>
        <v>1.127</v>
      </c>
      <c r="I956" s="36">
        <f>IF($C956="","",_xlfn.XLOOKUP($C956,Order!$C:$C,Order!$K:$K,"",0,1))</f>
        <v>0</v>
      </c>
      <c r="J956" s="4" t="str">
        <f>IF(C956="","",Order!$K$16)</f>
        <v>WHITE POWDER COAT (PE/BA)</v>
      </c>
      <c r="K956" s="36">
        <f>IF($C956="","",_xlfn.XLOOKUP($C956,Order!$C:$C,Order!$P:$P,"",0,1))</f>
        <v>0</v>
      </c>
      <c r="L956" s="4">
        <f t="shared" si="14"/>
        <v>0</v>
      </c>
    </row>
    <row r="957" spans="2:12" ht="23.25" hidden="1" customHeight="1" x14ac:dyDescent="0.25">
      <c r="B957" s="4">
        <v>952</v>
      </c>
      <c r="C957" s="36" t="str">
        <f>IF(Order!$C$278="","",Order!$C$278)</f>
        <v>FU350</v>
      </c>
      <c r="D957" s="36" t="str">
        <f>IF($C957="","",_xlfn.XLOOKUP($C957,Order!$C:$C,Order!$D:$D,"",0,1))</f>
        <v>FU350</v>
      </c>
      <c r="E957" s="4" t="e" vm="461">
        <f>IF($C957="","",_xlfn.XLOOKUP($C957,Order!$C:$C,Order!$E:$E,"",0,1))</f>
        <v>#VALUE!</v>
      </c>
      <c r="F957" s="4">
        <f>IF($C957="","",_xlfn.XLOOKUP($C957,Order!$C:$C,Order!$F:$F,"",0,1))</f>
        <v>6000</v>
      </c>
      <c r="G957" s="4" t="str">
        <f>IF($C957="","",_xlfn.XLOOKUP($C957,Order!$C:$C,Order!$G:$G,"",0,1))</f>
        <v>6063T5</v>
      </c>
      <c r="H957" s="4">
        <f>IF($C957="","",_xlfn.XLOOKUP($C957,Order!$C:$C,Order!$H:$H,"",0,1))</f>
        <v>0.45400000000000001</v>
      </c>
      <c r="I957" s="36">
        <f>IF($C957="","",_xlfn.XLOOKUP($C957,Order!$C:$C,Order!$K:$K,"",0,1))</f>
        <v>0</v>
      </c>
      <c r="J957" s="4" t="str">
        <f>IF(C957="","",Order!$K$16)</f>
        <v>WHITE POWDER COAT (PE/BA)</v>
      </c>
      <c r="K957" s="36">
        <f>IF($C957="","",_xlfn.XLOOKUP($C957,Order!$C:$C,Order!$P:$P,"",0,1))</f>
        <v>0</v>
      </c>
      <c r="L957" s="4">
        <f t="shared" si="14"/>
        <v>0</v>
      </c>
    </row>
    <row r="958" spans="2:12" ht="23.25" hidden="1" customHeight="1" x14ac:dyDescent="0.25">
      <c r="B958" s="4">
        <v>953</v>
      </c>
      <c r="C958" s="36" t="str">
        <f>IF(Order!$C$279="","",Order!$C$279)</f>
        <v>FU362</v>
      </c>
      <c r="D958" s="36" t="str">
        <f>IF($C958="","",_xlfn.XLOOKUP($C958,Order!$C:$C,Order!$D:$D,"",0,1))</f>
        <v>FU362</v>
      </c>
      <c r="E958" s="4" t="e" vm="462">
        <f>IF($C958="","",_xlfn.XLOOKUP($C958,Order!$C:$C,Order!$E:$E,"",0,1))</f>
        <v>#VALUE!</v>
      </c>
      <c r="F958" s="4">
        <f>IF($C958="","",_xlfn.XLOOKUP($C958,Order!$C:$C,Order!$F:$F,"",0,1))</f>
        <v>6000</v>
      </c>
      <c r="G958" s="4" t="str">
        <f>IF($C958="","",_xlfn.XLOOKUP($C958,Order!$C:$C,Order!$G:$G,"",0,1))</f>
        <v>6063T5</v>
      </c>
      <c r="H958" s="4">
        <f>IF($C958="","",_xlfn.XLOOKUP($C958,Order!$C:$C,Order!$H:$H,"",0,1))</f>
        <v>0.66800000000000004</v>
      </c>
      <c r="I958" s="36">
        <f>IF($C958="","",_xlfn.XLOOKUP($C958,Order!$C:$C,Order!$K:$K,"",0,1))</f>
        <v>0</v>
      </c>
      <c r="J958" s="4" t="str">
        <f>IF(C958="","",Order!$K$16)</f>
        <v>WHITE POWDER COAT (PE/BA)</v>
      </c>
      <c r="K958" s="36">
        <f>IF($C958="","",_xlfn.XLOOKUP($C958,Order!$C:$C,Order!$P:$P,"",0,1))</f>
        <v>0</v>
      </c>
      <c r="L958" s="4">
        <f t="shared" si="14"/>
        <v>0</v>
      </c>
    </row>
    <row r="959" spans="2:12" ht="23.25" hidden="1" customHeight="1" x14ac:dyDescent="0.25">
      <c r="B959" s="4">
        <v>954</v>
      </c>
      <c r="C959" s="36" t="str">
        <f>IF(Order!$C$280="","",Order!$C$280)</f>
        <v>FU363</v>
      </c>
      <c r="D959" s="36" t="str">
        <f>IF($C959="","",_xlfn.XLOOKUP($C959,Order!$C:$C,Order!$D:$D,"",0,1))</f>
        <v>FU363</v>
      </c>
      <c r="E959" s="4" t="e" vm="463">
        <f>IF($C959="","",_xlfn.XLOOKUP($C959,Order!$C:$C,Order!$E:$E,"",0,1))</f>
        <v>#VALUE!</v>
      </c>
      <c r="F959" s="4">
        <f>IF($C959="","",_xlfn.XLOOKUP($C959,Order!$C:$C,Order!$F:$F,"",0,1))</f>
        <v>6000</v>
      </c>
      <c r="G959" s="4" t="str">
        <f>IF($C959="","",_xlfn.XLOOKUP($C959,Order!$C:$C,Order!$G:$G,"",0,1))</f>
        <v>6063T5</v>
      </c>
      <c r="H959" s="4">
        <f>IF($C959="","",_xlfn.XLOOKUP($C959,Order!$C:$C,Order!$H:$H,"",0,1))</f>
        <v>0.65300000000000002</v>
      </c>
      <c r="I959" s="36">
        <f>IF($C959="","",_xlfn.XLOOKUP($C959,Order!$C:$C,Order!$K:$K,"",0,1))</f>
        <v>0</v>
      </c>
      <c r="J959" s="4" t="str">
        <f>IF(C959="","",Order!$K$16)</f>
        <v>WHITE POWDER COAT (PE/BA)</v>
      </c>
      <c r="K959" s="36">
        <f>IF($C959="","",_xlfn.XLOOKUP($C959,Order!$C:$C,Order!$P:$P,"",0,1))</f>
        <v>0</v>
      </c>
      <c r="L959" s="4">
        <f t="shared" si="14"/>
        <v>0</v>
      </c>
    </row>
    <row r="960" spans="2:12" ht="23.25" hidden="1" customHeight="1" x14ac:dyDescent="0.25">
      <c r="B960" s="4">
        <v>955</v>
      </c>
      <c r="C960" s="36" t="str">
        <f>IF(Order!$C$281="","",Order!$C$281)</f>
        <v>FU364</v>
      </c>
      <c r="D960" s="36" t="str">
        <f>IF($C960="","",_xlfn.XLOOKUP($C960,Order!$C:$C,Order!$D:$D,"",0,1))</f>
        <v>FU364</v>
      </c>
      <c r="E960" s="4" t="e" vm="464">
        <f>IF($C960="","",_xlfn.XLOOKUP($C960,Order!$C:$C,Order!$E:$E,"",0,1))</f>
        <v>#VALUE!</v>
      </c>
      <c r="F960" s="4">
        <f>IF($C960="","",_xlfn.XLOOKUP($C960,Order!$C:$C,Order!$F:$F,"",0,1))</f>
        <v>6000</v>
      </c>
      <c r="G960" s="4" t="str">
        <f>IF($C960="","",_xlfn.XLOOKUP($C960,Order!$C:$C,Order!$G:$G,"",0,1))</f>
        <v>6063T5</v>
      </c>
      <c r="H960" s="4">
        <f>IF($C960="","",_xlfn.XLOOKUP($C960,Order!$C:$C,Order!$H:$H,"",0,1))</f>
        <v>0.61</v>
      </c>
      <c r="I960" s="36">
        <f>IF($C960="","",_xlfn.XLOOKUP($C960,Order!$C:$C,Order!$K:$K,"",0,1))</f>
        <v>0</v>
      </c>
      <c r="J960" s="4" t="str">
        <f>IF(C960="","",Order!$K$16)</f>
        <v>WHITE POWDER COAT (PE/BA)</v>
      </c>
      <c r="K960" s="36">
        <f>IF($C960="","",_xlfn.XLOOKUP($C960,Order!$C:$C,Order!$P:$P,"",0,1))</f>
        <v>0</v>
      </c>
      <c r="L960" s="4">
        <f t="shared" si="14"/>
        <v>0</v>
      </c>
    </row>
    <row r="961" spans="2:12" ht="23.25" hidden="1" customHeight="1" x14ac:dyDescent="0.25">
      <c r="B961" s="4">
        <v>956</v>
      </c>
      <c r="C961" s="36" t="str">
        <f>IF(Order!$C$282="","",Order!$C$282)</f>
        <v>FU899</v>
      </c>
      <c r="D961" s="36" t="str">
        <f>IF($C961="","",_xlfn.XLOOKUP($C961,Order!$C:$C,Order!$D:$D,"",0,1))</f>
        <v>FU899</v>
      </c>
      <c r="E961" s="4" t="e" vm="465">
        <f>IF($C961="","",_xlfn.XLOOKUP($C961,Order!$C:$C,Order!$E:$E,"",0,1))</f>
        <v>#VALUE!</v>
      </c>
      <c r="F961" s="4">
        <f>IF($C961="","",_xlfn.XLOOKUP($C961,Order!$C:$C,Order!$F:$F,"",0,1))</f>
        <v>6000</v>
      </c>
      <c r="G961" s="4" t="str">
        <f>IF($C961="","",_xlfn.XLOOKUP($C961,Order!$C:$C,Order!$G:$G,"",0,1))</f>
        <v>6063T5</v>
      </c>
      <c r="H961" s="4">
        <f>IF($C961="","",_xlfn.XLOOKUP($C961,Order!$C:$C,Order!$H:$H,"",0,1))</f>
        <v>0.52900000000000003</v>
      </c>
      <c r="I961" s="36">
        <f>IF($C961="","",_xlfn.XLOOKUP($C961,Order!$C:$C,Order!$K:$K,"",0,1))</f>
        <v>0</v>
      </c>
      <c r="J961" s="4" t="str">
        <f>IF(C961="","",Order!$K$16)</f>
        <v>WHITE POWDER COAT (PE/BA)</v>
      </c>
      <c r="K961" s="36">
        <f>IF($C961="","",_xlfn.XLOOKUP($C961,Order!$C:$C,Order!$P:$P,"",0,1))</f>
        <v>0</v>
      </c>
      <c r="L961" s="4">
        <f t="shared" si="14"/>
        <v>0</v>
      </c>
    </row>
    <row r="962" spans="2:12" ht="23.25" hidden="1" customHeight="1" x14ac:dyDescent="0.25">
      <c r="B962" s="4">
        <v>957</v>
      </c>
      <c r="C962" s="36" t="str">
        <f>IF(Order!$C$283="","",Order!$C$283)</f>
        <v>FU900</v>
      </c>
      <c r="D962" s="36" t="str">
        <f>IF($C962="","",_xlfn.XLOOKUP($C962,Order!$C:$C,Order!$D:$D,"",0,1))</f>
        <v>FU900</v>
      </c>
      <c r="E962" s="4" t="e" vm="466">
        <f>IF($C962="","",_xlfn.XLOOKUP($C962,Order!$C:$C,Order!$E:$E,"",0,1))</f>
        <v>#VALUE!</v>
      </c>
      <c r="F962" s="4">
        <f>IF($C962="","",_xlfn.XLOOKUP($C962,Order!$C:$C,Order!$F:$F,"",0,1))</f>
        <v>6000</v>
      </c>
      <c r="G962" s="4" t="str">
        <f>IF($C962="","",_xlfn.XLOOKUP($C962,Order!$C:$C,Order!$G:$G,"",0,1))</f>
        <v>6063T5</v>
      </c>
      <c r="H962" s="4">
        <f>IF($C962="","",_xlfn.XLOOKUP($C962,Order!$C:$C,Order!$H:$H,"",0,1))</f>
        <v>0.48499999999999999</v>
      </c>
      <c r="I962" s="36">
        <f>IF($C962="","",_xlfn.XLOOKUP($C962,Order!$C:$C,Order!$K:$K,"",0,1))</f>
        <v>0</v>
      </c>
      <c r="J962" s="4" t="str">
        <f>IF(C962="","",Order!$K$16)</f>
        <v>WHITE POWDER COAT (PE/BA)</v>
      </c>
      <c r="K962" s="36">
        <f>IF($C962="","",_xlfn.XLOOKUP($C962,Order!$C:$C,Order!$P:$P,"",0,1))</f>
        <v>0</v>
      </c>
      <c r="L962" s="4">
        <f t="shared" si="14"/>
        <v>0</v>
      </c>
    </row>
    <row r="963" spans="2:12" ht="23.25" hidden="1" customHeight="1" x14ac:dyDescent="0.25">
      <c r="B963" s="4">
        <v>958</v>
      </c>
      <c r="C963" s="36" t="str">
        <f>IF(Order!$C$284="","",Order!$C$284)</f>
        <v>FU901</v>
      </c>
      <c r="D963" s="36" t="str">
        <f>IF($C963="","",_xlfn.XLOOKUP($C963,Order!$C:$C,Order!$D:$D,"",0,1))</f>
        <v>FU901</v>
      </c>
      <c r="E963" s="4" t="e" vm="467">
        <f>IF($C963="","",_xlfn.XLOOKUP($C963,Order!$C:$C,Order!$E:$E,"",0,1))</f>
        <v>#VALUE!</v>
      </c>
      <c r="F963" s="4">
        <f>IF($C963="","",_xlfn.XLOOKUP($C963,Order!$C:$C,Order!$F:$F,"",0,1))</f>
        <v>6000</v>
      </c>
      <c r="G963" s="4" t="str">
        <f>IF($C963="","",_xlfn.XLOOKUP($C963,Order!$C:$C,Order!$G:$G,"",0,1))</f>
        <v>6063T5</v>
      </c>
      <c r="H963" s="4">
        <f>IF($C963="","",_xlfn.XLOOKUP($C963,Order!$C:$C,Order!$H:$H,"",0,1))</f>
        <v>0.54100000000000004</v>
      </c>
      <c r="I963" s="36">
        <f>IF($C963="","",_xlfn.XLOOKUP($C963,Order!$C:$C,Order!$K:$K,"",0,1))</f>
        <v>0</v>
      </c>
      <c r="J963" s="4" t="str">
        <f>IF(C963="","",Order!$K$16)</f>
        <v>WHITE POWDER COAT (PE/BA)</v>
      </c>
      <c r="K963" s="36">
        <f>IF($C963="","",_xlfn.XLOOKUP($C963,Order!$C:$C,Order!$P:$P,"",0,1))</f>
        <v>0</v>
      </c>
      <c r="L963" s="4">
        <f t="shared" si="14"/>
        <v>0</v>
      </c>
    </row>
    <row r="964" spans="2:12" ht="23.25" hidden="1" customHeight="1" x14ac:dyDescent="0.25">
      <c r="B964" s="4">
        <v>959</v>
      </c>
      <c r="C964" s="36" t="str">
        <f>IF(Order!$C$285="","",Order!$C$285)</f>
        <v>MT0113</v>
      </c>
      <c r="D964" s="36" t="str">
        <f>IF($C964="","",_xlfn.XLOOKUP($C964,Order!$C:$C,Order!$D:$D,"",0,1))</f>
        <v>MT0113</v>
      </c>
      <c r="E964" s="4" t="e" vm="468">
        <f>IF($C964="","",_xlfn.XLOOKUP($C964,Order!$C:$C,Order!$E:$E,"",0,1))</f>
        <v>#VALUE!</v>
      </c>
      <c r="F964" s="4">
        <f>IF($C964="","",_xlfn.XLOOKUP($C964,Order!$C:$C,Order!$F:$F,"",0,1))</f>
        <v>6000</v>
      </c>
      <c r="G964" s="4" t="str">
        <f>IF($C964="","",_xlfn.XLOOKUP($C964,Order!$C:$C,Order!$G:$G,"",0,1))</f>
        <v>6063T5</v>
      </c>
      <c r="H964" s="4">
        <f>IF($C964="","",_xlfn.XLOOKUP($C964,Order!$C:$C,Order!$H:$H,"",0,1))</f>
        <v>0.54400000000000004</v>
      </c>
      <c r="I964" s="36">
        <f>IF($C964="","",_xlfn.XLOOKUP($C964,Order!$C:$C,Order!$K:$K,"",0,1))</f>
        <v>0</v>
      </c>
      <c r="J964" s="4" t="str">
        <f>IF(C964="","",Order!$K$16)</f>
        <v>WHITE POWDER COAT (PE/BA)</v>
      </c>
      <c r="K964" s="36">
        <f>IF($C964="","",_xlfn.XLOOKUP($C964,Order!$C:$C,Order!$P:$P,"",0,1))</f>
        <v>0</v>
      </c>
      <c r="L964" s="4">
        <f t="shared" si="14"/>
        <v>0</v>
      </c>
    </row>
    <row r="965" spans="2:12" ht="23.25" hidden="1" customHeight="1" x14ac:dyDescent="0.25">
      <c r="B965" s="4">
        <v>960</v>
      </c>
      <c r="C965" s="36" t="str">
        <f>IF(Order!$C$286="","",Order!$C$286)</f>
        <v>MT0117</v>
      </c>
      <c r="D965" s="36" t="str">
        <f>IF($C965="","",_xlfn.XLOOKUP($C965,Order!$C:$C,Order!$D:$D,"",0,1))</f>
        <v>MT0117</v>
      </c>
      <c r="E965" s="4" t="e" vm="469">
        <f>IF($C965="","",_xlfn.XLOOKUP($C965,Order!$C:$C,Order!$E:$E,"",0,1))</f>
        <v>#VALUE!</v>
      </c>
      <c r="F965" s="4">
        <f>IF($C965="","",_xlfn.XLOOKUP($C965,Order!$C:$C,Order!$F:$F,"",0,1))</f>
        <v>6000</v>
      </c>
      <c r="G965" s="4" t="str">
        <f>IF($C965="","",_xlfn.XLOOKUP($C965,Order!$C:$C,Order!$G:$G,"",0,1))</f>
        <v>6063T5</v>
      </c>
      <c r="H965" s="4">
        <f>IF($C965="","",_xlfn.XLOOKUP($C965,Order!$C:$C,Order!$H:$H,"",0,1))</f>
        <v>0.76300000000000001</v>
      </c>
      <c r="I965" s="36">
        <f>IF($C965="","",_xlfn.XLOOKUP($C965,Order!$C:$C,Order!$K:$K,"",0,1))</f>
        <v>0</v>
      </c>
      <c r="J965" s="4" t="str">
        <f>IF(C965="","",Order!$K$16)</f>
        <v>WHITE POWDER COAT (PE/BA)</v>
      </c>
      <c r="K965" s="36">
        <f>IF($C965="","",_xlfn.XLOOKUP($C965,Order!$C:$C,Order!$P:$P,"",0,1))</f>
        <v>0</v>
      </c>
      <c r="L965" s="4">
        <f t="shared" si="14"/>
        <v>0</v>
      </c>
    </row>
    <row r="966" spans="2:12" ht="23.25" hidden="1" customHeight="1" x14ac:dyDescent="0.25">
      <c r="B966" s="4">
        <v>961</v>
      </c>
      <c r="C966" s="36" t="str">
        <f>IF(Order!$C$287="","",Order!$C$287)</f>
        <v>MT0121</v>
      </c>
      <c r="D966" s="36" t="str">
        <f>IF($C966="","",_xlfn.XLOOKUP($C966,Order!$C:$C,Order!$D:$D,"",0,1))</f>
        <v>MT0121</v>
      </c>
      <c r="E966" s="4" t="e" vm="470">
        <f>IF($C966="","",_xlfn.XLOOKUP($C966,Order!$C:$C,Order!$E:$E,"",0,1))</f>
        <v>#VALUE!</v>
      </c>
      <c r="F966" s="4">
        <f>IF($C966="","",_xlfn.XLOOKUP($C966,Order!$C:$C,Order!$F:$F,"",0,1))</f>
        <v>6000</v>
      </c>
      <c r="G966" s="4" t="str">
        <f>IF($C966="","",_xlfn.XLOOKUP($C966,Order!$C:$C,Order!$G:$G,"",0,1))</f>
        <v>6063T5</v>
      </c>
      <c r="H966" s="4">
        <f>IF($C966="","",_xlfn.XLOOKUP($C966,Order!$C:$C,Order!$H:$H,"",0,1))</f>
        <v>0.91500000000000004</v>
      </c>
      <c r="I966" s="36">
        <f>IF($C966="","",_xlfn.XLOOKUP($C966,Order!$C:$C,Order!$K:$K,"",0,1))</f>
        <v>0</v>
      </c>
      <c r="J966" s="4" t="str">
        <f>IF(C966="","",Order!$K$16)</f>
        <v>WHITE POWDER COAT (PE/BA)</v>
      </c>
      <c r="K966" s="36">
        <f>IF($C966="","",_xlfn.XLOOKUP($C966,Order!$C:$C,Order!$P:$P,"",0,1))</f>
        <v>0</v>
      </c>
      <c r="L966" s="4">
        <f t="shared" si="14"/>
        <v>0</v>
      </c>
    </row>
    <row r="967" spans="2:12" ht="23.25" hidden="1" customHeight="1" x14ac:dyDescent="0.25">
      <c r="B967" s="4">
        <v>962</v>
      </c>
      <c r="C967" s="36" t="str">
        <f>IF(Order!$C$288="","",Order!$C$288)</f>
        <v>BX823</v>
      </c>
      <c r="D967" s="36" t="str">
        <f>IF($C967="","",_xlfn.XLOOKUP($C967,Order!$C:$C,Order!$D:$D,"",0,1))</f>
        <v>BX823</v>
      </c>
      <c r="E967" s="4" t="e" vm="471">
        <f>IF($C967="","",_xlfn.XLOOKUP($C967,Order!$C:$C,Order!$E:$E,"",0,1))</f>
        <v>#VALUE!</v>
      </c>
      <c r="F967" s="4">
        <f>IF($C967="","",_xlfn.XLOOKUP($C967,Order!$C:$C,Order!$F:$F,"",0,1))</f>
        <v>6000</v>
      </c>
      <c r="G967" s="4" t="str">
        <f>IF($C967="","",_xlfn.XLOOKUP($C967,Order!$C:$C,Order!$G:$G,"",0,1))</f>
        <v>6063T5</v>
      </c>
      <c r="H967" s="4">
        <f>IF($C967="","",_xlfn.XLOOKUP($C967,Order!$C:$C,Order!$H:$H,"",0,1))</f>
        <v>0</v>
      </c>
      <c r="I967" s="36">
        <f>IF($C967="","",_xlfn.XLOOKUP($C967,Order!$C:$C,Order!$K:$K,"",0,1))</f>
        <v>0</v>
      </c>
      <c r="J967" s="4" t="str">
        <f>IF(C967="","",Order!$K$16)</f>
        <v>WHITE POWDER COAT (PE/BA)</v>
      </c>
      <c r="K967" s="36">
        <f>IF($C967="","",_xlfn.XLOOKUP($C967,Order!$C:$C,Order!$P:$P,"",0,1))</f>
        <v>0</v>
      </c>
      <c r="L967" s="4">
        <f t="shared" ref="L967:L1030" si="15">IF(C967="","",F967/1000*H967*I967)</f>
        <v>0</v>
      </c>
    </row>
    <row r="968" spans="2:12" ht="23.25" hidden="1" customHeight="1" x14ac:dyDescent="0.25">
      <c r="B968" s="4">
        <v>963</v>
      </c>
      <c r="C968" s="36" t="str">
        <f>IF(Order!$C$289="","",Order!$C$289)</f>
        <v>BX824</v>
      </c>
      <c r="D968" s="36" t="str">
        <f>IF($C968="","",_xlfn.XLOOKUP($C968,Order!$C:$C,Order!$D:$D,"",0,1))</f>
        <v>BX824</v>
      </c>
      <c r="E968" s="4" t="e" vm="472">
        <f>IF($C968="","",_xlfn.XLOOKUP($C968,Order!$C:$C,Order!$E:$E,"",0,1))</f>
        <v>#VALUE!</v>
      </c>
      <c r="F968" s="4">
        <f>IF($C968="","",_xlfn.XLOOKUP($C968,Order!$C:$C,Order!$F:$F,"",0,1))</f>
        <v>6000</v>
      </c>
      <c r="G968" s="4" t="str">
        <f>IF($C968="","",_xlfn.XLOOKUP($C968,Order!$C:$C,Order!$G:$G,"",0,1))</f>
        <v>6063T5</v>
      </c>
      <c r="H968" s="4">
        <f>IF($C968="","",_xlfn.XLOOKUP($C968,Order!$C:$C,Order!$H:$H,"",0,1))</f>
        <v>0.47299999999999998</v>
      </c>
      <c r="I968" s="36">
        <f>IF($C968="","",_xlfn.XLOOKUP($C968,Order!$C:$C,Order!$K:$K,"",0,1))</f>
        <v>0</v>
      </c>
      <c r="J968" s="4" t="str">
        <f>IF(C968="","",Order!$K$16)</f>
        <v>WHITE POWDER COAT (PE/BA)</v>
      </c>
      <c r="K968" s="36">
        <f>IF($C968="","",_xlfn.XLOOKUP($C968,Order!$C:$C,Order!$P:$P,"",0,1))</f>
        <v>0</v>
      </c>
      <c r="L968" s="4">
        <f t="shared" si="15"/>
        <v>0</v>
      </c>
    </row>
    <row r="969" spans="2:12" ht="23.25" hidden="1" customHeight="1" x14ac:dyDescent="0.25">
      <c r="B969" s="4">
        <v>964</v>
      </c>
      <c r="C969" s="36" t="str">
        <f>IF(Order!$C$290="","",Order!$C$290)</f>
        <v>BX825</v>
      </c>
      <c r="D969" s="36" t="str">
        <f>IF($C969="","",_xlfn.XLOOKUP($C969,Order!$C:$C,Order!$D:$D,"",0,1))</f>
        <v>BX825</v>
      </c>
      <c r="E969" s="4" t="e" vm="473">
        <f>IF($C969="","",_xlfn.XLOOKUP($C969,Order!$C:$C,Order!$E:$E,"",0,1))</f>
        <v>#VALUE!</v>
      </c>
      <c r="F969" s="4">
        <f>IF($C969="","",_xlfn.XLOOKUP($C969,Order!$C:$C,Order!$F:$F,"",0,1))</f>
        <v>6000</v>
      </c>
      <c r="G969" s="4" t="str">
        <f>IF($C969="","",_xlfn.XLOOKUP($C969,Order!$C:$C,Order!$G:$G,"",0,1))</f>
        <v>6063T5</v>
      </c>
      <c r="H969" s="4">
        <f>IF($C969="","",_xlfn.XLOOKUP($C969,Order!$C:$C,Order!$H:$H,"",0,1))</f>
        <v>0</v>
      </c>
      <c r="I969" s="36">
        <f>IF($C969="","",_xlfn.XLOOKUP($C969,Order!$C:$C,Order!$K:$K,"",0,1))</f>
        <v>0</v>
      </c>
      <c r="J969" s="4" t="str">
        <f>IF(C969="","",Order!$K$16)</f>
        <v>WHITE POWDER COAT (PE/BA)</v>
      </c>
      <c r="K969" s="36">
        <f>IF($C969="","",_xlfn.XLOOKUP($C969,Order!$C:$C,Order!$P:$P,"",0,1))</f>
        <v>0</v>
      </c>
      <c r="L969" s="4">
        <f t="shared" si="15"/>
        <v>0</v>
      </c>
    </row>
    <row r="970" spans="2:12" ht="23.25" hidden="1" customHeight="1" x14ac:dyDescent="0.25">
      <c r="B970" s="4">
        <v>965</v>
      </c>
      <c r="C970" s="36" t="str">
        <f>IF(Order!$C$291="","",Order!$C$291)</f>
        <v>BX826</v>
      </c>
      <c r="D970" s="36" t="str">
        <f>IF($C970="","",_xlfn.XLOOKUP($C970,Order!$C:$C,Order!$D:$D,"",0,1))</f>
        <v>BX826</v>
      </c>
      <c r="E970" s="4" t="e" vm="474">
        <f>IF($C970="","",_xlfn.XLOOKUP($C970,Order!$C:$C,Order!$E:$E,"",0,1))</f>
        <v>#VALUE!</v>
      </c>
      <c r="F970" s="4">
        <f>IF($C970="","",_xlfn.XLOOKUP($C970,Order!$C:$C,Order!$F:$F,"",0,1))</f>
        <v>6000</v>
      </c>
      <c r="G970" s="4" t="str">
        <f>IF($C970="","",_xlfn.XLOOKUP($C970,Order!$C:$C,Order!$G:$G,"",0,1))</f>
        <v>6063T5</v>
      </c>
      <c r="H970" s="4">
        <f>IF($C970="","",_xlfn.XLOOKUP($C970,Order!$C:$C,Order!$H:$H,"",0,1))</f>
        <v>0.53800000000000003</v>
      </c>
      <c r="I970" s="36">
        <f>IF($C970="","",_xlfn.XLOOKUP($C970,Order!$C:$C,Order!$K:$K,"",0,1))</f>
        <v>0</v>
      </c>
      <c r="J970" s="4" t="str">
        <f>IF(C970="","",Order!$K$16)</f>
        <v>WHITE POWDER COAT (PE/BA)</v>
      </c>
      <c r="K970" s="36">
        <f>IF($C970="","",_xlfn.XLOOKUP($C970,Order!$C:$C,Order!$P:$P,"",0,1))</f>
        <v>0</v>
      </c>
      <c r="L970" s="4">
        <f t="shared" si="15"/>
        <v>0</v>
      </c>
    </row>
    <row r="971" spans="2:12" ht="23.25" hidden="1" customHeight="1" x14ac:dyDescent="0.25">
      <c r="B971" s="4">
        <v>966</v>
      </c>
      <c r="C971" s="36" t="str">
        <f>IF(Order!$C$292="","",Order!$C$292)</f>
        <v>BX827</v>
      </c>
      <c r="D971" s="36" t="str">
        <f>IF($C971="","",_xlfn.XLOOKUP($C971,Order!$C:$C,Order!$D:$D,"",0,1))</f>
        <v>BX827</v>
      </c>
      <c r="E971" s="4" t="e" vm="475">
        <f>IF($C971="","",_xlfn.XLOOKUP($C971,Order!$C:$C,Order!$E:$E,"",0,1))</f>
        <v>#VALUE!</v>
      </c>
      <c r="F971" s="4">
        <f>IF($C971="","",_xlfn.XLOOKUP($C971,Order!$C:$C,Order!$F:$F,"",0,1))</f>
        <v>6000</v>
      </c>
      <c r="G971" s="4" t="str">
        <f>IF($C971="","",_xlfn.XLOOKUP($C971,Order!$C:$C,Order!$G:$G,"",0,1))</f>
        <v>6063T5</v>
      </c>
      <c r="H971" s="4">
        <f>IF($C971="","",_xlfn.XLOOKUP($C971,Order!$C:$C,Order!$H:$H,"",0,1))</f>
        <v>0</v>
      </c>
      <c r="I971" s="36">
        <f>IF($C971="","",_xlfn.XLOOKUP($C971,Order!$C:$C,Order!$K:$K,"",0,1))</f>
        <v>0</v>
      </c>
      <c r="J971" s="4" t="str">
        <f>IF(C971="","",Order!$K$16)</f>
        <v>WHITE POWDER COAT (PE/BA)</v>
      </c>
      <c r="K971" s="36">
        <f>IF($C971="","",_xlfn.XLOOKUP($C971,Order!$C:$C,Order!$P:$P,"",0,1))</f>
        <v>0</v>
      </c>
      <c r="L971" s="4">
        <f t="shared" si="15"/>
        <v>0</v>
      </c>
    </row>
    <row r="972" spans="2:12" ht="23.25" hidden="1" customHeight="1" x14ac:dyDescent="0.25">
      <c r="B972" s="4">
        <v>967</v>
      </c>
      <c r="C972" s="36" t="str">
        <f>IF(Order!$C$293="","",Order!$C$293)</f>
        <v>BX1087</v>
      </c>
      <c r="D972" s="36" t="str">
        <f>IF($C972="","",_xlfn.XLOOKUP($C972,Order!$C:$C,Order!$D:$D,"",0,1))</f>
        <v>BX1087</v>
      </c>
      <c r="E972" s="4" t="e" vm="476">
        <f>IF($C972="","",_xlfn.XLOOKUP($C972,Order!$C:$C,Order!$E:$E,"",0,1))</f>
        <v>#VALUE!</v>
      </c>
      <c r="F972" s="4">
        <f>IF($C972="","",_xlfn.XLOOKUP($C972,Order!$C:$C,Order!$F:$F,"",0,1))</f>
        <v>6000</v>
      </c>
      <c r="G972" s="4" t="str">
        <f>IF($C972="","",_xlfn.XLOOKUP($C972,Order!$C:$C,Order!$G:$G,"",0,1))</f>
        <v>6063T5</v>
      </c>
      <c r="H972" s="4">
        <f>IF($C972="","",_xlfn.XLOOKUP($C972,Order!$C:$C,Order!$H:$H,"",0,1))</f>
        <v>0.58399999999999996</v>
      </c>
      <c r="I972" s="36">
        <f>IF($C972="","",_xlfn.XLOOKUP($C972,Order!$C:$C,Order!$K:$K,"",0,1))</f>
        <v>0</v>
      </c>
      <c r="J972" s="4" t="str">
        <f>IF(C972="","",Order!$K$16)</f>
        <v>WHITE POWDER COAT (PE/BA)</v>
      </c>
      <c r="K972" s="36">
        <f>IF($C972="","",_xlfn.XLOOKUP($C972,Order!$C:$C,Order!$P:$P,"",0,1))</f>
        <v>0</v>
      </c>
      <c r="L972" s="4">
        <f t="shared" si="15"/>
        <v>0</v>
      </c>
    </row>
    <row r="973" spans="2:12" ht="23.25" hidden="1" customHeight="1" x14ac:dyDescent="0.25">
      <c r="B973" s="4">
        <v>968</v>
      </c>
      <c r="C973" s="36" t="str">
        <f>IF(Order!$C$294="","",Order!$C$294)</f>
        <v>ME013</v>
      </c>
      <c r="D973" s="36" t="str">
        <f>IF($C973="","",_xlfn.XLOOKUP($C973,Order!$C:$C,Order!$D:$D,"",0,1))</f>
        <v>ME013</v>
      </c>
      <c r="E973" s="4" t="e" vm="477">
        <f>IF($C973="","",_xlfn.XLOOKUP($C973,Order!$C:$C,Order!$E:$E,"",0,1))</f>
        <v>#VALUE!</v>
      </c>
      <c r="F973" s="4">
        <f>IF($C973="","",_xlfn.XLOOKUP($C973,Order!$C:$C,Order!$F:$F,"",0,1))</f>
        <v>6000</v>
      </c>
      <c r="G973" s="4" t="str">
        <f>IF($C973="","",_xlfn.XLOOKUP($C973,Order!$C:$C,Order!$G:$G,"",0,1))</f>
        <v>6063T5</v>
      </c>
      <c r="H973" s="4">
        <f>IF($C973="","",_xlfn.XLOOKUP($C973,Order!$C:$C,Order!$H:$H,"",0,1))</f>
        <v>0.27600000000000002</v>
      </c>
      <c r="I973" s="36">
        <f>IF($C973="","",_xlfn.XLOOKUP($C973,Order!$C:$C,Order!$K:$K,"",0,1))</f>
        <v>0</v>
      </c>
      <c r="J973" s="4" t="str">
        <f>IF(C973="","",Order!$K$16)</f>
        <v>WHITE POWDER COAT (PE/BA)</v>
      </c>
      <c r="K973" s="36">
        <f>IF($C973="","",_xlfn.XLOOKUP($C973,Order!$C:$C,Order!$P:$P,"",0,1))</f>
        <v>0</v>
      </c>
      <c r="L973" s="4">
        <f t="shared" si="15"/>
        <v>0</v>
      </c>
    </row>
    <row r="974" spans="2:12" ht="23.25" hidden="1" customHeight="1" x14ac:dyDescent="0.25">
      <c r="B974" s="4">
        <v>969</v>
      </c>
      <c r="C974" s="36" t="str">
        <f>IF(Order!$C$295="","",Order!$C$295)</f>
        <v/>
      </c>
      <c r="D974" s="36" t="str">
        <f>IF($C974="","",_xlfn.XLOOKUP($C974,Order!$C:$C,Order!$D:$D,"",0,1))</f>
        <v/>
      </c>
      <c r="E974" s="4" t="str">
        <f>IF($C974="","",_xlfn.XLOOKUP($C974,Order!$C:$C,Order!$E:$E,"",0,1))</f>
        <v/>
      </c>
      <c r="F974" s="4" t="str">
        <f>IF($C974="","",_xlfn.XLOOKUP($C974,Order!$C:$C,Order!$F:$F,"",0,1))</f>
        <v/>
      </c>
      <c r="G974" s="4" t="str">
        <f>IF($C974="","",_xlfn.XLOOKUP($C974,Order!$C:$C,Order!$G:$G,"",0,1))</f>
        <v/>
      </c>
      <c r="H974" s="4" t="str">
        <f>IF($C974="","",_xlfn.XLOOKUP($C974,Order!$C:$C,Order!$H:$H,"",0,1))</f>
        <v/>
      </c>
      <c r="I974" s="36" t="str">
        <f>IF($C974="","",_xlfn.XLOOKUP($C974,Order!$C:$C,Order!$K:$K,"",0,1))</f>
        <v/>
      </c>
      <c r="J974" s="4" t="str">
        <f>IF(C974="","",Order!$K$16)</f>
        <v/>
      </c>
      <c r="K974" s="36" t="str">
        <f>IF($C974="","",_xlfn.XLOOKUP($C974,Order!$C:$C,Order!$P:$P,"",0,1))</f>
        <v/>
      </c>
      <c r="L974" s="4" t="str">
        <f t="shared" si="15"/>
        <v/>
      </c>
    </row>
    <row r="975" spans="2:12" ht="23.25" hidden="1" customHeight="1" x14ac:dyDescent="0.25">
      <c r="B975" s="4">
        <v>970</v>
      </c>
      <c r="C975" s="36" t="str">
        <f>IF(Order!$C$296="","",Order!$C$296)</f>
        <v/>
      </c>
      <c r="D975" s="36" t="str">
        <f>IF($C975="","",_xlfn.XLOOKUP($C975,Order!$C:$C,Order!$D:$D,"",0,1))</f>
        <v/>
      </c>
      <c r="E975" s="4" t="str">
        <f>IF($C975="","",_xlfn.XLOOKUP($C975,Order!$C:$C,Order!$E:$E,"",0,1))</f>
        <v/>
      </c>
      <c r="F975" s="4" t="str">
        <f>IF($C975="","",_xlfn.XLOOKUP($C975,Order!$C:$C,Order!$F:$F,"",0,1))</f>
        <v/>
      </c>
      <c r="G975" s="4" t="str">
        <f>IF($C975="","",_xlfn.XLOOKUP($C975,Order!$C:$C,Order!$G:$G,"",0,1))</f>
        <v/>
      </c>
      <c r="H975" s="4" t="str">
        <f>IF($C975="","",_xlfn.XLOOKUP($C975,Order!$C:$C,Order!$H:$H,"",0,1))</f>
        <v/>
      </c>
      <c r="I975" s="36" t="str">
        <f>IF($C975="","",_xlfn.XLOOKUP($C975,Order!$C:$C,Order!$K:$K,"",0,1))</f>
        <v/>
      </c>
      <c r="J975" s="4" t="str">
        <f>IF(C975="","",Order!$K$16)</f>
        <v/>
      </c>
      <c r="K975" s="36" t="str">
        <f>IF($C975="","",_xlfn.XLOOKUP($C975,Order!$C:$C,Order!$P:$P,"",0,1))</f>
        <v/>
      </c>
      <c r="L975" s="4" t="str">
        <f t="shared" si="15"/>
        <v/>
      </c>
    </row>
    <row r="976" spans="2:12" ht="23.25" hidden="1" customHeight="1" x14ac:dyDescent="0.25">
      <c r="B976" s="4">
        <v>971</v>
      </c>
      <c r="C976" s="36" t="str">
        <f>IF(Order!$C$297="","",Order!$C$297)</f>
        <v/>
      </c>
      <c r="D976" s="36" t="str">
        <f>IF($C976="","",_xlfn.XLOOKUP($C976,Order!$C:$C,Order!$D:$D,"",0,1))</f>
        <v/>
      </c>
      <c r="E976" s="4" t="str">
        <f>IF($C976="","",_xlfn.XLOOKUP($C976,Order!$C:$C,Order!$E:$E,"",0,1))</f>
        <v/>
      </c>
      <c r="F976" s="4" t="str">
        <f>IF($C976="","",_xlfn.XLOOKUP($C976,Order!$C:$C,Order!$F:$F,"",0,1))</f>
        <v/>
      </c>
      <c r="G976" s="4" t="str">
        <f>IF($C976="","",_xlfn.XLOOKUP($C976,Order!$C:$C,Order!$G:$G,"",0,1))</f>
        <v/>
      </c>
      <c r="H976" s="4" t="str">
        <f>IF($C976="","",_xlfn.XLOOKUP($C976,Order!$C:$C,Order!$H:$H,"",0,1))</f>
        <v/>
      </c>
      <c r="I976" s="36" t="str">
        <f>IF($C976="","",_xlfn.XLOOKUP($C976,Order!$C:$C,Order!$K:$K,"",0,1))</f>
        <v/>
      </c>
      <c r="J976" s="4" t="str">
        <f>IF(C976="","",Order!$K$16)</f>
        <v/>
      </c>
      <c r="K976" s="36" t="str">
        <f>IF($C976="","",_xlfn.XLOOKUP($C976,Order!$C:$C,Order!$P:$P,"",0,1))</f>
        <v/>
      </c>
      <c r="L976" s="4" t="str">
        <f t="shared" si="15"/>
        <v/>
      </c>
    </row>
    <row r="977" spans="2:12" ht="23.25" hidden="1" customHeight="1" x14ac:dyDescent="0.25">
      <c r="B977" s="4">
        <v>972</v>
      </c>
      <c r="C977" s="36" t="str">
        <f>IF(Order!$C$298="","",Order!$C$298)</f>
        <v/>
      </c>
      <c r="D977" s="36" t="str">
        <f>IF($C977="","",_xlfn.XLOOKUP($C977,Order!$C:$C,Order!$D:$D,"",0,1))</f>
        <v/>
      </c>
      <c r="E977" s="4" t="str">
        <f>IF($C977="","",_xlfn.XLOOKUP($C977,Order!$C:$C,Order!$E:$E,"",0,1))</f>
        <v/>
      </c>
      <c r="F977" s="4" t="str">
        <f>IF($C977="","",_xlfn.XLOOKUP($C977,Order!$C:$C,Order!$F:$F,"",0,1))</f>
        <v/>
      </c>
      <c r="G977" s="4" t="str">
        <f>IF($C977="","",_xlfn.XLOOKUP($C977,Order!$C:$C,Order!$G:$G,"",0,1))</f>
        <v/>
      </c>
      <c r="H977" s="4" t="str">
        <f>IF($C977="","",_xlfn.XLOOKUP($C977,Order!$C:$C,Order!$H:$H,"",0,1))</f>
        <v/>
      </c>
      <c r="I977" s="36" t="str">
        <f>IF($C977="","",_xlfn.XLOOKUP($C977,Order!$C:$C,Order!$K:$K,"",0,1))</f>
        <v/>
      </c>
      <c r="J977" s="4" t="str">
        <f>IF(C977="","",Order!$K$16)</f>
        <v/>
      </c>
      <c r="K977" s="36" t="str">
        <f>IF($C977="","",_xlfn.XLOOKUP($C977,Order!$C:$C,Order!$P:$P,"",0,1))</f>
        <v/>
      </c>
      <c r="L977" s="4" t="str">
        <f t="shared" si="15"/>
        <v/>
      </c>
    </row>
    <row r="978" spans="2:12" ht="23.25" hidden="1" customHeight="1" x14ac:dyDescent="0.25">
      <c r="B978" s="4">
        <v>973</v>
      </c>
      <c r="C978" s="36" t="str">
        <f>IF(Order!$C$299="","",Order!$C$299)</f>
        <v/>
      </c>
      <c r="D978" s="36" t="str">
        <f>IF($C978="","",_xlfn.XLOOKUP($C978,Order!$C:$C,Order!$D:$D,"",0,1))</f>
        <v/>
      </c>
      <c r="E978" s="4" t="str">
        <f>IF($C978="","",_xlfn.XLOOKUP($C978,Order!$C:$C,Order!$E:$E,"",0,1))</f>
        <v/>
      </c>
      <c r="F978" s="4" t="str">
        <f>IF($C978="","",_xlfn.XLOOKUP($C978,Order!$C:$C,Order!$F:$F,"",0,1))</f>
        <v/>
      </c>
      <c r="G978" s="4" t="str">
        <f>IF($C978="","",_xlfn.XLOOKUP($C978,Order!$C:$C,Order!$G:$G,"",0,1))</f>
        <v/>
      </c>
      <c r="H978" s="4" t="str">
        <f>IF($C978="","",_xlfn.XLOOKUP($C978,Order!$C:$C,Order!$H:$H,"",0,1))</f>
        <v/>
      </c>
      <c r="I978" s="36" t="str">
        <f>IF($C978="","",_xlfn.XLOOKUP($C978,Order!$C:$C,Order!$K:$K,"",0,1))</f>
        <v/>
      </c>
      <c r="J978" s="4" t="str">
        <f>IF(C978="","",Order!$K$16)</f>
        <v/>
      </c>
      <c r="K978" s="36" t="str">
        <f>IF($C978="","",_xlfn.XLOOKUP($C978,Order!$C:$C,Order!$P:$P,"",0,1))</f>
        <v/>
      </c>
      <c r="L978" s="4" t="str">
        <f t="shared" si="15"/>
        <v/>
      </c>
    </row>
    <row r="979" spans="2:12" ht="23.25" hidden="1" customHeight="1" x14ac:dyDescent="0.25">
      <c r="B979" s="4">
        <v>974</v>
      </c>
      <c r="C979" s="36" t="str">
        <f>IF(Order!$C$300="","",Order!$C$300)</f>
        <v/>
      </c>
      <c r="D979" s="36" t="str">
        <f>IF($C979="","",_xlfn.XLOOKUP($C979,Order!$C:$C,Order!$D:$D,"",0,1))</f>
        <v/>
      </c>
      <c r="E979" s="4" t="str">
        <f>IF($C979="","",_xlfn.XLOOKUP($C979,Order!$C:$C,Order!$E:$E,"",0,1))</f>
        <v/>
      </c>
      <c r="F979" s="4" t="str">
        <f>IF($C979="","",_xlfn.XLOOKUP($C979,Order!$C:$C,Order!$F:$F,"",0,1))</f>
        <v/>
      </c>
      <c r="G979" s="4" t="str">
        <f>IF($C979="","",_xlfn.XLOOKUP($C979,Order!$C:$C,Order!$G:$G,"",0,1))</f>
        <v/>
      </c>
      <c r="H979" s="4" t="str">
        <f>IF($C979="","",_xlfn.XLOOKUP($C979,Order!$C:$C,Order!$H:$H,"",0,1))</f>
        <v/>
      </c>
      <c r="I979" s="36" t="str">
        <f>IF($C979="","",_xlfn.XLOOKUP($C979,Order!$C:$C,Order!$K:$K,"",0,1))</f>
        <v/>
      </c>
      <c r="J979" s="4" t="str">
        <f>IF(C979="","",Order!$K$16)</f>
        <v/>
      </c>
      <c r="K979" s="36" t="str">
        <f>IF($C979="","",_xlfn.XLOOKUP($C979,Order!$C:$C,Order!$P:$P,"",0,1))</f>
        <v/>
      </c>
      <c r="L979" s="4" t="str">
        <f t="shared" si="15"/>
        <v/>
      </c>
    </row>
    <row r="980" spans="2:12" ht="23.25" hidden="1" customHeight="1" x14ac:dyDescent="0.25">
      <c r="B980" s="4">
        <v>975</v>
      </c>
      <c r="C980" s="36" t="str">
        <f>IF(Order!$C$301="","",Order!$C$301)</f>
        <v/>
      </c>
      <c r="D980" s="36" t="str">
        <f>IF($C980="","",_xlfn.XLOOKUP($C980,Order!$C:$C,Order!$D:$D,"",0,1))</f>
        <v/>
      </c>
      <c r="E980" s="4" t="str">
        <f>IF($C980="","",_xlfn.XLOOKUP($C980,Order!$C:$C,Order!$E:$E,"",0,1))</f>
        <v/>
      </c>
      <c r="F980" s="4" t="str">
        <f>IF($C980="","",_xlfn.XLOOKUP($C980,Order!$C:$C,Order!$F:$F,"",0,1))</f>
        <v/>
      </c>
      <c r="G980" s="4" t="str">
        <f>IF($C980="","",_xlfn.XLOOKUP($C980,Order!$C:$C,Order!$G:$G,"",0,1))</f>
        <v/>
      </c>
      <c r="H980" s="4" t="str">
        <f>IF($C980="","",_xlfn.XLOOKUP($C980,Order!$C:$C,Order!$H:$H,"",0,1))</f>
        <v/>
      </c>
      <c r="I980" s="36" t="str">
        <f>IF($C980="","",_xlfn.XLOOKUP($C980,Order!$C:$C,Order!$K:$K,"",0,1))</f>
        <v/>
      </c>
      <c r="J980" s="4" t="str">
        <f>IF(C980="","",Order!$K$16)</f>
        <v/>
      </c>
      <c r="K980" s="36" t="str">
        <f>IF($C980="","",_xlfn.XLOOKUP($C980,Order!$C:$C,Order!$P:$P,"",0,1))</f>
        <v/>
      </c>
      <c r="L980" s="4" t="str">
        <f t="shared" si="15"/>
        <v/>
      </c>
    </row>
    <row r="981" spans="2:12" ht="23.25" hidden="1" customHeight="1" x14ac:dyDescent="0.25">
      <c r="B981" s="4">
        <v>976</v>
      </c>
      <c r="C981" s="36" t="str">
        <f>IF(Order!$C$302="","",Order!$C$302)</f>
        <v/>
      </c>
      <c r="D981" s="36" t="str">
        <f>IF($C981="","",_xlfn.XLOOKUP($C981,Order!$C:$C,Order!$D:$D,"",0,1))</f>
        <v/>
      </c>
      <c r="E981" s="4" t="str">
        <f>IF($C981="","",_xlfn.XLOOKUP($C981,Order!$C:$C,Order!$E:$E,"",0,1))</f>
        <v/>
      </c>
      <c r="F981" s="4" t="str">
        <f>IF($C981="","",_xlfn.XLOOKUP($C981,Order!$C:$C,Order!$F:$F,"",0,1))</f>
        <v/>
      </c>
      <c r="G981" s="4" t="str">
        <f>IF($C981="","",_xlfn.XLOOKUP($C981,Order!$C:$C,Order!$G:$G,"",0,1))</f>
        <v/>
      </c>
      <c r="H981" s="4" t="str">
        <f>IF($C981="","",_xlfn.XLOOKUP($C981,Order!$C:$C,Order!$H:$H,"",0,1))</f>
        <v/>
      </c>
      <c r="I981" s="36" t="str">
        <f>IF($C981="","",_xlfn.XLOOKUP($C981,Order!$C:$C,Order!$K:$K,"",0,1))</f>
        <v/>
      </c>
      <c r="J981" s="4" t="str">
        <f>IF(C981="","",Order!$K$16)</f>
        <v/>
      </c>
      <c r="K981" s="36" t="str">
        <f>IF($C981="","",_xlfn.XLOOKUP($C981,Order!$C:$C,Order!$P:$P,"",0,1))</f>
        <v/>
      </c>
      <c r="L981" s="4" t="str">
        <f t="shared" si="15"/>
        <v/>
      </c>
    </row>
    <row r="982" spans="2:12" ht="23.25" hidden="1" customHeight="1" x14ac:dyDescent="0.25">
      <c r="B982" s="4">
        <v>977</v>
      </c>
      <c r="C982" s="36" t="str">
        <f>IF(Order!$C$303="","",Order!$C$303)</f>
        <v/>
      </c>
      <c r="D982" s="36" t="str">
        <f>IF($C982="","",_xlfn.XLOOKUP($C982,Order!$C:$C,Order!$D:$D,"",0,1))</f>
        <v/>
      </c>
      <c r="E982" s="4" t="str">
        <f>IF($C982="","",_xlfn.XLOOKUP($C982,Order!$C:$C,Order!$E:$E,"",0,1))</f>
        <v/>
      </c>
      <c r="F982" s="4" t="str">
        <f>IF($C982="","",_xlfn.XLOOKUP($C982,Order!$C:$C,Order!$F:$F,"",0,1))</f>
        <v/>
      </c>
      <c r="G982" s="4" t="str">
        <f>IF($C982="","",_xlfn.XLOOKUP($C982,Order!$C:$C,Order!$G:$G,"",0,1))</f>
        <v/>
      </c>
      <c r="H982" s="4" t="str">
        <f>IF($C982="","",_xlfn.XLOOKUP($C982,Order!$C:$C,Order!$H:$H,"",0,1))</f>
        <v/>
      </c>
      <c r="I982" s="36" t="str">
        <f>IF($C982="","",_xlfn.XLOOKUP($C982,Order!$C:$C,Order!$K:$K,"",0,1))</f>
        <v/>
      </c>
      <c r="J982" s="4" t="str">
        <f>IF(C982="","",Order!$K$16)</f>
        <v/>
      </c>
      <c r="K982" s="36" t="str">
        <f>IF($C982="","",_xlfn.XLOOKUP($C982,Order!$C:$C,Order!$P:$P,"",0,1))</f>
        <v/>
      </c>
      <c r="L982" s="4" t="str">
        <f t="shared" si="15"/>
        <v/>
      </c>
    </row>
    <row r="983" spans="2:12" ht="23.25" hidden="1" customHeight="1" x14ac:dyDescent="0.25">
      <c r="B983" s="4">
        <v>978</v>
      </c>
      <c r="C983" s="36" t="str">
        <f>IF(Order!$C$304="","",Order!$C$304)</f>
        <v/>
      </c>
      <c r="D983" s="36" t="str">
        <f>IF($C983="","",_xlfn.XLOOKUP($C983,Order!$C:$C,Order!$D:$D,"",0,1))</f>
        <v/>
      </c>
      <c r="E983" s="4" t="str">
        <f>IF($C983="","",_xlfn.XLOOKUP($C983,Order!$C:$C,Order!$E:$E,"",0,1))</f>
        <v/>
      </c>
      <c r="F983" s="4" t="str">
        <f>IF($C983="","",_xlfn.XLOOKUP($C983,Order!$C:$C,Order!$F:$F,"",0,1))</f>
        <v/>
      </c>
      <c r="G983" s="4" t="str">
        <f>IF($C983="","",_xlfn.XLOOKUP($C983,Order!$C:$C,Order!$G:$G,"",0,1))</f>
        <v/>
      </c>
      <c r="H983" s="4" t="str">
        <f>IF($C983="","",_xlfn.XLOOKUP($C983,Order!$C:$C,Order!$H:$H,"",0,1))</f>
        <v/>
      </c>
      <c r="I983" s="36" t="str">
        <f>IF($C983="","",_xlfn.XLOOKUP($C983,Order!$C:$C,Order!$K:$K,"",0,1))</f>
        <v/>
      </c>
      <c r="J983" s="4" t="str">
        <f>IF(C983="","",Order!$K$16)</f>
        <v/>
      </c>
      <c r="K983" s="36" t="str">
        <f>IF($C983="","",_xlfn.XLOOKUP($C983,Order!$C:$C,Order!$P:$P,"",0,1))</f>
        <v/>
      </c>
      <c r="L983" s="4" t="str">
        <f t="shared" si="15"/>
        <v/>
      </c>
    </row>
    <row r="984" spans="2:12" ht="23.25" hidden="1" customHeight="1" x14ac:dyDescent="0.25">
      <c r="B984" s="4">
        <v>979</v>
      </c>
      <c r="C984" s="36" t="str">
        <f>IF(Order!$C$305="","",Order!$C$305)</f>
        <v/>
      </c>
      <c r="D984" s="36" t="str">
        <f>IF($C984="","",_xlfn.XLOOKUP($C984,Order!$C:$C,Order!$D:$D,"",0,1))</f>
        <v/>
      </c>
      <c r="E984" s="4" t="str">
        <f>IF($C984="","",_xlfn.XLOOKUP($C984,Order!$C:$C,Order!$E:$E,"",0,1))</f>
        <v/>
      </c>
      <c r="F984" s="4" t="str">
        <f>IF($C984="","",_xlfn.XLOOKUP($C984,Order!$C:$C,Order!$F:$F,"",0,1))</f>
        <v/>
      </c>
      <c r="G984" s="4" t="str">
        <f>IF($C984="","",_xlfn.XLOOKUP($C984,Order!$C:$C,Order!$G:$G,"",0,1))</f>
        <v/>
      </c>
      <c r="H984" s="4" t="str">
        <f>IF($C984="","",_xlfn.XLOOKUP($C984,Order!$C:$C,Order!$H:$H,"",0,1))</f>
        <v/>
      </c>
      <c r="I984" s="36" t="str">
        <f>IF($C984="","",_xlfn.XLOOKUP($C984,Order!$C:$C,Order!$K:$K,"",0,1))</f>
        <v/>
      </c>
      <c r="J984" s="4" t="str">
        <f>IF(C984="","",Order!$K$16)</f>
        <v/>
      </c>
      <c r="K984" s="36" t="str">
        <f>IF($C984="","",_xlfn.XLOOKUP($C984,Order!$C:$C,Order!$P:$P,"",0,1))</f>
        <v/>
      </c>
      <c r="L984" s="4" t="str">
        <f t="shared" si="15"/>
        <v/>
      </c>
    </row>
    <row r="985" spans="2:12" ht="23.25" hidden="1" customHeight="1" x14ac:dyDescent="0.25">
      <c r="B985" s="4">
        <v>980</v>
      </c>
      <c r="C985" s="36" t="str">
        <f>IF(Order!$C$306="","",Order!$C$306)</f>
        <v>BX662</v>
      </c>
      <c r="D985" s="36" t="str">
        <f>IF($C985="","",_xlfn.XLOOKUP($C985,Order!$C:$C,Order!$D:$D,"",0,1))</f>
        <v>BX662</v>
      </c>
      <c r="E985" s="4" t="e" vm="478">
        <f>IF($C985="","",_xlfn.XLOOKUP($C985,Order!$C:$C,Order!$E:$E,"",0,1))</f>
        <v>#VALUE!</v>
      </c>
      <c r="F985" s="4">
        <f>IF($C985="","",_xlfn.XLOOKUP($C985,Order!$C:$C,Order!$F:$F,"",0,1))</f>
        <v>6000</v>
      </c>
      <c r="G985" s="4" t="str">
        <f>IF($C985="","",_xlfn.XLOOKUP($C985,Order!$C:$C,Order!$G:$G,"",0,1))</f>
        <v>6063T5</v>
      </c>
      <c r="H985" s="4">
        <f>IF($C985="","",_xlfn.XLOOKUP($C985,Order!$C:$C,Order!$H:$H,"",0,1))</f>
        <v>0.96499999999999997</v>
      </c>
      <c r="I985" s="36">
        <f>IF($C985="","",_xlfn.XLOOKUP($C985,Order!$C:$C,Order!$K:$K,"",0,1))</f>
        <v>0</v>
      </c>
      <c r="J985" s="4" t="str">
        <f>IF(C985="","",Order!$K$16)</f>
        <v>WHITE POWDER COAT (PE/BA)</v>
      </c>
      <c r="K985" s="36">
        <f>IF($C985="","",_xlfn.XLOOKUP($C985,Order!$C:$C,Order!$P:$P,"",0,1))</f>
        <v>0</v>
      </c>
      <c r="L985" s="4">
        <f t="shared" si="15"/>
        <v>0</v>
      </c>
    </row>
    <row r="986" spans="2:12" ht="23.25" hidden="1" customHeight="1" x14ac:dyDescent="0.25">
      <c r="B986" s="4">
        <v>981</v>
      </c>
      <c r="C986" s="36" t="str">
        <f>IF(Order!$C$307="","",Order!$C$307)</f>
        <v>BX663</v>
      </c>
      <c r="D986" s="36" t="str">
        <f>IF($C986="","",_xlfn.XLOOKUP($C986,Order!$C:$C,Order!$D:$D,"",0,1))</f>
        <v>BX663</v>
      </c>
      <c r="E986" s="4" t="e" vm="479">
        <f>IF($C986="","",_xlfn.XLOOKUP($C986,Order!$C:$C,Order!$E:$E,"",0,1))</f>
        <v>#VALUE!</v>
      </c>
      <c r="F986" s="4">
        <f>IF($C986="","",_xlfn.XLOOKUP($C986,Order!$C:$C,Order!$F:$F,"",0,1))</f>
        <v>6000</v>
      </c>
      <c r="G986" s="4" t="str">
        <f>IF($C986="","",_xlfn.XLOOKUP($C986,Order!$C:$C,Order!$G:$G,"",0,1))</f>
        <v>6063T5</v>
      </c>
      <c r="H986" s="4">
        <f>IF($C986="","",_xlfn.XLOOKUP($C986,Order!$C:$C,Order!$H:$H,"",0,1))</f>
        <v>0.58899999999999997</v>
      </c>
      <c r="I986" s="36">
        <f>IF($C986="","",_xlfn.XLOOKUP($C986,Order!$C:$C,Order!$K:$K,"",0,1))</f>
        <v>0</v>
      </c>
      <c r="J986" s="4" t="str">
        <f>IF(C986="","",Order!$K$16)</f>
        <v>WHITE POWDER COAT (PE/BA)</v>
      </c>
      <c r="K986" s="36">
        <f>IF($C986="","",_xlfn.XLOOKUP($C986,Order!$C:$C,Order!$P:$P,"",0,1))</f>
        <v>0</v>
      </c>
      <c r="L986" s="4">
        <f t="shared" si="15"/>
        <v>0</v>
      </c>
    </row>
    <row r="987" spans="2:12" ht="23.25" hidden="1" customHeight="1" x14ac:dyDescent="0.25">
      <c r="B987" s="4">
        <v>982</v>
      </c>
      <c r="C987" s="36" t="str">
        <f>IF(Order!$C$308="","",Order!$C$308)</f>
        <v>BX664</v>
      </c>
      <c r="D987" s="36" t="str">
        <f>IF($C987="","",_xlfn.XLOOKUP($C987,Order!$C:$C,Order!$D:$D,"",0,1))</f>
        <v>BX664</v>
      </c>
      <c r="E987" s="4" t="e" vm="480">
        <f>IF($C987="","",_xlfn.XLOOKUP($C987,Order!$C:$C,Order!$E:$E,"",0,1))</f>
        <v>#VALUE!</v>
      </c>
      <c r="F987" s="4">
        <f>IF($C987="","",_xlfn.XLOOKUP($C987,Order!$C:$C,Order!$F:$F,"",0,1))</f>
        <v>6000</v>
      </c>
      <c r="G987" s="4" t="str">
        <f>IF($C987="","",_xlfn.XLOOKUP($C987,Order!$C:$C,Order!$G:$G,"",0,1))</f>
        <v>6063T5</v>
      </c>
      <c r="H987" s="4">
        <f>IF($C987="","",_xlfn.XLOOKUP($C987,Order!$C:$C,Order!$H:$H,"",0,1))</f>
        <v>1.244</v>
      </c>
      <c r="I987" s="36">
        <f>IF($C987="","",_xlfn.XLOOKUP($C987,Order!$C:$C,Order!$K:$K,"",0,1))</f>
        <v>0</v>
      </c>
      <c r="J987" s="4" t="str">
        <f>IF(C987="","",Order!$K$16)</f>
        <v>WHITE POWDER COAT (PE/BA)</v>
      </c>
      <c r="K987" s="36">
        <f>IF($C987="","",_xlfn.XLOOKUP($C987,Order!$C:$C,Order!$P:$P,"",0,1))</f>
        <v>0</v>
      </c>
      <c r="L987" s="4">
        <f t="shared" si="15"/>
        <v>0</v>
      </c>
    </row>
    <row r="988" spans="2:12" ht="23.25" hidden="1" customHeight="1" x14ac:dyDescent="0.25">
      <c r="B988" s="4">
        <v>983</v>
      </c>
      <c r="C988" s="36" t="str">
        <f>IF(Order!$C$309="","",Order!$C$309)</f>
        <v>BX665</v>
      </c>
      <c r="D988" s="36" t="str">
        <f>IF($C988="","",_xlfn.XLOOKUP($C988,Order!$C:$C,Order!$D:$D,"",0,1))</f>
        <v>BX665</v>
      </c>
      <c r="E988" s="4" t="e" vm="481">
        <f>IF($C988="","",_xlfn.XLOOKUP($C988,Order!$C:$C,Order!$E:$E,"",0,1))</f>
        <v>#VALUE!</v>
      </c>
      <c r="F988" s="4">
        <f>IF($C988="","",_xlfn.XLOOKUP($C988,Order!$C:$C,Order!$F:$F,"",0,1))</f>
        <v>6000</v>
      </c>
      <c r="G988" s="4" t="str">
        <f>IF($C988="","",_xlfn.XLOOKUP($C988,Order!$C:$C,Order!$G:$G,"",0,1))</f>
        <v>6063T5</v>
      </c>
      <c r="H988" s="4">
        <f>IF($C988="","",_xlfn.XLOOKUP($C988,Order!$C:$C,Order!$H:$H,"",0,1))</f>
        <v>0.192</v>
      </c>
      <c r="I988" s="36">
        <f>IF($C988="","",_xlfn.XLOOKUP($C988,Order!$C:$C,Order!$K:$K,"",0,1))</f>
        <v>0</v>
      </c>
      <c r="J988" s="4" t="str">
        <f>IF(C988="","",Order!$K$16)</f>
        <v>WHITE POWDER COAT (PE/BA)</v>
      </c>
      <c r="K988" s="36">
        <f>IF($C988="","",_xlfn.XLOOKUP($C988,Order!$C:$C,Order!$P:$P,"",0,1))</f>
        <v>0</v>
      </c>
      <c r="L988" s="4">
        <f t="shared" si="15"/>
        <v>0</v>
      </c>
    </row>
    <row r="989" spans="2:12" ht="23.25" hidden="1" customHeight="1" x14ac:dyDescent="0.25">
      <c r="B989" s="4">
        <v>984</v>
      </c>
      <c r="C989" s="36" t="str">
        <f>IF(Order!$C$310="","",Order!$C$310)</f>
        <v>BX666</v>
      </c>
      <c r="D989" s="36" t="str">
        <f>IF($C989="","",_xlfn.XLOOKUP($C989,Order!$C:$C,Order!$D:$D,"",0,1))</f>
        <v>BX666</v>
      </c>
      <c r="E989" s="4" t="e" vm="482">
        <f>IF($C989="","",_xlfn.XLOOKUP($C989,Order!$C:$C,Order!$E:$E,"",0,1))</f>
        <v>#VALUE!</v>
      </c>
      <c r="F989" s="4">
        <f>IF($C989="","",_xlfn.XLOOKUP($C989,Order!$C:$C,Order!$F:$F,"",0,1))</f>
        <v>6000</v>
      </c>
      <c r="G989" s="4" t="str">
        <f>IF($C989="","",_xlfn.XLOOKUP($C989,Order!$C:$C,Order!$G:$G,"",0,1))</f>
        <v>6063T5</v>
      </c>
      <c r="H989" s="4">
        <f>IF($C989="","",_xlfn.XLOOKUP($C989,Order!$C:$C,Order!$H:$H,"",0,1))</f>
        <v>0.48799999999999999</v>
      </c>
      <c r="I989" s="36">
        <f>IF($C989="","",_xlfn.XLOOKUP($C989,Order!$C:$C,Order!$K:$K,"",0,1))</f>
        <v>0</v>
      </c>
      <c r="J989" s="4" t="str">
        <f>IF(C989="","",Order!$K$16)</f>
        <v>WHITE POWDER COAT (PE/BA)</v>
      </c>
      <c r="K989" s="36">
        <f>IF($C989="","",_xlfn.XLOOKUP($C989,Order!$C:$C,Order!$P:$P,"",0,1))</f>
        <v>0</v>
      </c>
      <c r="L989" s="4">
        <f t="shared" si="15"/>
        <v>0</v>
      </c>
    </row>
    <row r="990" spans="2:12" ht="23.25" hidden="1" customHeight="1" x14ac:dyDescent="0.25">
      <c r="B990" s="4">
        <v>985</v>
      </c>
      <c r="C990" s="36" t="str">
        <f>IF(Order!$C$311="","",Order!$C$311)</f>
        <v>BX667</v>
      </c>
      <c r="D990" s="36" t="str">
        <f>IF($C990="","",_xlfn.XLOOKUP($C990,Order!$C:$C,Order!$D:$D,"",0,1))</f>
        <v>BX667</v>
      </c>
      <c r="E990" s="4" t="e" vm="483">
        <f>IF($C990="","",_xlfn.XLOOKUP($C990,Order!$C:$C,Order!$E:$E,"",0,1))</f>
        <v>#VALUE!</v>
      </c>
      <c r="F990" s="4">
        <f>IF($C990="","",_xlfn.XLOOKUP($C990,Order!$C:$C,Order!$F:$F,"",0,1))</f>
        <v>6000</v>
      </c>
      <c r="G990" s="4" t="str">
        <f>IF($C990="","",_xlfn.XLOOKUP($C990,Order!$C:$C,Order!$G:$G,"",0,1))</f>
        <v>6063T5</v>
      </c>
      <c r="H990" s="4">
        <f>IF($C990="","",_xlfn.XLOOKUP($C990,Order!$C:$C,Order!$H:$H,"",0,1))</f>
        <v>0.48299999999999998</v>
      </c>
      <c r="I990" s="36">
        <f>IF($C990="","",_xlfn.XLOOKUP($C990,Order!$C:$C,Order!$K:$K,"",0,1))</f>
        <v>0</v>
      </c>
      <c r="J990" s="4" t="str">
        <f>IF(C990="","",Order!$K$16)</f>
        <v>WHITE POWDER COAT (PE/BA)</v>
      </c>
      <c r="K990" s="36">
        <f>IF($C990="","",_xlfn.XLOOKUP($C990,Order!$C:$C,Order!$P:$P,"",0,1))</f>
        <v>0</v>
      </c>
      <c r="L990" s="4">
        <f t="shared" si="15"/>
        <v>0</v>
      </c>
    </row>
    <row r="991" spans="2:12" ht="23.25" hidden="1" customHeight="1" x14ac:dyDescent="0.25">
      <c r="B991" s="4">
        <v>986</v>
      </c>
      <c r="C991" s="36" t="str">
        <f>IF(Order!$C$312="","",Order!$C$312)</f>
        <v>BX709</v>
      </c>
      <c r="D991" s="36" t="str">
        <f>IF($C991="","",_xlfn.XLOOKUP($C991,Order!$C:$C,Order!$D:$D,"",0,1))</f>
        <v>BX709</v>
      </c>
      <c r="E991" s="4" t="e" vm="484">
        <f>IF($C991="","",_xlfn.XLOOKUP($C991,Order!$C:$C,Order!$E:$E,"",0,1))</f>
        <v>#VALUE!</v>
      </c>
      <c r="F991" s="4">
        <f>IF($C991="","",_xlfn.XLOOKUP($C991,Order!$C:$C,Order!$F:$F,"",0,1))</f>
        <v>6000</v>
      </c>
      <c r="G991" s="4" t="str">
        <f>IF($C991="","",_xlfn.XLOOKUP($C991,Order!$C:$C,Order!$G:$G,"",0,1))</f>
        <v>6063T5</v>
      </c>
      <c r="H991" s="4">
        <f>IF($C991="","",_xlfn.XLOOKUP($C991,Order!$C:$C,Order!$H:$H,"",0,1))</f>
        <v>1.595</v>
      </c>
      <c r="I991" s="36">
        <f>IF($C991="","",_xlfn.XLOOKUP($C991,Order!$C:$C,Order!$K:$K,"",0,1))</f>
        <v>0</v>
      </c>
      <c r="J991" s="4" t="str">
        <f>IF(C991="","",Order!$K$16)</f>
        <v>WHITE POWDER COAT (PE/BA)</v>
      </c>
      <c r="K991" s="36">
        <f>IF($C991="","",_xlfn.XLOOKUP($C991,Order!$C:$C,Order!$P:$P,"",0,1))</f>
        <v>0</v>
      </c>
      <c r="L991" s="4">
        <f t="shared" si="15"/>
        <v>0</v>
      </c>
    </row>
    <row r="992" spans="2:12" ht="23.25" hidden="1" customHeight="1" x14ac:dyDescent="0.25">
      <c r="B992" s="4">
        <v>987</v>
      </c>
      <c r="C992" s="36" t="str">
        <f>IF(Order!$C$313="","",Order!$C$313)</f>
        <v>BX710</v>
      </c>
      <c r="D992" s="36" t="str">
        <f>IF($C992="","",_xlfn.XLOOKUP($C992,Order!$C:$C,Order!$D:$D,"",0,1))</f>
        <v>BX710</v>
      </c>
      <c r="E992" s="4" t="e" vm="485">
        <f>IF($C992="","",_xlfn.XLOOKUP($C992,Order!$C:$C,Order!$E:$E,"",0,1))</f>
        <v>#VALUE!</v>
      </c>
      <c r="F992" s="4">
        <f>IF($C992="","",_xlfn.XLOOKUP($C992,Order!$C:$C,Order!$F:$F,"",0,1))</f>
        <v>6000</v>
      </c>
      <c r="G992" s="4" t="str">
        <f>IF($C992="","",_xlfn.XLOOKUP($C992,Order!$C:$C,Order!$G:$G,"",0,1))</f>
        <v>6063T5</v>
      </c>
      <c r="H992" s="4">
        <f>IF($C992="","",_xlfn.XLOOKUP($C992,Order!$C:$C,Order!$H:$H,"",0,1))</f>
        <v>2.125</v>
      </c>
      <c r="I992" s="36">
        <f>IF($C992="","",_xlfn.XLOOKUP($C992,Order!$C:$C,Order!$K:$K,"",0,1))</f>
        <v>0</v>
      </c>
      <c r="J992" s="4" t="str">
        <f>IF(C992="","",Order!$K$16)</f>
        <v>WHITE POWDER COAT (PE/BA)</v>
      </c>
      <c r="K992" s="36">
        <f>IF($C992="","",_xlfn.XLOOKUP($C992,Order!$C:$C,Order!$P:$P,"",0,1))</f>
        <v>0</v>
      </c>
      <c r="L992" s="4">
        <f t="shared" si="15"/>
        <v>0</v>
      </c>
    </row>
    <row r="993" spans="2:12" ht="23.25" hidden="1" customHeight="1" x14ac:dyDescent="0.25">
      <c r="B993" s="4">
        <v>988</v>
      </c>
      <c r="C993" s="36" t="str">
        <f>IF(Order!$C$314="","",Order!$C$314)</f>
        <v>BX713</v>
      </c>
      <c r="D993" s="36" t="str">
        <f>IF($C993="","",_xlfn.XLOOKUP($C993,Order!$C:$C,Order!$D:$D,"",0,1))</f>
        <v>BX713</v>
      </c>
      <c r="E993" s="4" t="e" vm="486">
        <f>IF($C993="","",_xlfn.XLOOKUP($C993,Order!$C:$C,Order!$E:$E,"",0,1))</f>
        <v>#VALUE!</v>
      </c>
      <c r="F993" s="4">
        <f>IF($C993="","",_xlfn.XLOOKUP($C993,Order!$C:$C,Order!$F:$F,"",0,1))</f>
        <v>6000</v>
      </c>
      <c r="G993" s="4" t="str">
        <f>IF($C993="","",_xlfn.XLOOKUP($C993,Order!$C:$C,Order!$G:$G,"",0,1))</f>
        <v>6063T5</v>
      </c>
      <c r="H993" s="4">
        <f>IF($C993="","",_xlfn.XLOOKUP($C993,Order!$C:$C,Order!$H:$H,"",0,1))</f>
        <v>1.169</v>
      </c>
      <c r="I993" s="36">
        <f>IF($C993="","",_xlfn.XLOOKUP($C993,Order!$C:$C,Order!$K:$K,"",0,1))</f>
        <v>0</v>
      </c>
      <c r="J993" s="4" t="str">
        <f>IF(C993="","",Order!$K$16)</f>
        <v>WHITE POWDER COAT (PE/BA)</v>
      </c>
      <c r="K993" s="36">
        <f>IF($C993="","",_xlfn.XLOOKUP($C993,Order!$C:$C,Order!$P:$P,"",0,1))</f>
        <v>0</v>
      </c>
      <c r="L993" s="4">
        <f t="shared" si="15"/>
        <v>0</v>
      </c>
    </row>
    <row r="994" spans="2:12" ht="23.25" hidden="1" customHeight="1" x14ac:dyDescent="0.25">
      <c r="B994" s="4">
        <v>989</v>
      </c>
      <c r="C994" s="36" t="str">
        <f>IF(Order!$C$315="","",Order!$C$315)</f>
        <v>BX716</v>
      </c>
      <c r="D994" s="36" t="str">
        <f>IF($C994="","",_xlfn.XLOOKUP($C994,Order!$C:$C,Order!$D:$D,"",0,1))</f>
        <v>BX716</v>
      </c>
      <c r="E994" s="4" t="e" vm="487">
        <f>IF($C994="","",_xlfn.XLOOKUP($C994,Order!$C:$C,Order!$E:$E,"",0,1))</f>
        <v>#VALUE!</v>
      </c>
      <c r="F994" s="4">
        <f>IF($C994="","",_xlfn.XLOOKUP($C994,Order!$C:$C,Order!$F:$F,"",0,1))</f>
        <v>6000</v>
      </c>
      <c r="G994" s="4" t="str">
        <f>IF($C994="","",_xlfn.XLOOKUP($C994,Order!$C:$C,Order!$G:$G,"",0,1))</f>
        <v>6063T5</v>
      </c>
      <c r="H994" s="4">
        <f>IF($C994="","",_xlfn.XLOOKUP($C994,Order!$C:$C,Order!$H:$H,"",0,1))</f>
        <v>0.71699999999999997</v>
      </c>
      <c r="I994" s="36">
        <f>IF($C994="","",_xlfn.XLOOKUP($C994,Order!$C:$C,Order!$K:$K,"",0,1))</f>
        <v>0</v>
      </c>
      <c r="J994" s="4" t="str">
        <f>IF(C994="","",Order!$K$16)</f>
        <v>WHITE POWDER COAT (PE/BA)</v>
      </c>
      <c r="K994" s="36">
        <f>IF($C994="","",_xlfn.XLOOKUP($C994,Order!$C:$C,Order!$P:$P,"",0,1))</f>
        <v>0</v>
      </c>
      <c r="L994" s="4">
        <f t="shared" si="15"/>
        <v>0</v>
      </c>
    </row>
    <row r="995" spans="2:12" ht="23.25" hidden="1" customHeight="1" x14ac:dyDescent="0.25">
      <c r="B995" s="4">
        <v>990</v>
      </c>
      <c r="C995" s="36" t="str">
        <f>IF(Order!$C$316="","",Order!$C$316)</f>
        <v>BX717A</v>
      </c>
      <c r="D995" s="36" t="str">
        <f>IF($C995="","",_xlfn.XLOOKUP($C995,Order!$C:$C,Order!$D:$D,"",0,1))</f>
        <v>BX717A</v>
      </c>
      <c r="E995" s="4" t="e" vm="488">
        <f>IF($C995="","",_xlfn.XLOOKUP($C995,Order!$C:$C,Order!$E:$E,"",0,1))</f>
        <v>#VALUE!</v>
      </c>
      <c r="F995" s="4">
        <f>IF($C995="","",_xlfn.XLOOKUP($C995,Order!$C:$C,Order!$F:$F,"",0,1))</f>
        <v>6000</v>
      </c>
      <c r="G995" s="4" t="str">
        <f>IF($C995="","",_xlfn.XLOOKUP($C995,Order!$C:$C,Order!$G:$G,"",0,1))</f>
        <v>6063T5</v>
      </c>
      <c r="H995" s="4">
        <f>IF($C995="","",_xlfn.XLOOKUP($C995,Order!$C:$C,Order!$H:$H,"",0,1))</f>
        <v>0.68500000000000005</v>
      </c>
      <c r="I995" s="36">
        <f>IF($C995="","",_xlfn.XLOOKUP($C995,Order!$C:$C,Order!$K:$K,"",0,1))</f>
        <v>0</v>
      </c>
      <c r="J995" s="4" t="str">
        <f>IF(C995="","",Order!$K$16)</f>
        <v>WHITE POWDER COAT (PE/BA)</v>
      </c>
      <c r="K995" s="36">
        <f>IF($C995="","",_xlfn.XLOOKUP($C995,Order!$C:$C,Order!$P:$P,"",0,1))</f>
        <v>0</v>
      </c>
      <c r="L995" s="4">
        <f t="shared" si="15"/>
        <v>0</v>
      </c>
    </row>
    <row r="996" spans="2:12" ht="23.25" hidden="1" customHeight="1" x14ac:dyDescent="0.25">
      <c r="B996" s="4">
        <v>991</v>
      </c>
      <c r="C996" s="36" t="str">
        <f>IF(Order!$C$317="","",Order!$C$317)</f>
        <v>BX1096 (FC-261)</v>
      </c>
      <c r="D996" s="36" t="str">
        <f>IF($C996="","",_xlfn.XLOOKUP($C996,Order!$C:$C,Order!$D:$D,"",0,1))</f>
        <v>BX1096</v>
      </c>
      <c r="E996" s="4" t="e" vm="489">
        <f>IF($C996="","",_xlfn.XLOOKUP($C996,Order!$C:$C,Order!$E:$E,"",0,1))</f>
        <v>#VALUE!</v>
      </c>
      <c r="F996" s="4">
        <f>IF($C996="","",_xlfn.XLOOKUP($C996,Order!$C:$C,Order!$F:$F,"",0,1))</f>
        <v>6000</v>
      </c>
      <c r="G996" s="4" t="str">
        <f>IF($C996="","",_xlfn.XLOOKUP($C996,Order!$C:$C,Order!$G:$G,"",0,1))</f>
        <v>6063T5</v>
      </c>
      <c r="H996" s="4">
        <f>IF($C996="","",_xlfn.XLOOKUP($C996,Order!$C:$C,Order!$H:$H,"",0,1))</f>
        <v>0.46899999999999997</v>
      </c>
      <c r="I996" s="36">
        <f>IF($C996="","",_xlfn.XLOOKUP($C996,Order!$C:$C,Order!$K:$K,"",0,1))</f>
        <v>0</v>
      </c>
      <c r="J996" s="4" t="str">
        <f>IF(C996="","",Order!$K$16)</f>
        <v>WHITE POWDER COAT (PE/BA)</v>
      </c>
      <c r="K996" s="36">
        <f>IF($C996="","",_xlfn.XLOOKUP($C996,Order!$C:$C,Order!$P:$P,"",0,1))</f>
        <v>0</v>
      </c>
      <c r="L996" s="4">
        <f t="shared" si="15"/>
        <v>0</v>
      </c>
    </row>
    <row r="997" spans="2:12" ht="23.25" hidden="1" customHeight="1" x14ac:dyDescent="0.25">
      <c r="B997" s="4">
        <v>992</v>
      </c>
      <c r="C997" s="36" t="str">
        <f>IF(Order!$C$318="","",Order!$C$318)</f>
        <v>BX1099 (FC-225)</v>
      </c>
      <c r="D997" s="36" t="str">
        <f>IF($C997="","",_xlfn.XLOOKUP($C997,Order!$C:$C,Order!$D:$D,"",0,1))</f>
        <v>BX1099</v>
      </c>
      <c r="E997" s="4" t="e" vm="490">
        <f>IF($C997="","",_xlfn.XLOOKUP($C997,Order!$C:$C,Order!$E:$E,"",0,1))</f>
        <v>#VALUE!</v>
      </c>
      <c r="F997" s="4">
        <f>IF($C997="","",_xlfn.XLOOKUP($C997,Order!$C:$C,Order!$F:$F,"",0,1))</f>
        <v>6000</v>
      </c>
      <c r="G997" s="4" t="str">
        <f>IF($C997="","",_xlfn.XLOOKUP($C997,Order!$C:$C,Order!$G:$G,"",0,1))</f>
        <v>6063T5</v>
      </c>
      <c r="H997" s="4">
        <f>IF($C997="","",_xlfn.XLOOKUP($C997,Order!$C:$C,Order!$H:$H,"",0,1))</f>
        <v>0.51600000000000001</v>
      </c>
      <c r="I997" s="36">
        <f>IF($C997="","",_xlfn.XLOOKUP($C997,Order!$C:$C,Order!$K:$K,"",0,1))</f>
        <v>0</v>
      </c>
      <c r="J997" s="4" t="str">
        <f>IF(C997="","",Order!$K$16)</f>
        <v>WHITE POWDER COAT (PE/BA)</v>
      </c>
      <c r="K997" s="36">
        <f>IF($C997="","",_xlfn.XLOOKUP($C997,Order!$C:$C,Order!$P:$P,"",0,1))</f>
        <v>0</v>
      </c>
      <c r="L997" s="4">
        <f t="shared" si="15"/>
        <v>0</v>
      </c>
    </row>
    <row r="998" spans="2:12" ht="23.25" hidden="1" customHeight="1" x14ac:dyDescent="0.25">
      <c r="B998" s="4">
        <v>993</v>
      </c>
      <c r="C998" s="36" t="str">
        <f>IF(Order!$C$319="","",Order!$C$319)</f>
        <v/>
      </c>
      <c r="D998" s="36" t="str">
        <f>IF($C998="","",_xlfn.XLOOKUP($C998,Order!$C:$C,Order!$D:$D,"",0,1))</f>
        <v/>
      </c>
      <c r="E998" s="4" t="str">
        <f>IF($C998="","",_xlfn.XLOOKUP($C998,Order!$C:$C,Order!$E:$E,"",0,1))</f>
        <v/>
      </c>
      <c r="F998" s="4" t="str">
        <f>IF($C998="","",_xlfn.XLOOKUP($C998,Order!$C:$C,Order!$F:$F,"",0,1))</f>
        <v/>
      </c>
      <c r="G998" s="4" t="str">
        <f>IF($C998="","",_xlfn.XLOOKUP($C998,Order!$C:$C,Order!$G:$G,"",0,1))</f>
        <v/>
      </c>
      <c r="H998" s="4" t="str">
        <f>IF($C998="","",_xlfn.XLOOKUP($C998,Order!$C:$C,Order!$H:$H,"",0,1))</f>
        <v/>
      </c>
      <c r="I998" s="36" t="str">
        <f>IF($C998="","",_xlfn.XLOOKUP($C998,Order!$C:$C,Order!$K:$K,"",0,1))</f>
        <v/>
      </c>
      <c r="J998" s="4" t="str">
        <f>IF(C998="","",Order!$K$16)</f>
        <v/>
      </c>
      <c r="K998" s="36" t="str">
        <f>IF($C998="","",_xlfn.XLOOKUP($C998,Order!$C:$C,Order!$P:$P,"",0,1))</f>
        <v/>
      </c>
      <c r="L998" s="4" t="str">
        <f t="shared" si="15"/>
        <v/>
      </c>
    </row>
    <row r="999" spans="2:12" ht="23.25" hidden="1" customHeight="1" x14ac:dyDescent="0.25">
      <c r="B999" s="4">
        <v>994</v>
      </c>
      <c r="C999" s="36" t="str">
        <f>IF(Order!$C$320="","",Order!$C$320)</f>
        <v/>
      </c>
      <c r="D999" s="36" t="str">
        <f>IF($C999="","",_xlfn.XLOOKUP($C999,Order!$C:$C,Order!$D:$D,"",0,1))</f>
        <v/>
      </c>
      <c r="E999" s="4" t="str">
        <f>IF($C999="","",_xlfn.XLOOKUP($C999,Order!$C:$C,Order!$E:$E,"",0,1))</f>
        <v/>
      </c>
      <c r="F999" s="4" t="str">
        <f>IF($C999="","",_xlfn.XLOOKUP($C999,Order!$C:$C,Order!$F:$F,"",0,1))</f>
        <v/>
      </c>
      <c r="G999" s="4" t="str">
        <f>IF($C999="","",_xlfn.XLOOKUP($C999,Order!$C:$C,Order!$G:$G,"",0,1))</f>
        <v/>
      </c>
      <c r="H999" s="4" t="str">
        <f>IF($C999="","",_xlfn.XLOOKUP($C999,Order!$C:$C,Order!$H:$H,"",0,1))</f>
        <v/>
      </c>
      <c r="I999" s="36" t="str">
        <f>IF($C999="","",_xlfn.XLOOKUP($C999,Order!$C:$C,Order!$K:$K,"",0,1))</f>
        <v/>
      </c>
      <c r="J999" s="4" t="str">
        <f>IF(C999="","",Order!$K$16)</f>
        <v/>
      </c>
      <c r="K999" s="36" t="str">
        <f>IF($C999="","",_xlfn.XLOOKUP($C999,Order!$C:$C,Order!$P:$P,"",0,1))</f>
        <v/>
      </c>
      <c r="L999" s="4" t="str">
        <f t="shared" si="15"/>
        <v/>
      </c>
    </row>
    <row r="1000" spans="2:12" ht="23.25" hidden="1" customHeight="1" x14ac:dyDescent="0.25">
      <c r="B1000" s="4">
        <v>995</v>
      </c>
      <c r="C1000" s="36" t="str">
        <f>IF(Order!$C$321="","",Order!$C$321)</f>
        <v/>
      </c>
      <c r="D1000" s="36" t="str">
        <f>IF($C1000="","",_xlfn.XLOOKUP($C1000,Order!$C:$C,Order!$D:$D,"",0,1))</f>
        <v/>
      </c>
      <c r="E1000" s="4" t="str">
        <f>IF($C1000="","",_xlfn.XLOOKUP($C1000,Order!$C:$C,Order!$E:$E,"",0,1))</f>
        <v/>
      </c>
      <c r="F1000" s="4" t="str">
        <f>IF($C1000="","",_xlfn.XLOOKUP($C1000,Order!$C:$C,Order!$F:$F,"",0,1))</f>
        <v/>
      </c>
      <c r="G1000" s="4" t="str">
        <f>IF($C1000="","",_xlfn.XLOOKUP($C1000,Order!$C:$C,Order!$G:$G,"",0,1))</f>
        <v/>
      </c>
      <c r="H1000" s="4" t="str">
        <f>IF($C1000="","",_xlfn.XLOOKUP($C1000,Order!$C:$C,Order!$H:$H,"",0,1))</f>
        <v/>
      </c>
      <c r="I1000" s="36" t="str">
        <f>IF($C1000="","",_xlfn.XLOOKUP($C1000,Order!$C:$C,Order!$K:$K,"",0,1))</f>
        <v/>
      </c>
      <c r="J1000" s="4" t="str">
        <f>IF(C1000="","",Order!$K$16)</f>
        <v/>
      </c>
      <c r="K1000" s="36" t="str">
        <f>IF($C1000="","",_xlfn.XLOOKUP($C1000,Order!$C:$C,Order!$P:$P,"",0,1))</f>
        <v/>
      </c>
      <c r="L1000" s="4" t="str">
        <f t="shared" si="15"/>
        <v/>
      </c>
    </row>
    <row r="1001" spans="2:12" ht="23.25" hidden="1" customHeight="1" x14ac:dyDescent="0.25">
      <c r="B1001" s="4">
        <v>996</v>
      </c>
      <c r="C1001" s="36" t="str">
        <f>IF(Order!$C$322="","",Order!$C$322)</f>
        <v/>
      </c>
      <c r="D1001" s="36" t="str">
        <f>IF($C1001="","",_xlfn.XLOOKUP($C1001,Order!$C:$C,Order!$D:$D,"",0,1))</f>
        <v/>
      </c>
      <c r="E1001" s="4" t="str">
        <f>IF($C1001="","",_xlfn.XLOOKUP($C1001,Order!$C:$C,Order!$E:$E,"",0,1))</f>
        <v/>
      </c>
      <c r="F1001" s="4" t="str">
        <f>IF($C1001="","",_xlfn.XLOOKUP($C1001,Order!$C:$C,Order!$F:$F,"",0,1))</f>
        <v/>
      </c>
      <c r="G1001" s="4" t="str">
        <f>IF($C1001="","",_xlfn.XLOOKUP($C1001,Order!$C:$C,Order!$G:$G,"",0,1))</f>
        <v/>
      </c>
      <c r="H1001" s="4" t="str">
        <f>IF($C1001="","",_xlfn.XLOOKUP($C1001,Order!$C:$C,Order!$H:$H,"",0,1))</f>
        <v/>
      </c>
      <c r="I1001" s="36" t="str">
        <f>IF($C1001="","",_xlfn.XLOOKUP($C1001,Order!$C:$C,Order!$K:$K,"",0,1))</f>
        <v/>
      </c>
      <c r="J1001" s="4" t="str">
        <f>IF(C1001="","",Order!$K$16)</f>
        <v/>
      </c>
      <c r="K1001" s="36" t="str">
        <f>IF($C1001="","",_xlfn.XLOOKUP($C1001,Order!$C:$C,Order!$P:$P,"",0,1))</f>
        <v/>
      </c>
      <c r="L1001" s="4" t="str">
        <f t="shared" si="15"/>
        <v/>
      </c>
    </row>
    <row r="1002" spans="2:12" ht="23.25" hidden="1" customHeight="1" x14ac:dyDescent="0.25">
      <c r="B1002" s="4">
        <v>997</v>
      </c>
      <c r="C1002" s="36" t="str">
        <f>IF(Order!$C$323="","",Order!$C$323)</f>
        <v/>
      </c>
      <c r="D1002" s="36" t="str">
        <f>IF($C1002="","",_xlfn.XLOOKUP($C1002,Order!$C:$C,Order!$D:$D,"",0,1))</f>
        <v/>
      </c>
      <c r="E1002" s="4" t="str">
        <f>IF($C1002="","",_xlfn.XLOOKUP($C1002,Order!$C:$C,Order!$E:$E,"",0,1))</f>
        <v/>
      </c>
      <c r="F1002" s="4" t="str">
        <f>IF($C1002="","",_xlfn.XLOOKUP($C1002,Order!$C:$C,Order!$F:$F,"",0,1))</f>
        <v/>
      </c>
      <c r="G1002" s="4" t="str">
        <f>IF($C1002="","",_xlfn.XLOOKUP($C1002,Order!$C:$C,Order!$G:$G,"",0,1))</f>
        <v/>
      </c>
      <c r="H1002" s="4" t="str">
        <f>IF($C1002="","",_xlfn.XLOOKUP($C1002,Order!$C:$C,Order!$H:$H,"",0,1))</f>
        <v/>
      </c>
      <c r="I1002" s="36" t="str">
        <f>IF($C1002="","",_xlfn.XLOOKUP($C1002,Order!$C:$C,Order!$K:$K,"",0,1))</f>
        <v/>
      </c>
      <c r="J1002" s="4" t="str">
        <f>IF(C1002="","",Order!$K$16)</f>
        <v/>
      </c>
      <c r="K1002" s="36" t="str">
        <f>IF($C1002="","",_xlfn.XLOOKUP($C1002,Order!$C:$C,Order!$P:$P,"",0,1))</f>
        <v/>
      </c>
      <c r="L1002" s="4" t="str">
        <f t="shared" si="15"/>
        <v/>
      </c>
    </row>
    <row r="1003" spans="2:12" ht="23.25" hidden="1" customHeight="1" x14ac:dyDescent="0.25">
      <c r="B1003" s="4">
        <v>998</v>
      </c>
      <c r="C1003" s="36" t="str">
        <f>IF(Order!$C$324="","",Order!$C$324)</f>
        <v>BX1095</v>
      </c>
      <c r="D1003" s="36" t="str">
        <f>IF($C1003="","",_xlfn.XLOOKUP($C1003,Order!$C:$C,Order!$D:$D,"",0,1))</f>
        <v>BX1095</v>
      </c>
      <c r="E1003" s="4" t="e" vm="491">
        <f>IF($C1003="","",_xlfn.XLOOKUP($C1003,Order!$C:$C,Order!$E:$E,"",0,1))</f>
        <v>#VALUE!</v>
      </c>
      <c r="F1003" s="4">
        <f>IF($C1003="","",_xlfn.XLOOKUP($C1003,Order!$C:$C,Order!$F:$F,"",0,1))</f>
        <v>6000</v>
      </c>
      <c r="G1003" s="4" t="str">
        <f>IF($C1003="","",_xlfn.XLOOKUP($C1003,Order!$C:$C,Order!$G:$G,"",0,1))</f>
        <v>6063T5</v>
      </c>
      <c r="H1003" s="4">
        <f>IF($C1003="","",_xlfn.XLOOKUP($C1003,Order!$C:$C,Order!$H:$H,"",0,1))</f>
        <v>0.64400000000000002</v>
      </c>
      <c r="I1003" s="36">
        <f>IF($C1003="","",_xlfn.XLOOKUP($C1003,Order!$C:$C,Order!$K:$K,"",0,1))</f>
        <v>0</v>
      </c>
      <c r="J1003" s="4" t="str">
        <f>IF(C1003="","",Order!$K$16)</f>
        <v>WHITE POWDER COAT (PE/BA)</v>
      </c>
      <c r="K1003" s="36">
        <f>IF($C1003="","",_xlfn.XLOOKUP($C1003,Order!$C:$C,Order!$P:$P,"",0,1))</f>
        <v>0</v>
      </c>
      <c r="L1003" s="4">
        <f t="shared" si="15"/>
        <v>0</v>
      </c>
    </row>
    <row r="1004" spans="2:12" ht="23.25" hidden="1" customHeight="1" x14ac:dyDescent="0.25">
      <c r="B1004" s="4">
        <v>999</v>
      </c>
      <c r="C1004" s="36" t="str">
        <f>IF(Order!$C$325="","",Order!$C$325)</f>
        <v>BX1097</v>
      </c>
      <c r="D1004" s="36" t="str">
        <f>IF($C1004="","",_xlfn.XLOOKUP($C1004,Order!$C:$C,Order!$D:$D,"",0,1))</f>
        <v>BX1097</v>
      </c>
      <c r="E1004" s="4" t="e" vm="492">
        <f>IF($C1004="","",_xlfn.XLOOKUP($C1004,Order!$C:$C,Order!$E:$E,"",0,1))</f>
        <v>#VALUE!</v>
      </c>
      <c r="F1004" s="4">
        <f>IF($C1004="","",_xlfn.XLOOKUP($C1004,Order!$C:$C,Order!$F:$F,"",0,1))</f>
        <v>6000</v>
      </c>
      <c r="G1004" s="4" t="str">
        <f>IF($C1004="","",_xlfn.XLOOKUP($C1004,Order!$C:$C,Order!$G:$G,"",0,1))</f>
        <v>6063T5</v>
      </c>
      <c r="H1004" s="4">
        <f>IF($C1004="","",_xlfn.XLOOKUP($C1004,Order!$C:$C,Order!$H:$H,"",0,1))</f>
        <v>0.57499999999999996</v>
      </c>
      <c r="I1004" s="36">
        <f>IF($C1004="","",_xlfn.XLOOKUP($C1004,Order!$C:$C,Order!$K:$K,"",0,1))</f>
        <v>0</v>
      </c>
      <c r="J1004" s="4" t="str">
        <f>IF(C1004="","",Order!$K$16)</f>
        <v>WHITE POWDER COAT (PE/BA)</v>
      </c>
      <c r="K1004" s="36">
        <f>IF($C1004="","",_xlfn.XLOOKUP($C1004,Order!$C:$C,Order!$P:$P,"",0,1))</f>
        <v>0</v>
      </c>
      <c r="L1004" s="4">
        <f t="shared" si="15"/>
        <v>0</v>
      </c>
    </row>
    <row r="1005" spans="2:12" ht="23.25" hidden="1" customHeight="1" x14ac:dyDescent="0.25">
      <c r="B1005" s="4">
        <v>1000</v>
      </c>
      <c r="C1005" s="36" t="str">
        <f>IF(Order!$C$326="","",Order!$C$326)</f>
        <v>BX1103</v>
      </c>
      <c r="D1005" s="36" t="str">
        <f>IF($C1005="","",_xlfn.XLOOKUP($C1005,Order!$C:$C,Order!$D:$D,"",0,1))</f>
        <v>BX1103</v>
      </c>
      <c r="E1005" s="4" t="e" vm="493">
        <f>IF($C1005="","",_xlfn.XLOOKUP($C1005,Order!$C:$C,Order!$E:$E,"",0,1))</f>
        <v>#VALUE!</v>
      </c>
      <c r="F1005" s="4">
        <f>IF($C1005="","",_xlfn.XLOOKUP($C1005,Order!$C:$C,Order!$F:$F,"",0,1))</f>
        <v>6000</v>
      </c>
      <c r="G1005" s="4" t="str">
        <f>IF($C1005="","",_xlfn.XLOOKUP($C1005,Order!$C:$C,Order!$G:$G,"",0,1))</f>
        <v>6063T5</v>
      </c>
      <c r="H1005" s="4">
        <f>IF($C1005="","",_xlfn.XLOOKUP($C1005,Order!$C:$C,Order!$H:$H,"",0,1))</f>
        <v>0.6</v>
      </c>
      <c r="I1005" s="36">
        <f>IF($C1005="","",_xlfn.XLOOKUP($C1005,Order!$C:$C,Order!$K:$K,"",0,1))</f>
        <v>0</v>
      </c>
      <c r="J1005" s="4" t="str">
        <f>IF(C1005="","",Order!$K$16)</f>
        <v>WHITE POWDER COAT (PE/BA)</v>
      </c>
      <c r="K1005" s="36">
        <f>IF($C1005="","",_xlfn.XLOOKUP($C1005,Order!$C:$C,Order!$P:$P,"",0,1))</f>
        <v>0</v>
      </c>
      <c r="L1005" s="4">
        <f t="shared" si="15"/>
        <v>0</v>
      </c>
    </row>
    <row r="1006" spans="2:12" ht="23.25" hidden="1" customHeight="1" x14ac:dyDescent="0.25">
      <c r="B1006" s="4">
        <v>1001</v>
      </c>
      <c r="C1006" s="36" t="str">
        <f>IF(Order!$C$327="","",Order!$C$327)</f>
        <v/>
      </c>
      <c r="D1006" s="36" t="str">
        <f>IF($C1006="","",_xlfn.XLOOKUP($C1006,Order!$C:$C,Order!$D:$D,"",0,1))</f>
        <v/>
      </c>
      <c r="E1006" s="4" t="str">
        <f>IF($C1006="","",_xlfn.XLOOKUP($C1006,Order!$C:$C,Order!$E:$E,"",0,1))</f>
        <v/>
      </c>
      <c r="F1006" s="4" t="str">
        <f>IF($C1006="","",_xlfn.XLOOKUP($C1006,Order!$C:$C,Order!$F:$F,"",0,1))</f>
        <v/>
      </c>
      <c r="G1006" s="4" t="str">
        <f>IF($C1006="","",_xlfn.XLOOKUP($C1006,Order!$C:$C,Order!$G:$G,"",0,1))</f>
        <v/>
      </c>
      <c r="H1006" s="4" t="str">
        <f>IF($C1006="","",_xlfn.XLOOKUP($C1006,Order!$C:$C,Order!$H:$H,"",0,1))</f>
        <v/>
      </c>
      <c r="I1006" s="36" t="str">
        <f>IF($C1006="","",_xlfn.XLOOKUP($C1006,Order!$C:$C,Order!$K:$K,"",0,1))</f>
        <v/>
      </c>
      <c r="J1006" s="4" t="str">
        <f>IF(C1006="","",Order!$K$16)</f>
        <v/>
      </c>
      <c r="K1006" s="36" t="str">
        <f>IF($C1006="","",_xlfn.XLOOKUP($C1006,Order!$C:$C,Order!$P:$P,"",0,1))</f>
        <v/>
      </c>
      <c r="L1006" s="4" t="str">
        <f t="shared" si="15"/>
        <v/>
      </c>
    </row>
    <row r="1007" spans="2:12" ht="23.25" hidden="1" customHeight="1" x14ac:dyDescent="0.25">
      <c r="B1007" s="4">
        <v>1002</v>
      </c>
      <c r="C1007" s="36" t="str">
        <f>IF(Order!$C$328="","",Order!$C$328)</f>
        <v/>
      </c>
      <c r="D1007" s="36" t="str">
        <f>IF($C1007="","",_xlfn.XLOOKUP($C1007,Order!$C:$C,Order!$D:$D,"",0,1))</f>
        <v/>
      </c>
      <c r="E1007" s="4" t="str">
        <f>IF($C1007="","",_xlfn.XLOOKUP($C1007,Order!$C:$C,Order!$E:$E,"",0,1))</f>
        <v/>
      </c>
      <c r="F1007" s="4" t="str">
        <f>IF($C1007="","",_xlfn.XLOOKUP($C1007,Order!$C:$C,Order!$F:$F,"",0,1))</f>
        <v/>
      </c>
      <c r="G1007" s="4" t="str">
        <f>IF($C1007="","",_xlfn.XLOOKUP($C1007,Order!$C:$C,Order!$G:$G,"",0,1))</f>
        <v/>
      </c>
      <c r="H1007" s="4" t="str">
        <f>IF($C1007="","",_xlfn.XLOOKUP($C1007,Order!$C:$C,Order!$H:$H,"",0,1))</f>
        <v/>
      </c>
      <c r="I1007" s="36" t="str">
        <f>IF($C1007="","",_xlfn.XLOOKUP($C1007,Order!$C:$C,Order!$K:$K,"",0,1))</f>
        <v/>
      </c>
      <c r="J1007" s="4" t="str">
        <f>IF(C1007="","",Order!$K$16)</f>
        <v/>
      </c>
      <c r="K1007" s="36" t="str">
        <f>IF($C1007="","",_xlfn.XLOOKUP($C1007,Order!$C:$C,Order!$P:$P,"",0,1))</f>
        <v/>
      </c>
      <c r="L1007" s="4" t="str">
        <f t="shared" si="15"/>
        <v/>
      </c>
    </row>
    <row r="1008" spans="2:12" ht="23.25" hidden="1" customHeight="1" x14ac:dyDescent="0.25">
      <c r="B1008" s="4">
        <v>1003</v>
      </c>
      <c r="C1008" s="36" t="str">
        <f>IF(Order!$C$329="","",Order!$C$329)</f>
        <v/>
      </c>
      <c r="D1008" s="36" t="str">
        <f>IF($C1008="","",_xlfn.XLOOKUP($C1008,Order!$C:$C,Order!$D:$D,"",0,1))</f>
        <v/>
      </c>
      <c r="E1008" s="4" t="str">
        <f>IF($C1008="","",_xlfn.XLOOKUP($C1008,Order!$C:$C,Order!$E:$E,"",0,1))</f>
        <v/>
      </c>
      <c r="F1008" s="4" t="str">
        <f>IF($C1008="","",_xlfn.XLOOKUP($C1008,Order!$C:$C,Order!$F:$F,"",0,1))</f>
        <v/>
      </c>
      <c r="G1008" s="4" t="str">
        <f>IF($C1008="","",_xlfn.XLOOKUP($C1008,Order!$C:$C,Order!$G:$G,"",0,1))</f>
        <v/>
      </c>
      <c r="H1008" s="4" t="str">
        <f>IF($C1008="","",_xlfn.XLOOKUP($C1008,Order!$C:$C,Order!$H:$H,"",0,1))</f>
        <v/>
      </c>
      <c r="I1008" s="36" t="str">
        <f>IF($C1008="","",_xlfn.XLOOKUP($C1008,Order!$C:$C,Order!$K:$K,"",0,1))</f>
        <v/>
      </c>
      <c r="J1008" s="4" t="str">
        <f>IF(C1008="","",Order!$K$16)</f>
        <v/>
      </c>
      <c r="K1008" s="36" t="str">
        <f>IF($C1008="","",_xlfn.XLOOKUP($C1008,Order!$C:$C,Order!$P:$P,"",0,1))</f>
        <v/>
      </c>
      <c r="L1008" s="4" t="str">
        <f t="shared" si="15"/>
        <v/>
      </c>
    </row>
    <row r="1009" spans="2:12" ht="23.25" hidden="1" customHeight="1" x14ac:dyDescent="0.25">
      <c r="B1009" s="4">
        <v>1004</v>
      </c>
      <c r="C1009" s="36" t="str">
        <f>IF(Order!$C$330="","",Order!$C$330)</f>
        <v/>
      </c>
      <c r="D1009" s="36" t="str">
        <f>IF($C1009="","",_xlfn.XLOOKUP($C1009,Order!$C:$C,Order!$D:$D,"",0,1))</f>
        <v/>
      </c>
      <c r="E1009" s="4" t="str">
        <f>IF($C1009="","",_xlfn.XLOOKUP($C1009,Order!$C:$C,Order!$E:$E,"",0,1))</f>
        <v/>
      </c>
      <c r="F1009" s="4" t="str">
        <f>IF($C1009="","",_xlfn.XLOOKUP($C1009,Order!$C:$C,Order!$F:$F,"",0,1))</f>
        <v/>
      </c>
      <c r="G1009" s="4" t="str">
        <f>IF($C1009="","",_xlfn.XLOOKUP($C1009,Order!$C:$C,Order!$G:$G,"",0,1))</f>
        <v/>
      </c>
      <c r="H1009" s="4" t="str">
        <f>IF($C1009="","",_xlfn.XLOOKUP($C1009,Order!$C:$C,Order!$H:$H,"",0,1))</f>
        <v/>
      </c>
      <c r="I1009" s="36" t="str">
        <f>IF($C1009="","",_xlfn.XLOOKUP($C1009,Order!$C:$C,Order!$K:$K,"",0,1))</f>
        <v/>
      </c>
      <c r="J1009" s="4" t="str">
        <f>IF(C1009="","",Order!$K$16)</f>
        <v/>
      </c>
      <c r="K1009" s="36" t="str">
        <f>IF($C1009="","",_xlfn.XLOOKUP($C1009,Order!$C:$C,Order!$P:$P,"",0,1))</f>
        <v/>
      </c>
      <c r="L1009" s="4" t="str">
        <f t="shared" si="15"/>
        <v/>
      </c>
    </row>
    <row r="1010" spans="2:12" ht="23.25" hidden="1" customHeight="1" x14ac:dyDescent="0.25">
      <c r="B1010" s="4">
        <v>1005</v>
      </c>
      <c r="C1010" s="36" t="str">
        <f>IF(Order!$C$331="","",Order!$C$331)</f>
        <v/>
      </c>
      <c r="D1010" s="36" t="str">
        <f>IF($C1010="","",_xlfn.XLOOKUP($C1010,Order!$C:$C,Order!$D:$D,"",0,1))</f>
        <v/>
      </c>
      <c r="E1010" s="4" t="str">
        <f>IF($C1010="","",_xlfn.XLOOKUP($C1010,Order!$C:$C,Order!$E:$E,"",0,1))</f>
        <v/>
      </c>
      <c r="F1010" s="4" t="str">
        <f>IF($C1010="","",_xlfn.XLOOKUP($C1010,Order!$C:$C,Order!$F:$F,"",0,1))</f>
        <v/>
      </c>
      <c r="G1010" s="4" t="str">
        <f>IF($C1010="","",_xlfn.XLOOKUP($C1010,Order!$C:$C,Order!$G:$G,"",0,1))</f>
        <v/>
      </c>
      <c r="H1010" s="4" t="str">
        <f>IF($C1010="","",_xlfn.XLOOKUP($C1010,Order!$C:$C,Order!$H:$H,"",0,1))</f>
        <v/>
      </c>
      <c r="I1010" s="36" t="str">
        <f>IF($C1010="","",_xlfn.XLOOKUP($C1010,Order!$C:$C,Order!$K:$K,"",0,1))</f>
        <v/>
      </c>
      <c r="J1010" s="4" t="str">
        <f>IF(C1010="","",Order!$K$16)</f>
        <v/>
      </c>
      <c r="K1010" s="36" t="str">
        <f>IF($C1010="","",_xlfn.XLOOKUP($C1010,Order!$C:$C,Order!$P:$P,"",0,1))</f>
        <v/>
      </c>
      <c r="L1010" s="4" t="str">
        <f t="shared" si="15"/>
        <v/>
      </c>
    </row>
    <row r="1011" spans="2:12" ht="23.25" hidden="1" customHeight="1" x14ac:dyDescent="0.25">
      <c r="B1011" s="4">
        <v>1006</v>
      </c>
      <c r="C1011" s="36" t="str">
        <f>IF(Order!$C$332="","",Order!$C$332)</f>
        <v/>
      </c>
      <c r="D1011" s="36" t="str">
        <f>IF($C1011="","",_xlfn.XLOOKUP($C1011,Order!$C:$C,Order!$D:$D,"",0,1))</f>
        <v/>
      </c>
      <c r="E1011" s="4" t="str">
        <f>IF($C1011="","",_xlfn.XLOOKUP($C1011,Order!$C:$C,Order!$E:$E,"",0,1))</f>
        <v/>
      </c>
      <c r="F1011" s="4" t="str">
        <f>IF($C1011="","",_xlfn.XLOOKUP($C1011,Order!$C:$C,Order!$F:$F,"",0,1))</f>
        <v/>
      </c>
      <c r="G1011" s="4" t="str">
        <f>IF($C1011="","",_xlfn.XLOOKUP($C1011,Order!$C:$C,Order!$G:$G,"",0,1))</f>
        <v/>
      </c>
      <c r="H1011" s="4" t="str">
        <f>IF($C1011="","",_xlfn.XLOOKUP($C1011,Order!$C:$C,Order!$H:$H,"",0,1))</f>
        <v/>
      </c>
      <c r="I1011" s="36" t="str">
        <f>IF($C1011="","",_xlfn.XLOOKUP($C1011,Order!$C:$C,Order!$K:$K,"",0,1))</f>
        <v/>
      </c>
      <c r="J1011" s="4" t="str">
        <f>IF(C1011="","",Order!$K$16)</f>
        <v/>
      </c>
      <c r="K1011" s="36" t="str">
        <f>IF($C1011="","",_xlfn.XLOOKUP($C1011,Order!$C:$C,Order!$P:$P,"",0,1))</f>
        <v/>
      </c>
      <c r="L1011" s="4" t="str">
        <f t="shared" si="15"/>
        <v/>
      </c>
    </row>
    <row r="1012" spans="2:12" ht="23.25" hidden="1" customHeight="1" x14ac:dyDescent="0.25">
      <c r="B1012" s="4">
        <v>1007</v>
      </c>
      <c r="C1012" s="36" t="str">
        <f>IF(Order!$C$333="","",Order!$C$333)</f>
        <v/>
      </c>
      <c r="D1012" s="36" t="str">
        <f>IF($C1012="","",_xlfn.XLOOKUP($C1012,Order!$C:$C,Order!$D:$D,"",0,1))</f>
        <v/>
      </c>
      <c r="E1012" s="4" t="str">
        <f>IF($C1012="","",_xlfn.XLOOKUP($C1012,Order!$C:$C,Order!$E:$E,"",0,1))</f>
        <v/>
      </c>
      <c r="F1012" s="4" t="str">
        <f>IF($C1012="","",_xlfn.XLOOKUP($C1012,Order!$C:$C,Order!$F:$F,"",0,1))</f>
        <v/>
      </c>
      <c r="G1012" s="4" t="str">
        <f>IF($C1012="","",_xlfn.XLOOKUP($C1012,Order!$C:$C,Order!$G:$G,"",0,1))</f>
        <v/>
      </c>
      <c r="H1012" s="4" t="str">
        <f>IF($C1012="","",_xlfn.XLOOKUP($C1012,Order!$C:$C,Order!$H:$H,"",0,1))</f>
        <v/>
      </c>
      <c r="I1012" s="36" t="str">
        <f>IF($C1012="","",_xlfn.XLOOKUP($C1012,Order!$C:$C,Order!$K:$K,"",0,1))</f>
        <v/>
      </c>
      <c r="J1012" s="4" t="str">
        <f>IF(C1012="","",Order!$K$16)</f>
        <v/>
      </c>
      <c r="K1012" s="36" t="str">
        <f>IF($C1012="","",_xlfn.XLOOKUP($C1012,Order!$C:$C,Order!$P:$P,"",0,1))</f>
        <v/>
      </c>
      <c r="L1012" s="4" t="str">
        <f t="shared" si="15"/>
        <v/>
      </c>
    </row>
    <row r="1013" spans="2:12" ht="23.25" hidden="1" customHeight="1" x14ac:dyDescent="0.25">
      <c r="B1013" s="4">
        <v>1008</v>
      </c>
      <c r="C1013" s="36" t="str">
        <f>IF(Order!$C$334="","",Order!$C$334)</f>
        <v/>
      </c>
      <c r="D1013" s="36" t="str">
        <f>IF($C1013="","",_xlfn.XLOOKUP($C1013,Order!$C:$C,Order!$D:$D,"",0,1))</f>
        <v/>
      </c>
      <c r="E1013" s="4" t="str">
        <f>IF($C1013="","",_xlfn.XLOOKUP($C1013,Order!$C:$C,Order!$E:$E,"",0,1))</f>
        <v/>
      </c>
      <c r="F1013" s="4" t="str">
        <f>IF($C1013="","",_xlfn.XLOOKUP($C1013,Order!$C:$C,Order!$F:$F,"",0,1))</f>
        <v/>
      </c>
      <c r="G1013" s="4" t="str">
        <f>IF($C1013="","",_xlfn.XLOOKUP($C1013,Order!$C:$C,Order!$G:$G,"",0,1))</f>
        <v/>
      </c>
      <c r="H1013" s="4" t="str">
        <f>IF($C1013="","",_xlfn.XLOOKUP($C1013,Order!$C:$C,Order!$H:$H,"",0,1))</f>
        <v/>
      </c>
      <c r="I1013" s="36" t="str">
        <f>IF($C1013="","",_xlfn.XLOOKUP($C1013,Order!$C:$C,Order!$K:$K,"",0,1))</f>
        <v/>
      </c>
      <c r="J1013" s="4" t="str">
        <f>IF(C1013="","",Order!$K$16)</f>
        <v/>
      </c>
      <c r="K1013" s="36" t="str">
        <f>IF($C1013="","",_xlfn.XLOOKUP($C1013,Order!$C:$C,Order!$P:$P,"",0,1))</f>
        <v/>
      </c>
      <c r="L1013" s="4" t="str">
        <f t="shared" si="15"/>
        <v/>
      </c>
    </row>
    <row r="1014" spans="2:12" ht="23.25" hidden="1" customHeight="1" x14ac:dyDescent="0.25">
      <c r="B1014" s="4">
        <v>1009</v>
      </c>
      <c r="C1014" s="36" t="str">
        <f>IF(Order!$C$335="","",Order!$C$335)</f>
        <v/>
      </c>
      <c r="D1014" s="36" t="str">
        <f>IF($C1014="","",_xlfn.XLOOKUP($C1014,Order!$C:$C,Order!$D:$D,"",0,1))</f>
        <v/>
      </c>
      <c r="E1014" s="4" t="str">
        <f>IF($C1014="","",_xlfn.XLOOKUP($C1014,Order!$C:$C,Order!$E:$E,"",0,1))</f>
        <v/>
      </c>
      <c r="F1014" s="4" t="str">
        <f>IF($C1014="","",_xlfn.XLOOKUP($C1014,Order!$C:$C,Order!$F:$F,"",0,1))</f>
        <v/>
      </c>
      <c r="G1014" s="4" t="str">
        <f>IF($C1014="","",_xlfn.XLOOKUP($C1014,Order!$C:$C,Order!$G:$G,"",0,1))</f>
        <v/>
      </c>
      <c r="H1014" s="4" t="str">
        <f>IF($C1014="","",_xlfn.XLOOKUP($C1014,Order!$C:$C,Order!$H:$H,"",0,1))</f>
        <v/>
      </c>
      <c r="I1014" s="36" t="str">
        <f>IF($C1014="","",_xlfn.XLOOKUP($C1014,Order!$C:$C,Order!$K:$K,"",0,1))</f>
        <v/>
      </c>
      <c r="J1014" s="4" t="str">
        <f>IF(C1014="","",Order!$K$16)</f>
        <v/>
      </c>
      <c r="K1014" s="36" t="str">
        <f>IF($C1014="","",_xlfn.XLOOKUP($C1014,Order!$C:$C,Order!$P:$P,"",0,1))</f>
        <v/>
      </c>
      <c r="L1014" s="4" t="str">
        <f t="shared" si="15"/>
        <v/>
      </c>
    </row>
    <row r="1015" spans="2:12" ht="23.25" hidden="1" customHeight="1" x14ac:dyDescent="0.25">
      <c r="B1015" s="4">
        <v>1010</v>
      </c>
      <c r="C1015" s="36" t="str">
        <f>IF(Order!$C$336="","",Order!$C$336)</f>
        <v/>
      </c>
      <c r="D1015" s="36" t="str">
        <f>IF($C1015="","",_xlfn.XLOOKUP($C1015,Order!$C:$C,Order!$D:$D,"",0,1))</f>
        <v/>
      </c>
      <c r="E1015" s="4" t="str">
        <f>IF($C1015="","",_xlfn.XLOOKUP($C1015,Order!$C:$C,Order!$E:$E,"",0,1))</f>
        <v/>
      </c>
      <c r="F1015" s="4" t="str">
        <f>IF($C1015="","",_xlfn.XLOOKUP($C1015,Order!$C:$C,Order!$F:$F,"",0,1))</f>
        <v/>
      </c>
      <c r="G1015" s="4" t="str">
        <f>IF($C1015="","",_xlfn.XLOOKUP($C1015,Order!$C:$C,Order!$G:$G,"",0,1))</f>
        <v/>
      </c>
      <c r="H1015" s="4" t="str">
        <f>IF($C1015="","",_xlfn.XLOOKUP($C1015,Order!$C:$C,Order!$H:$H,"",0,1))</f>
        <v/>
      </c>
      <c r="I1015" s="36" t="str">
        <f>IF($C1015="","",_xlfn.XLOOKUP($C1015,Order!$C:$C,Order!$K:$K,"",0,1))</f>
        <v/>
      </c>
      <c r="J1015" s="4" t="str">
        <f>IF(C1015="","",Order!$K$16)</f>
        <v/>
      </c>
      <c r="K1015" s="36" t="str">
        <f>IF($C1015="","",_xlfn.XLOOKUP($C1015,Order!$C:$C,Order!$P:$P,"",0,1))</f>
        <v/>
      </c>
      <c r="L1015" s="4" t="str">
        <f t="shared" si="15"/>
        <v/>
      </c>
    </row>
    <row r="1016" spans="2:12" ht="23.25" hidden="1" customHeight="1" x14ac:dyDescent="0.25">
      <c r="B1016" s="4">
        <v>1011</v>
      </c>
      <c r="C1016" s="36" t="str">
        <f>IF(Order!$C$337="","",Order!$C$337)</f>
        <v xml:space="preserve"> BX352 (MT0077-Perfilpara tela de mosquito)</v>
      </c>
      <c r="D1016" s="36" t="str">
        <f>IF($C1016="","",_xlfn.XLOOKUP($C1016,Order!$C:$C,Order!$D:$D,"",0,1))</f>
        <v>BX352</v>
      </c>
      <c r="E1016" s="4" t="e" vm="494">
        <f>IF($C1016="","",_xlfn.XLOOKUP($C1016,Order!$C:$C,Order!$E:$E,"",0,1))</f>
        <v>#VALUE!</v>
      </c>
      <c r="F1016" s="4">
        <f>IF($C1016="","",_xlfn.XLOOKUP($C1016,Order!$C:$C,Order!$F:$F,"",0,1))</f>
        <v>6000</v>
      </c>
      <c r="G1016" s="4" t="str">
        <f>IF($C1016="","",_xlfn.XLOOKUP($C1016,Order!$C:$C,Order!$G:$G,"",0,1))</f>
        <v>6063T5</v>
      </c>
      <c r="H1016" s="4">
        <f>IF($C1016="","",_xlfn.XLOOKUP($C1016,Order!$C:$C,Order!$H:$H,"",0,1))</f>
        <v>0.192</v>
      </c>
      <c r="I1016" s="36">
        <f>IF($C1016="","",_xlfn.XLOOKUP($C1016,Order!$C:$C,Order!$K:$K,"",0,1))</f>
        <v>0</v>
      </c>
      <c r="J1016" s="4" t="str">
        <f>IF(C1016="","",Order!$K$16)</f>
        <v>WHITE POWDER COAT (PE/BA)</v>
      </c>
      <c r="K1016" s="36">
        <f>IF($C1016="","",_xlfn.XLOOKUP($C1016,Order!$C:$C,Order!$P:$P,"",0,1))</f>
        <v>0</v>
      </c>
      <c r="L1016" s="4">
        <f t="shared" si="15"/>
        <v>0</v>
      </c>
    </row>
    <row r="1017" spans="2:12" ht="23.25" hidden="1" customHeight="1" x14ac:dyDescent="0.25">
      <c r="B1017" s="4">
        <v>1012</v>
      </c>
      <c r="C1017" s="36" t="str">
        <f>IF(Order!$C$338="","",Order!$C$338)</f>
        <v/>
      </c>
      <c r="D1017" s="36" t="str">
        <f>IF($C1017="","",_xlfn.XLOOKUP($C1017,Order!$C:$C,Order!$D:$D,"",0,1))</f>
        <v/>
      </c>
      <c r="E1017" s="4" t="str">
        <f>IF($C1017="","",_xlfn.XLOOKUP($C1017,Order!$C:$C,Order!$E:$E,"",0,1))</f>
        <v/>
      </c>
      <c r="F1017" s="4" t="str">
        <f>IF($C1017="","",_xlfn.XLOOKUP($C1017,Order!$C:$C,Order!$F:$F,"",0,1))</f>
        <v/>
      </c>
      <c r="G1017" s="4" t="str">
        <f>IF($C1017="","",_xlfn.XLOOKUP($C1017,Order!$C:$C,Order!$G:$G,"",0,1))</f>
        <v/>
      </c>
      <c r="H1017" s="4" t="str">
        <f>IF($C1017="","",_xlfn.XLOOKUP($C1017,Order!$C:$C,Order!$H:$H,"",0,1))</f>
        <v/>
      </c>
      <c r="I1017" s="36" t="str">
        <f>IF($C1017="","",_xlfn.XLOOKUP($C1017,Order!$C:$C,Order!$K:$K,"",0,1))</f>
        <v/>
      </c>
      <c r="J1017" s="4" t="str">
        <f>IF(C1017="","",Order!$K$16)</f>
        <v/>
      </c>
      <c r="K1017" s="36" t="str">
        <f>IF($C1017="","",_xlfn.XLOOKUP($C1017,Order!$C:$C,Order!$P:$P,"",0,1))</f>
        <v/>
      </c>
      <c r="L1017" s="4" t="str">
        <f t="shared" si="15"/>
        <v/>
      </c>
    </row>
    <row r="1018" spans="2:12" ht="23.25" hidden="1" customHeight="1" x14ac:dyDescent="0.25">
      <c r="B1018" s="4">
        <v>1013</v>
      </c>
      <c r="C1018" s="36" t="str">
        <f>IF(Order!$C$339="","",Order!$C$339)</f>
        <v/>
      </c>
      <c r="D1018" s="36" t="str">
        <f>IF($C1018="","",_xlfn.XLOOKUP($C1018,Order!$C:$C,Order!$D:$D,"",0,1))</f>
        <v/>
      </c>
      <c r="E1018" s="4" t="str">
        <f>IF($C1018="","",_xlfn.XLOOKUP($C1018,Order!$C:$C,Order!$E:$E,"",0,1))</f>
        <v/>
      </c>
      <c r="F1018" s="4" t="str">
        <f>IF($C1018="","",_xlfn.XLOOKUP($C1018,Order!$C:$C,Order!$F:$F,"",0,1))</f>
        <v/>
      </c>
      <c r="G1018" s="4" t="str">
        <f>IF($C1018="","",_xlfn.XLOOKUP($C1018,Order!$C:$C,Order!$G:$G,"",0,1))</f>
        <v/>
      </c>
      <c r="H1018" s="4" t="str">
        <f>IF($C1018="","",_xlfn.XLOOKUP($C1018,Order!$C:$C,Order!$H:$H,"",0,1))</f>
        <v/>
      </c>
      <c r="I1018" s="36" t="str">
        <f>IF($C1018="","",_xlfn.XLOOKUP($C1018,Order!$C:$C,Order!$K:$K,"",0,1))</f>
        <v/>
      </c>
      <c r="J1018" s="4" t="str">
        <f>IF(C1018="","",Order!$K$16)</f>
        <v/>
      </c>
      <c r="K1018" s="36" t="str">
        <f>IF($C1018="","",_xlfn.XLOOKUP($C1018,Order!$C:$C,Order!$P:$P,"",0,1))</f>
        <v/>
      </c>
      <c r="L1018" s="4" t="str">
        <f t="shared" si="15"/>
        <v/>
      </c>
    </row>
    <row r="1019" spans="2:12" ht="23.25" hidden="1" customHeight="1" x14ac:dyDescent="0.25">
      <c r="B1019" s="4">
        <v>1014</v>
      </c>
      <c r="C1019" s="36" t="str">
        <f>IF(Order!$C$340="","",Order!$C$340)</f>
        <v/>
      </c>
      <c r="D1019" s="36" t="str">
        <f>IF($C1019="","",_xlfn.XLOOKUP($C1019,Order!$C:$C,Order!$D:$D,"",0,1))</f>
        <v/>
      </c>
      <c r="E1019" s="4" t="str">
        <f>IF($C1019="","",_xlfn.XLOOKUP($C1019,Order!$C:$C,Order!$E:$E,"",0,1))</f>
        <v/>
      </c>
      <c r="F1019" s="4" t="str">
        <f>IF($C1019="","",_xlfn.XLOOKUP($C1019,Order!$C:$C,Order!$F:$F,"",0,1))</f>
        <v/>
      </c>
      <c r="G1019" s="4" t="str">
        <f>IF($C1019="","",_xlfn.XLOOKUP($C1019,Order!$C:$C,Order!$G:$G,"",0,1))</f>
        <v/>
      </c>
      <c r="H1019" s="4" t="str">
        <f>IF($C1019="","",_xlfn.XLOOKUP($C1019,Order!$C:$C,Order!$H:$H,"",0,1))</f>
        <v/>
      </c>
      <c r="I1019" s="36" t="str">
        <f>IF($C1019="","",_xlfn.XLOOKUP($C1019,Order!$C:$C,Order!$K:$K,"",0,1))</f>
        <v/>
      </c>
      <c r="J1019" s="4" t="str">
        <f>IF(C1019="","",Order!$K$16)</f>
        <v/>
      </c>
      <c r="K1019" s="36" t="str">
        <f>IF($C1019="","",_xlfn.XLOOKUP($C1019,Order!$C:$C,Order!$P:$P,"",0,1))</f>
        <v/>
      </c>
      <c r="L1019" s="4" t="str">
        <f t="shared" si="15"/>
        <v/>
      </c>
    </row>
    <row r="1020" spans="2:12" ht="23.25" hidden="1" customHeight="1" x14ac:dyDescent="0.25">
      <c r="B1020" s="4">
        <v>1015</v>
      </c>
      <c r="C1020" s="36" t="str">
        <f>IF(Order!$C$341="","",Order!$C$341)</f>
        <v xml:space="preserve"> U 15 (PU 004 5/8 x 1/16")  </v>
      </c>
      <c r="D1020" s="36" t="str">
        <f>IF($C1020="","",_xlfn.XLOOKUP($C1020,Order!$C:$C,Order!$D:$D,"",0,1))</f>
        <v>BX567</v>
      </c>
      <c r="E1020" s="4" t="e" vm="495">
        <f>IF($C1020="","",_xlfn.XLOOKUP($C1020,Order!$C:$C,Order!$E:$E,"",0,1))</f>
        <v>#VALUE!</v>
      </c>
      <c r="F1020" s="4">
        <f>IF($C1020="","",_xlfn.XLOOKUP($C1020,Order!$C:$C,Order!$F:$F,"",0,1))</f>
        <v>6000</v>
      </c>
      <c r="G1020" s="4" t="str">
        <f>IF($C1020="","",_xlfn.XLOOKUP($C1020,Order!$C:$C,Order!$G:$G,"",0,1))</f>
        <v>6063T5</v>
      </c>
      <c r="H1020" s="4">
        <f>IF($C1020="","",_xlfn.XLOOKUP($C1020,Order!$C:$C,Order!$H:$H,"",0,1))</f>
        <v>0.17100000000000001</v>
      </c>
      <c r="I1020" s="36">
        <f>IF($C1020="","",_xlfn.XLOOKUP($C1020,Order!$C:$C,Order!$K:$K,"",0,1))</f>
        <v>0</v>
      </c>
      <c r="J1020" s="4" t="str">
        <f>IF(C1020="","",Order!$K$16)</f>
        <v>WHITE POWDER COAT (PE/BA)</v>
      </c>
      <c r="K1020" s="36">
        <f>IF($C1020="","",_xlfn.XLOOKUP($C1020,Order!$C:$C,Order!$P:$P,"",0,1))</f>
        <v>0</v>
      </c>
      <c r="L1020" s="4">
        <f t="shared" si="15"/>
        <v>0</v>
      </c>
    </row>
    <row r="1021" spans="2:12" ht="23.25" hidden="1" customHeight="1" x14ac:dyDescent="0.25">
      <c r="B1021" s="4">
        <v>1016</v>
      </c>
      <c r="C1021" s="36" t="str">
        <f>IF(Order!$C$342="","",Order!$C$342)</f>
        <v/>
      </c>
      <c r="D1021" s="36" t="str">
        <f>IF($C1021="","",_xlfn.XLOOKUP($C1021,Order!$C:$C,Order!$D:$D,"",0,1))</f>
        <v/>
      </c>
      <c r="E1021" s="4" t="str">
        <f>IF($C1021="","",_xlfn.XLOOKUP($C1021,Order!$C:$C,Order!$E:$E,"",0,1))</f>
        <v/>
      </c>
      <c r="F1021" s="4" t="str">
        <f>IF($C1021="","",_xlfn.XLOOKUP($C1021,Order!$C:$C,Order!$F:$F,"",0,1))</f>
        <v/>
      </c>
      <c r="G1021" s="4" t="str">
        <f>IF($C1021="","",_xlfn.XLOOKUP($C1021,Order!$C:$C,Order!$G:$G,"",0,1))</f>
        <v/>
      </c>
      <c r="H1021" s="4" t="str">
        <f>IF($C1021="","",_xlfn.XLOOKUP($C1021,Order!$C:$C,Order!$H:$H,"",0,1))</f>
        <v/>
      </c>
      <c r="I1021" s="36" t="str">
        <f>IF($C1021="","",_xlfn.XLOOKUP($C1021,Order!$C:$C,Order!$K:$K,"",0,1))</f>
        <v/>
      </c>
      <c r="J1021" s="4" t="str">
        <f>IF(C1021="","",Order!$K$16)</f>
        <v/>
      </c>
      <c r="K1021" s="36" t="str">
        <f>IF($C1021="","",_xlfn.XLOOKUP($C1021,Order!$C:$C,Order!$P:$P,"",0,1))</f>
        <v/>
      </c>
      <c r="L1021" s="4" t="str">
        <f t="shared" si="15"/>
        <v/>
      </c>
    </row>
    <row r="1022" spans="2:12" ht="23.25" hidden="1" customHeight="1" x14ac:dyDescent="0.25">
      <c r="B1022" s="4">
        <v>1017</v>
      </c>
      <c r="C1022" s="36" t="str">
        <f>IF(Order!$C$343="","",Order!$C$343)</f>
        <v/>
      </c>
      <c r="D1022" s="36" t="str">
        <f>IF($C1022="","",_xlfn.XLOOKUP($C1022,Order!$C:$C,Order!$D:$D,"",0,1))</f>
        <v/>
      </c>
      <c r="E1022" s="4" t="str">
        <f>IF($C1022="","",_xlfn.XLOOKUP($C1022,Order!$C:$C,Order!$E:$E,"",0,1))</f>
        <v/>
      </c>
      <c r="F1022" s="4" t="str">
        <f>IF($C1022="","",_xlfn.XLOOKUP($C1022,Order!$C:$C,Order!$F:$F,"",0,1))</f>
        <v/>
      </c>
      <c r="G1022" s="4" t="str">
        <f>IF($C1022="","",_xlfn.XLOOKUP($C1022,Order!$C:$C,Order!$G:$G,"",0,1))</f>
        <v/>
      </c>
      <c r="H1022" s="4" t="str">
        <f>IF($C1022="","",_xlfn.XLOOKUP($C1022,Order!$C:$C,Order!$H:$H,"",0,1))</f>
        <v/>
      </c>
      <c r="I1022" s="36" t="str">
        <f>IF($C1022="","",_xlfn.XLOOKUP($C1022,Order!$C:$C,Order!$K:$K,"",0,1))</f>
        <v/>
      </c>
      <c r="J1022" s="4" t="str">
        <f>IF(C1022="","",Order!$K$16)</f>
        <v/>
      </c>
      <c r="K1022" s="36" t="str">
        <f>IF($C1022="","",_xlfn.XLOOKUP($C1022,Order!$C:$C,Order!$P:$P,"",0,1))</f>
        <v/>
      </c>
      <c r="L1022" s="4" t="str">
        <f t="shared" si="15"/>
        <v/>
      </c>
    </row>
    <row r="1023" spans="2:12" ht="23.25" hidden="1" customHeight="1" x14ac:dyDescent="0.25">
      <c r="B1023" s="4">
        <v>1018</v>
      </c>
      <c r="C1023" s="36" t="str">
        <f>IF(Order!$C$344="","",Order!$C$344)</f>
        <v/>
      </c>
      <c r="D1023" s="36" t="str">
        <f>IF($C1023="","",_xlfn.XLOOKUP($C1023,Order!$C:$C,Order!$D:$D,"",0,1))</f>
        <v/>
      </c>
      <c r="E1023" s="4" t="str">
        <f>IF($C1023="","",_xlfn.XLOOKUP($C1023,Order!$C:$C,Order!$E:$E,"",0,1))</f>
        <v/>
      </c>
      <c r="F1023" s="4" t="str">
        <f>IF($C1023="","",_xlfn.XLOOKUP($C1023,Order!$C:$C,Order!$F:$F,"",0,1))</f>
        <v/>
      </c>
      <c r="G1023" s="4" t="str">
        <f>IF($C1023="","",_xlfn.XLOOKUP($C1023,Order!$C:$C,Order!$G:$G,"",0,1))</f>
        <v/>
      </c>
      <c r="H1023" s="4" t="str">
        <f>IF($C1023="","",_xlfn.XLOOKUP($C1023,Order!$C:$C,Order!$H:$H,"",0,1))</f>
        <v/>
      </c>
      <c r="I1023" s="36" t="str">
        <f>IF($C1023="","",_xlfn.XLOOKUP($C1023,Order!$C:$C,Order!$K:$K,"",0,1))</f>
        <v/>
      </c>
      <c r="J1023" s="4" t="str">
        <f>IF(C1023="","",Order!$K$16)</f>
        <v/>
      </c>
      <c r="K1023" s="36" t="str">
        <f>IF($C1023="","",_xlfn.XLOOKUP($C1023,Order!$C:$C,Order!$P:$P,"",0,1))</f>
        <v/>
      </c>
      <c r="L1023" s="4" t="str">
        <f t="shared" si="15"/>
        <v/>
      </c>
    </row>
    <row r="1024" spans="2:12" ht="23.25" hidden="1" customHeight="1" x14ac:dyDescent="0.25">
      <c r="B1024" s="4">
        <v>1019</v>
      </c>
      <c r="C1024" s="36" t="str">
        <f>IF(Order!$C$345="","",Order!$C$345)</f>
        <v/>
      </c>
      <c r="D1024" s="36" t="str">
        <f>IF($C1024="","",_xlfn.XLOOKUP($C1024,Order!$C:$C,Order!$D:$D,"",0,1))</f>
        <v/>
      </c>
      <c r="E1024" s="4" t="str">
        <f>IF($C1024="","",_xlfn.XLOOKUP($C1024,Order!$C:$C,Order!$E:$E,"",0,1))</f>
        <v/>
      </c>
      <c r="F1024" s="4" t="str">
        <f>IF($C1024="","",_xlfn.XLOOKUP($C1024,Order!$C:$C,Order!$F:$F,"",0,1))</f>
        <v/>
      </c>
      <c r="G1024" s="4" t="str">
        <f>IF($C1024="","",_xlfn.XLOOKUP($C1024,Order!$C:$C,Order!$G:$G,"",0,1))</f>
        <v/>
      </c>
      <c r="H1024" s="4" t="str">
        <f>IF($C1024="","",_xlfn.XLOOKUP($C1024,Order!$C:$C,Order!$H:$H,"",0,1))</f>
        <v/>
      </c>
      <c r="I1024" s="36" t="str">
        <f>IF($C1024="","",_xlfn.XLOOKUP($C1024,Order!$C:$C,Order!$K:$K,"",0,1))</f>
        <v/>
      </c>
      <c r="J1024" s="4" t="str">
        <f>IF(C1024="","",Order!$K$16)</f>
        <v/>
      </c>
      <c r="K1024" s="36" t="str">
        <f>IF($C1024="","",_xlfn.XLOOKUP($C1024,Order!$C:$C,Order!$P:$P,"",0,1))</f>
        <v/>
      </c>
      <c r="L1024" s="4" t="str">
        <f t="shared" si="15"/>
        <v/>
      </c>
    </row>
    <row r="1025" spans="2:12" ht="23.25" hidden="1" customHeight="1" x14ac:dyDescent="0.25">
      <c r="B1025" s="4">
        <v>1020</v>
      </c>
      <c r="C1025" s="36" t="str">
        <f>IF(Order!$C$346="","",Order!$C$346)</f>
        <v/>
      </c>
      <c r="D1025" s="36" t="str">
        <f>IF($C1025="","",_xlfn.XLOOKUP($C1025,Order!$C:$C,Order!$D:$D,"",0,1))</f>
        <v/>
      </c>
      <c r="E1025" s="4" t="str">
        <f>IF($C1025="","",_xlfn.XLOOKUP($C1025,Order!$C:$C,Order!$E:$E,"",0,1))</f>
        <v/>
      </c>
      <c r="F1025" s="4" t="str">
        <f>IF($C1025="","",_xlfn.XLOOKUP($C1025,Order!$C:$C,Order!$F:$F,"",0,1))</f>
        <v/>
      </c>
      <c r="G1025" s="4" t="str">
        <f>IF($C1025="","",_xlfn.XLOOKUP($C1025,Order!$C:$C,Order!$G:$G,"",0,1))</f>
        <v/>
      </c>
      <c r="H1025" s="4" t="str">
        <f>IF($C1025="","",_xlfn.XLOOKUP($C1025,Order!$C:$C,Order!$H:$H,"",0,1))</f>
        <v/>
      </c>
      <c r="I1025" s="36" t="str">
        <f>IF($C1025="","",_xlfn.XLOOKUP($C1025,Order!$C:$C,Order!$K:$K,"",0,1))</f>
        <v/>
      </c>
      <c r="J1025" s="4" t="str">
        <f>IF(C1025="","",Order!$K$16)</f>
        <v/>
      </c>
      <c r="K1025" s="36" t="str">
        <f>IF($C1025="","",_xlfn.XLOOKUP($C1025,Order!$C:$C,Order!$P:$P,"",0,1))</f>
        <v/>
      </c>
      <c r="L1025" s="4" t="str">
        <f t="shared" si="15"/>
        <v/>
      </c>
    </row>
    <row r="1026" spans="2:12" ht="23.25" hidden="1" customHeight="1" x14ac:dyDescent="0.25">
      <c r="B1026" s="4">
        <v>1021</v>
      </c>
      <c r="C1026" s="36" t="str">
        <f>IF(Order!$C$347="","",Order!$C$347)</f>
        <v/>
      </c>
      <c r="D1026" s="36" t="str">
        <f>IF($C1026="","",_xlfn.XLOOKUP($C1026,Order!$C:$C,Order!$D:$D,"",0,1))</f>
        <v/>
      </c>
      <c r="E1026" s="4" t="str">
        <f>IF($C1026="","",_xlfn.XLOOKUP($C1026,Order!$C:$C,Order!$E:$E,"",0,1))</f>
        <v/>
      </c>
      <c r="F1026" s="4" t="str">
        <f>IF($C1026="","",_xlfn.XLOOKUP($C1026,Order!$C:$C,Order!$F:$F,"",0,1))</f>
        <v/>
      </c>
      <c r="G1026" s="4" t="str">
        <f>IF($C1026="","",_xlfn.XLOOKUP($C1026,Order!$C:$C,Order!$G:$G,"",0,1))</f>
        <v/>
      </c>
      <c r="H1026" s="4" t="str">
        <f>IF($C1026="","",_xlfn.XLOOKUP($C1026,Order!$C:$C,Order!$H:$H,"",0,1))</f>
        <v/>
      </c>
      <c r="I1026" s="36" t="str">
        <f>IF($C1026="","",_xlfn.XLOOKUP($C1026,Order!$C:$C,Order!$K:$K,"",0,1))</f>
        <v/>
      </c>
      <c r="J1026" s="4" t="str">
        <f>IF(C1026="","",Order!$K$16)</f>
        <v/>
      </c>
      <c r="K1026" s="36" t="str">
        <f>IF($C1026="","",_xlfn.XLOOKUP($C1026,Order!$C:$C,Order!$P:$P,"",0,1))</f>
        <v/>
      </c>
      <c r="L1026" s="4" t="str">
        <f t="shared" si="15"/>
        <v/>
      </c>
    </row>
    <row r="1027" spans="2:12" ht="23.25" hidden="1" customHeight="1" x14ac:dyDescent="0.25">
      <c r="B1027" s="4">
        <v>1022</v>
      </c>
      <c r="C1027" s="36" t="str">
        <f>IF(Order!$C$348="","",Order!$C$348)</f>
        <v/>
      </c>
      <c r="D1027" s="36" t="str">
        <f>IF($C1027="","",_xlfn.XLOOKUP($C1027,Order!$C:$C,Order!$D:$D,"",0,1))</f>
        <v/>
      </c>
      <c r="E1027" s="4" t="str">
        <f>IF($C1027="","",_xlfn.XLOOKUP($C1027,Order!$C:$C,Order!$E:$E,"",0,1))</f>
        <v/>
      </c>
      <c r="F1027" s="4" t="str">
        <f>IF($C1027="","",_xlfn.XLOOKUP($C1027,Order!$C:$C,Order!$F:$F,"",0,1))</f>
        <v/>
      </c>
      <c r="G1027" s="4" t="str">
        <f>IF($C1027="","",_xlfn.XLOOKUP($C1027,Order!$C:$C,Order!$G:$G,"",0,1))</f>
        <v/>
      </c>
      <c r="H1027" s="4" t="str">
        <f>IF($C1027="","",_xlfn.XLOOKUP($C1027,Order!$C:$C,Order!$H:$H,"",0,1))</f>
        <v/>
      </c>
      <c r="I1027" s="36" t="str">
        <f>IF($C1027="","",_xlfn.XLOOKUP($C1027,Order!$C:$C,Order!$K:$K,"",0,1))</f>
        <v/>
      </c>
      <c r="J1027" s="4" t="str">
        <f>IF(C1027="","",Order!$K$16)</f>
        <v/>
      </c>
      <c r="K1027" s="36" t="str">
        <f>IF($C1027="","",_xlfn.XLOOKUP($C1027,Order!$C:$C,Order!$P:$P,"",0,1))</f>
        <v/>
      </c>
      <c r="L1027" s="4" t="str">
        <f t="shared" si="15"/>
        <v/>
      </c>
    </row>
    <row r="1028" spans="2:12" ht="23.25" hidden="1" customHeight="1" x14ac:dyDescent="0.25">
      <c r="B1028" s="4">
        <v>1023</v>
      </c>
      <c r="C1028" s="36" t="str">
        <f>IF(Order!$C$349="","",Order!$C$349)</f>
        <v/>
      </c>
      <c r="D1028" s="36" t="str">
        <f>IF($C1028="","",_xlfn.XLOOKUP($C1028,Order!$C:$C,Order!$D:$D,"",0,1))</f>
        <v/>
      </c>
      <c r="E1028" s="4" t="str">
        <f>IF($C1028="","",_xlfn.XLOOKUP($C1028,Order!$C:$C,Order!$E:$E,"",0,1))</f>
        <v/>
      </c>
      <c r="F1028" s="4" t="str">
        <f>IF($C1028="","",_xlfn.XLOOKUP($C1028,Order!$C:$C,Order!$F:$F,"",0,1))</f>
        <v/>
      </c>
      <c r="G1028" s="4" t="str">
        <f>IF($C1028="","",_xlfn.XLOOKUP($C1028,Order!$C:$C,Order!$G:$G,"",0,1))</f>
        <v/>
      </c>
      <c r="H1028" s="4" t="str">
        <f>IF($C1028="","",_xlfn.XLOOKUP($C1028,Order!$C:$C,Order!$H:$H,"",0,1))</f>
        <v/>
      </c>
      <c r="I1028" s="36" t="str">
        <f>IF($C1028="","",_xlfn.XLOOKUP($C1028,Order!$C:$C,Order!$K:$K,"",0,1))</f>
        <v/>
      </c>
      <c r="J1028" s="4" t="str">
        <f>IF(C1028="","",Order!$K$16)</f>
        <v/>
      </c>
      <c r="K1028" s="36" t="str">
        <f>IF($C1028="","",_xlfn.XLOOKUP($C1028,Order!$C:$C,Order!$P:$P,"",0,1))</f>
        <v/>
      </c>
      <c r="L1028" s="4" t="str">
        <f t="shared" si="15"/>
        <v/>
      </c>
    </row>
    <row r="1029" spans="2:12" ht="23.25" hidden="1" customHeight="1" x14ac:dyDescent="0.25">
      <c r="B1029" s="4">
        <v>1024</v>
      </c>
      <c r="C1029" s="36" t="str">
        <f>IF(Order!$C$350="","",Order!$C$350)</f>
        <v/>
      </c>
      <c r="D1029" s="36" t="str">
        <f>IF($C1029="","",_xlfn.XLOOKUP($C1029,Order!$C:$C,Order!$D:$D,"",0,1))</f>
        <v/>
      </c>
      <c r="E1029" s="4" t="str">
        <f>IF($C1029="","",_xlfn.XLOOKUP($C1029,Order!$C:$C,Order!$E:$E,"",0,1))</f>
        <v/>
      </c>
      <c r="F1029" s="4" t="str">
        <f>IF($C1029="","",_xlfn.XLOOKUP($C1029,Order!$C:$C,Order!$F:$F,"",0,1))</f>
        <v/>
      </c>
      <c r="G1029" s="4" t="str">
        <f>IF($C1029="","",_xlfn.XLOOKUP($C1029,Order!$C:$C,Order!$G:$G,"",0,1))</f>
        <v/>
      </c>
      <c r="H1029" s="4" t="str">
        <f>IF($C1029="","",_xlfn.XLOOKUP($C1029,Order!$C:$C,Order!$H:$H,"",0,1))</f>
        <v/>
      </c>
      <c r="I1029" s="36" t="str">
        <f>IF($C1029="","",_xlfn.XLOOKUP($C1029,Order!$C:$C,Order!$K:$K,"",0,1))</f>
        <v/>
      </c>
      <c r="J1029" s="4" t="str">
        <f>IF(C1029="","",Order!$K$16)</f>
        <v/>
      </c>
      <c r="K1029" s="36" t="str">
        <f>IF($C1029="","",_xlfn.XLOOKUP($C1029,Order!$C:$C,Order!$P:$P,"",0,1))</f>
        <v/>
      </c>
      <c r="L1029" s="4" t="str">
        <f t="shared" si="15"/>
        <v/>
      </c>
    </row>
    <row r="1030" spans="2:12" ht="23.25" hidden="1" customHeight="1" x14ac:dyDescent="0.25">
      <c r="B1030" s="4">
        <v>1025</v>
      </c>
      <c r="C1030" s="36" t="str">
        <f>IF(Order!$C$351="","",Order!$C$351)</f>
        <v/>
      </c>
      <c r="D1030" s="36" t="str">
        <f>IF($C1030="","",_xlfn.XLOOKUP($C1030,Order!$C:$C,Order!$D:$D,"",0,1))</f>
        <v/>
      </c>
      <c r="E1030" s="4" t="str">
        <f>IF($C1030="","",_xlfn.XLOOKUP($C1030,Order!$C:$C,Order!$E:$E,"",0,1))</f>
        <v/>
      </c>
      <c r="F1030" s="4" t="str">
        <f>IF($C1030="","",_xlfn.XLOOKUP($C1030,Order!$C:$C,Order!$F:$F,"",0,1))</f>
        <v/>
      </c>
      <c r="G1030" s="4" t="str">
        <f>IF($C1030="","",_xlfn.XLOOKUP($C1030,Order!$C:$C,Order!$G:$G,"",0,1))</f>
        <v/>
      </c>
      <c r="H1030" s="4" t="str">
        <f>IF($C1030="","",_xlfn.XLOOKUP($C1030,Order!$C:$C,Order!$H:$H,"",0,1))</f>
        <v/>
      </c>
      <c r="I1030" s="36" t="str">
        <f>IF($C1030="","",_xlfn.XLOOKUP($C1030,Order!$C:$C,Order!$K:$K,"",0,1))</f>
        <v/>
      </c>
      <c r="J1030" s="4" t="str">
        <f>IF(C1030="","",Order!$K$16)</f>
        <v/>
      </c>
      <c r="K1030" s="36" t="str">
        <f>IF($C1030="","",_xlfn.XLOOKUP($C1030,Order!$C:$C,Order!$P:$P,"",0,1))</f>
        <v/>
      </c>
      <c r="L1030" s="4" t="str">
        <f t="shared" si="15"/>
        <v/>
      </c>
    </row>
    <row r="1031" spans="2:12" ht="23.25" hidden="1" customHeight="1" x14ac:dyDescent="0.25">
      <c r="B1031" s="4">
        <v>1026</v>
      </c>
      <c r="C1031" s="36" t="str">
        <f>IF(Order!$C$352="","",Order!$C$352)</f>
        <v/>
      </c>
      <c r="D1031" s="36" t="str">
        <f>IF($C1031="","",_xlfn.XLOOKUP($C1031,Order!$C:$C,Order!$D:$D,"",0,1))</f>
        <v/>
      </c>
      <c r="E1031" s="4" t="str">
        <f>IF($C1031="","",_xlfn.XLOOKUP($C1031,Order!$C:$C,Order!$E:$E,"",0,1))</f>
        <v/>
      </c>
      <c r="F1031" s="4" t="str">
        <f>IF($C1031="","",_xlfn.XLOOKUP($C1031,Order!$C:$C,Order!$F:$F,"",0,1))</f>
        <v/>
      </c>
      <c r="G1031" s="4" t="str">
        <f>IF($C1031="","",_xlfn.XLOOKUP($C1031,Order!$C:$C,Order!$G:$G,"",0,1))</f>
        <v/>
      </c>
      <c r="H1031" s="4" t="str">
        <f>IF($C1031="","",_xlfn.XLOOKUP($C1031,Order!$C:$C,Order!$H:$H,"",0,1))</f>
        <v/>
      </c>
      <c r="I1031" s="36" t="str">
        <f>IF($C1031="","",_xlfn.XLOOKUP($C1031,Order!$C:$C,Order!$K:$K,"",0,1))</f>
        <v/>
      </c>
      <c r="J1031" s="4" t="str">
        <f>IF(C1031="","",Order!$K$16)</f>
        <v/>
      </c>
      <c r="K1031" s="36" t="str">
        <f>IF($C1031="","",_xlfn.XLOOKUP($C1031,Order!$C:$C,Order!$P:$P,"",0,1))</f>
        <v/>
      </c>
      <c r="L1031" s="4" t="str">
        <f t="shared" ref="L1031:L1094" si="16">IF(C1031="","",F1031/1000*H1031*I1031)</f>
        <v/>
      </c>
    </row>
    <row r="1032" spans="2:12" ht="23.25" hidden="1" customHeight="1" x14ac:dyDescent="0.25">
      <c r="B1032" s="4">
        <v>1027</v>
      </c>
      <c r="C1032" s="36" t="str">
        <f>IF(Order!$C$353="","",Order!$C$353)</f>
        <v/>
      </c>
      <c r="D1032" s="36" t="str">
        <f>IF($C1032="","",_xlfn.XLOOKUP($C1032,Order!$C:$C,Order!$D:$D,"",0,1))</f>
        <v/>
      </c>
      <c r="E1032" s="4" t="str">
        <f>IF($C1032="","",_xlfn.XLOOKUP($C1032,Order!$C:$C,Order!$E:$E,"",0,1))</f>
        <v/>
      </c>
      <c r="F1032" s="4" t="str">
        <f>IF($C1032="","",_xlfn.XLOOKUP($C1032,Order!$C:$C,Order!$F:$F,"",0,1))</f>
        <v/>
      </c>
      <c r="G1032" s="4" t="str">
        <f>IF($C1032="","",_xlfn.XLOOKUP($C1032,Order!$C:$C,Order!$G:$G,"",0,1))</f>
        <v/>
      </c>
      <c r="H1032" s="4" t="str">
        <f>IF($C1032="","",_xlfn.XLOOKUP($C1032,Order!$C:$C,Order!$H:$H,"",0,1))</f>
        <v/>
      </c>
      <c r="I1032" s="36" t="str">
        <f>IF($C1032="","",_xlfn.XLOOKUP($C1032,Order!$C:$C,Order!$K:$K,"",0,1))</f>
        <v/>
      </c>
      <c r="J1032" s="4" t="str">
        <f>IF(C1032="","",Order!$K$16)</f>
        <v/>
      </c>
      <c r="K1032" s="36" t="str">
        <f>IF($C1032="","",_xlfn.XLOOKUP($C1032,Order!$C:$C,Order!$P:$P,"",0,1))</f>
        <v/>
      </c>
      <c r="L1032" s="4" t="str">
        <f t="shared" si="16"/>
        <v/>
      </c>
    </row>
    <row r="1033" spans="2:12" ht="23.25" hidden="1" customHeight="1" x14ac:dyDescent="0.25">
      <c r="B1033" s="4">
        <v>1028</v>
      </c>
      <c r="C1033" s="36" t="str">
        <f>IF(Order!$C$354="","",Order!$C$354)</f>
        <v/>
      </c>
      <c r="D1033" s="36" t="str">
        <f>IF($C1033="","",_xlfn.XLOOKUP($C1033,Order!$C:$C,Order!$D:$D,"",0,1))</f>
        <v/>
      </c>
      <c r="E1033" s="4" t="str">
        <f>IF($C1033="","",_xlfn.XLOOKUP($C1033,Order!$C:$C,Order!$E:$E,"",0,1))</f>
        <v/>
      </c>
      <c r="F1033" s="4" t="str">
        <f>IF($C1033="","",_xlfn.XLOOKUP($C1033,Order!$C:$C,Order!$F:$F,"",0,1))</f>
        <v/>
      </c>
      <c r="G1033" s="4" t="str">
        <f>IF($C1033="","",_xlfn.XLOOKUP($C1033,Order!$C:$C,Order!$G:$G,"",0,1))</f>
        <v/>
      </c>
      <c r="H1033" s="4" t="str">
        <f>IF($C1033="","",_xlfn.XLOOKUP($C1033,Order!$C:$C,Order!$H:$H,"",0,1))</f>
        <v/>
      </c>
      <c r="I1033" s="36" t="str">
        <f>IF($C1033="","",_xlfn.XLOOKUP($C1033,Order!$C:$C,Order!$K:$K,"",0,1))</f>
        <v/>
      </c>
      <c r="J1033" s="4" t="str">
        <f>IF(C1033="","",Order!$K$16)</f>
        <v/>
      </c>
      <c r="K1033" s="36" t="str">
        <f>IF($C1033="","",_xlfn.XLOOKUP($C1033,Order!$C:$C,Order!$P:$P,"",0,1))</f>
        <v/>
      </c>
      <c r="L1033" s="4" t="str">
        <f t="shared" si="16"/>
        <v/>
      </c>
    </row>
    <row r="1034" spans="2:12" ht="23.25" hidden="1" customHeight="1" x14ac:dyDescent="0.25">
      <c r="B1034" s="4">
        <v>1029</v>
      </c>
      <c r="C1034" s="36" t="str">
        <f>IF(Order!$C$355="","",Order!$C$355)</f>
        <v/>
      </c>
      <c r="D1034" s="36" t="str">
        <f>IF($C1034="","",_xlfn.XLOOKUP($C1034,Order!$C:$C,Order!$D:$D,"",0,1))</f>
        <v/>
      </c>
      <c r="E1034" s="4" t="str">
        <f>IF($C1034="","",_xlfn.XLOOKUP($C1034,Order!$C:$C,Order!$E:$E,"",0,1))</f>
        <v/>
      </c>
      <c r="F1034" s="4" t="str">
        <f>IF($C1034="","",_xlfn.XLOOKUP($C1034,Order!$C:$C,Order!$F:$F,"",0,1))</f>
        <v/>
      </c>
      <c r="G1034" s="4" t="str">
        <f>IF($C1034="","",_xlfn.XLOOKUP($C1034,Order!$C:$C,Order!$G:$G,"",0,1))</f>
        <v/>
      </c>
      <c r="H1034" s="4" t="str">
        <f>IF($C1034="","",_xlfn.XLOOKUP($C1034,Order!$C:$C,Order!$H:$H,"",0,1))</f>
        <v/>
      </c>
      <c r="I1034" s="36" t="str">
        <f>IF($C1034="","",_xlfn.XLOOKUP($C1034,Order!$C:$C,Order!$K:$K,"",0,1))</f>
        <v/>
      </c>
      <c r="J1034" s="4" t="str">
        <f>IF(C1034="","",Order!$K$16)</f>
        <v/>
      </c>
      <c r="K1034" s="36" t="str">
        <f>IF($C1034="","",_xlfn.XLOOKUP($C1034,Order!$C:$C,Order!$P:$P,"",0,1))</f>
        <v/>
      </c>
      <c r="L1034" s="4" t="str">
        <f t="shared" si="16"/>
        <v/>
      </c>
    </row>
    <row r="1035" spans="2:12" ht="23.25" hidden="1" customHeight="1" x14ac:dyDescent="0.25">
      <c r="B1035" s="4">
        <v>1030</v>
      </c>
      <c r="C1035" s="36" t="str">
        <f>IF(Order!$C$356="","",Order!$C$356)</f>
        <v/>
      </c>
      <c r="D1035" s="36" t="str">
        <f>IF($C1035="","",_xlfn.XLOOKUP($C1035,Order!$C:$C,Order!$D:$D,"",0,1))</f>
        <v/>
      </c>
      <c r="E1035" s="4" t="str">
        <f>IF($C1035="","",_xlfn.XLOOKUP($C1035,Order!$C:$C,Order!$E:$E,"",0,1))</f>
        <v/>
      </c>
      <c r="F1035" s="4" t="str">
        <f>IF($C1035="","",_xlfn.XLOOKUP($C1035,Order!$C:$C,Order!$F:$F,"",0,1))</f>
        <v/>
      </c>
      <c r="G1035" s="4" t="str">
        <f>IF($C1035="","",_xlfn.XLOOKUP($C1035,Order!$C:$C,Order!$G:$G,"",0,1))</f>
        <v/>
      </c>
      <c r="H1035" s="4" t="str">
        <f>IF($C1035="","",_xlfn.XLOOKUP($C1035,Order!$C:$C,Order!$H:$H,"",0,1))</f>
        <v/>
      </c>
      <c r="I1035" s="36" t="str">
        <f>IF($C1035="","",_xlfn.XLOOKUP($C1035,Order!$C:$C,Order!$K:$K,"",0,1))</f>
        <v/>
      </c>
      <c r="J1035" s="4" t="str">
        <f>IF(C1035="","",Order!$K$16)</f>
        <v/>
      </c>
      <c r="K1035" s="36" t="str">
        <f>IF($C1035="","",_xlfn.XLOOKUP($C1035,Order!$C:$C,Order!$P:$P,"",0,1))</f>
        <v/>
      </c>
      <c r="L1035" s="4" t="str">
        <f t="shared" si="16"/>
        <v/>
      </c>
    </row>
    <row r="1036" spans="2:12" ht="23.25" hidden="1" customHeight="1" x14ac:dyDescent="0.25">
      <c r="B1036" s="4">
        <v>1031</v>
      </c>
      <c r="C1036" s="36" t="str">
        <f>IF(Order!$C$357="","",Order!$C$357)</f>
        <v/>
      </c>
      <c r="D1036" s="36" t="str">
        <f>IF($C1036="","",_xlfn.XLOOKUP($C1036,Order!$C:$C,Order!$D:$D,"",0,1))</f>
        <v/>
      </c>
      <c r="E1036" s="4" t="str">
        <f>IF($C1036="","",_xlfn.XLOOKUP($C1036,Order!$C:$C,Order!$E:$E,"",0,1))</f>
        <v/>
      </c>
      <c r="F1036" s="4" t="str">
        <f>IF($C1036="","",_xlfn.XLOOKUP($C1036,Order!$C:$C,Order!$F:$F,"",0,1))</f>
        <v/>
      </c>
      <c r="G1036" s="4" t="str">
        <f>IF($C1036="","",_xlfn.XLOOKUP($C1036,Order!$C:$C,Order!$G:$G,"",0,1))</f>
        <v/>
      </c>
      <c r="H1036" s="4" t="str">
        <f>IF($C1036="","",_xlfn.XLOOKUP($C1036,Order!$C:$C,Order!$H:$H,"",0,1))</f>
        <v/>
      </c>
      <c r="I1036" s="36" t="str">
        <f>IF($C1036="","",_xlfn.XLOOKUP($C1036,Order!$C:$C,Order!$K:$K,"",0,1))</f>
        <v/>
      </c>
      <c r="J1036" s="4" t="str">
        <f>IF(C1036="","",Order!$K$16)</f>
        <v/>
      </c>
      <c r="K1036" s="36" t="str">
        <f>IF($C1036="","",_xlfn.XLOOKUP($C1036,Order!$C:$C,Order!$P:$P,"",0,1))</f>
        <v/>
      </c>
      <c r="L1036" s="4" t="str">
        <f t="shared" si="16"/>
        <v/>
      </c>
    </row>
    <row r="1037" spans="2:12" ht="23.25" hidden="1" customHeight="1" x14ac:dyDescent="0.25">
      <c r="B1037" s="4">
        <v>1032</v>
      </c>
      <c r="C1037" s="36" t="str">
        <f>IF(Order!$C$358="","",Order!$C$358)</f>
        <v/>
      </c>
      <c r="D1037" s="36" t="str">
        <f>IF($C1037="","",_xlfn.XLOOKUP($C1037,Order!$C:$C,Order!$D:$D,"",0,1))</f>
        <v/>
      </c>
      <c r="E1037" s="4" t="str">
        <f>IF($C1037="","",_xlfn.XLOOKUP($C1037,Order!$C:$C,Order!$E:$E,"",0,1))</f>
        <v/>
      </c>
      <c r="F1037" s="4" t="str">
        <f>IF($C1037="","",_xlfn.XLOOKUP($C1037,Order!$C:$C,Order!$F:$F,"",0,1))</f>
        <v/>
      </c>
      <c r="G1037" s="4" t="str">
        <f>IF($C1037="","",_xlfn.XLOOKUP($C1037,Order!$C:$C,Order!$G:$G,"",0,1))</f>
        <v/>
      </c>
      <c r="H1037" s="4" t="str">
        <f>IF($C1037="","",_xlfn.XLOOKUP($C1037,Order!$C:$C,Order!$H:$H,"",0,1))</f>
        <v/>
      </c>
      <c r="I1037" s="36" t="str">
        <f>IF($C1037="","",_xlfn.XLOOKUP($C1037,Order!$C:$C,Order!$K:$K,"",0,1))</f>
        <v/>
      </c>
      <c r="J1037" s="4" t="str">
        <f>IF(C1037="","",Order!$K$16)</f>
        <v/>
      </c>
      <c r="K1037" s="36" t="str">
        <f>IF($C1037="","",_xlfn.XLOOKUP($C1037,Order!$C:$C,Order!$P:$P,"",0,1))</f>
        <v/>
      </c>
      <c r="L1037" s="4" t="str">
        <f t="shared" si="16"/>
        <v/>
      </c>
    </row>
    <row r="1038" spans="2:12" ht="23.25" hidden="1" customHeight="1" x14ac:dyDescent="0.25">
      <c r="B1038" s="4">
        <v>1033</v>
      </c>
      <c r="C1038" s="36" t="str">
        <f>IF(Order!$C$359="","",Order!$C$359)</f>
        <v/>
      </c>
      <c r="D1038" s="36" t="str">
        <f>IF($C1038="","",_xlfn.XLOOKUP($C1038,Order!$C:$C,Order!$D:$D,"",0,1))</f>
        <v/>
      </c>
      <c r="E1038" s="4" t="str">
        <f>IF($C1038="","",_xlfn.XLOOKUP($C1038,Order!$C:$C,Order!$E:$E,"",0,1))</f>
        <v/>
      </c>
      <c r="F1038" s="4" t="str">
        <f>IF($C1038="","",_xlfn.XLOOKUP($C1038,Order!$C:$C,Order!$F:$F,"",0,1))</f>
        <v/>
      </c>
      <c r="G1038" s="4" t="str">
        <f>IF($C1038="","",_xlfn.XLOOKUP($C1038,Order!$C:$C,Order!$G:$G,"",0,1))</f>
        <v/>
      </c>
      <c r="H1038" s="4" t="str">
        <f>IF($C1038="","",_xlfn.XLOOKUP($C1038,Order!$C:$C,Order!$H:$H,"",0,1))</f>
        <v/>
      </c>
      <c r="I1038" s="36" t="str">
        <f>IF($C1038="","",_xlfn.XLOOKUP($C1038,Order!$C:$C,Order!$K:$K,"",0,1))</f>
        <v/>
      </c>
      <c r="J1038" s="4" t="str">
        <f>IF(C1038="","",Order!$K$16)</f>
        <v/>
      </c>
      <c r="K1038" s="36" t="str">
        <f>IF($C1038="","",_xlfn.XLOOKUP($C1038,Order!$C:$C,Order!$P:$P,"",0,1))</f>
        <v/>
      </c>
      <c r="L1038" s="4" t="str">
        <f t="shared" si="16"/>
        <v/>
      </c>
    </row>
    <row r="1039" spans="2:12" ht="23.25" hidden="1" customHeight="1" x14ac:dyDescent="0.25">
      <c r="B1039" s="4">
        <v>1034</v>
      </c>
      <c r="C1039" s="36" t="str">
        <f>IF(Order!$C$360="","",Order!$C$360)</f>
        <v/>
      </c>
      <c r="D1039" s="36" t="str">
        <f>IF($C1039="","",_xlfn.XLOOKUP($C1039,Order!$C:$C,Order!$D:$D,"",0,1))</f>
        <v/>
      </c>
      <c r="E1039" s="4" t="str">
        <f>IF($C1039="","",_xlfn.XLOOKUP($C1039,Order!$C:$C,Order!$E:$E,"",0,1))</f>
        <v/>
      </c>
      <c r="F1039" s="4" t="str">
        <f>IF($C1039="","",_xlfn.XLOOKUP($C1039,Order!$C:$C,Order!$F:$F,"",0,1))</f>
        <v/>
      </c>
      <c r="G1039" s="4" t="str">
        <f>IF($C1039="","",_xlfn.XLOOKUP($C1039,Order!$C:$C,Order!$G:$G,"",0,1))</f>
        <v/>
      </c>
      <c r="H1039" s="4" t="str">
        <f>IF($C1039="","",_xlfn.XLOOKUP($C1039,Order!$C:$C,Order!$H:$H,"",0,1))</f>
        <v/>
      </c>
      <c r="I1039" s="36" t="str">
        <f>IF($C1039="","",_xlfn.XLOOKUP($C1039,Order!$C:$C,Order!$K:$K,"",0,1))</f>
        <v/>
      </c>
      <c r="J1039" s="4" t="str">
        <f>IF(C1039="","",Order!$K$16)</f>
        <v/>
      </c>
      <c r="K1039" s="36" t="str">
        <f>IF($C1039="","",_xlfn.XLOOKUP($C1039,Order!$C:$C,Order!$P:$P,"",0,1))</f>
        <v/>
      </c>
      <c r="L1039" s="4" t="str">
        <f t="shared" si="16"/>
        <v/>
      </c>
    </row>
    <row r="1040" spans="2:12" ht="23.25" hidden="1" customHeight="1" x14ac:dyDescent="0.25">
      <c r="B1040" s="4">
        <v>1035</v>
      </c>
      <c r="C1040" s="36" t="str">
        <f>IF(Order!$C$361="","",Order!$C$361)</f>
        <v/>
      </c>
      <c r="D1040" s="36" t="str">
        <f>IF($C1040="","",_xlfn.XLOOKUP($C1040,Order!$C:$C,Order!$D:$D,"",0,1))</f>
        <v/>
      </c>
      <c r="E1040" s="4" t="str">
        <f>IF($C1040="","",_xlfn.XLOOKUP($C1040,Order!$C:$C,Order!$E:$E,"",0,1))</f>
        <v/>
      </c>
      <c r="F1040" s="4" t="str">
        <f>IF($C1040="","",_xlfn.XLOOKUP($C1040,Order!$C:$C,Order!$F:$F,"",0,1))</f>
        <v/>
      </c>
      <c r="G1040" s="4" t="str">
        <f>IF($C1040="","",_xlfn.XLOOKUP($C1040,Order!$C:$C,Order!$G:$G,"",0,1))</f>
        <v/>
      </c>
      <c r="H1040" s="4" t="str">
        <f>IF($C1040="","",_xlfn.XLOOKUP($C1040,Order!$C:$C,Order!$H:$H,"",0,1))</f>
        <v/>
      </c>
      <c r="I1040" s="36" t="str">
        <f>IF($C1040="","",_xlfn.XLOOKUP($C1040,Order!$C:$C,Order!$K:$K,"",0,1))</f>
        <v/>
      </c>
      <c r="J1040" s="4" t="str">
        <f>IF(C1040="","",Order!$K$16)</f>
        <v/>
      </c>
      <c r="K1040" s="36" t="str">
        <f>IF($C1040="","",_xlfn.XLOOKUP($C1040,Order!$C:$C,Order!$P:$P,"",0,1))</f>
        <v/>
      </c>
      <c r="L1040" s="4" t="str">
        <f t="shared" si="16"/>
        <v/>
      </c>
    </row>
    <row r="1041" spans="2:12" s="1" customFormat="1" ht="23.25" hidden="1" customHeight="1" x14ac:dyDescent="0.25">
      <c r="B1041" s="4">
        <v>1036</v>
      </c>
      <c r="C1041" s="36" t="str">
        <f>IF(Order!$C$17="","",Order!$C$17)</f>
        <v>BC 1/2X1/8 (Flat bar 1/2 X 1/8" )</v>
      </c>
      <c r="D1041" s="36" t="str">
        <f>IF($C1041="","",_xlfn.XLOOKUP($C1041,Order!$C:$C,Order!$D:$D,"",0,1))</f>
        <v>BC1/2X1/8</v>
      </c>
      <c r="E1041" s="4" t="e" vm="249">
        <f>IF($C1041="","",_xlfn.XLOOKUP($C1041,Order!$C:$C,Order!$E:$E,"",0,1))</f>
        <v>#VALUE!</v>
      </c>
      <c r="F1041" s="4">
        <f>IF($C1041="","",_xlfn.XLOOKUP($C1041,Order!$C:$C,Order!$F:$F,"",0,1))</f>
        <v>6000</v>
      </c>
      <c r="G1041" s="4" t="str">
        <f>IF($C1041="","",_xlfn.XLOOKUP($C1041,Order!$C:$C,Order!$G:$G,"",0,1))</f>
        <v>6063T5</v>
      </c>
      <c r="H1041" s="4">
        <f>IF($C1041="","",_xlfn.XLOOKUP($C1041,Order!$C:$C,Order!$H:$H,"",0,1))</f>
        <v>0.11</v>
      </c>
      <c r="I1041" s="36">
        <f>IF($C1041="","",_xlfn.XLOOKUP($C1041,Order!$C:$C,Order!$L:$L,"",0,1))</f>
        <v>0</v>
      </c>
      <c r="J1041" s="4" t="str">
        <f>IF(C1041="","",Order!$L$16)</f>
        <v>BRONZE ANODIZED (FAYP03)</v>
      </c>
      <c r="K1041" s="36">
        <f>IF($C1041="","",_xlfn.XLOOKUP($C1041,Order!$C:$C,Order!$P:$P,"",0,1))</f>
        <v>0</v>
      </c>
      <c r="L1041" s="4">
        <f t="shared" si="16"/>
        <v>0</v>
      </c>
    </row>
    <row r="1042" spans="2:12" s="1" customFormat="1" ht="23.25" hidden="1" customHeight="1" x14ac:dyDescent="0.25">
      <c r="B1042" s="4">
        <v>1037</v>
      </c>
      <c r="C1042" s="36" t="str">
        <f>IF(Order!$C$18="","",Order!$C$18)</f>
        <v>BC 1X1/8 (Flat bar 1 X 1/8")</v>
      </c>
      <c r="D1042" s="36" t="str">
        <f>IF($C1042="","",_xlfn.XLOOKUP($C1042,Order!$C:$C,Order!$D:$D,"",0,1))</f>
        <v>BC1X1/8</v>
      </c>
      <c r="E1042" s="4" t="e" vm="250">
        <f>IF($C1042="","",_xlfn.XLOOKUP($C1042,Order!$C:$C,Order!$E:$E,"",0,1))</f>
        <v>#VALUE!</v>
      </c>
      <c r="F1042" s="4">
        <f>IF($C1042="","",_xlfn.XLOOKUP($C1042,Order!$C:$C,Order!$F:$F,"",0,1))</f>
        <v>6000</v>
      </c>
      <c r="G1042" s="4" t="str">
        <f>IF($C1042="","",_xlfn.XLOOKUP($C1042,Order!$C:$C,Order!$G:$G,"",0,1))</f>
        <v>6063T5</v>
      </c>
      <c r="H1042" s="4">
        <f>IF($C1042="","",_xlfn.XLOOKUP($C1042,Order!$C:$C,Order!$H:$H,"",0,1))</f>
        <v>0.221</v>
      </c>
      <c r="I1042" s="36">
        <f>IF($C1042="","",_xlfn.XLOOKUP($C1042,Order!$C:$C,Order!$L:$L,"",0,1))</f>
        <v>0</v>
      </c>
      <c r="J1042" s="4" t="str">
        <f>IF(C1042="","",Order!$L$16)</f>
        <v>BRONZE ANODIZED (FAYP03)</v>
      </c>
      <c r="K1042" s="36">
        <f>IF($C1042="","",_xlfn.XLOOKUP($C1042,Order!$C:$C,Order!$P:$P,"",0,1))</f>
        <v>0</v>
      </c>
      <c r="L1042" s="4">
        <f t="shared" si="16"/>
        <v>0</v>
      </c>
    </row>
    <row r="1043" spans="2:12" ht="23.25" hidden="1" customHeight="1" x14ac:dyDescent="0.25">
      <c r="B1043" s="4">
        <v>1038</v>
      </c>
      <c r="C1043" s="36" t="str">
        <f>IF(Order!$C$19="","",Order!$C$19)</f>
        <v>TR3/8 (Round tube 3/8" with 0.80 mm tickness)</v>
      </c>
      <c r="D1043" s="36" t="str">
        <f>IF($C1043="","",_xlfn.XLOOKUP($C1043,Order!$C:$C,Order!$D:$D,"",0,1))</f>
        <v>TR3/8</v>
      </c>
      <c r="E1043" s="4" t="e" vm="251">
        <f>IF($C1043="","",_xlfn.XLOOKUP($C1043,Order!$C:$C,Order!$E:$E,"",0,1))</f>
        <v>#VALUE!</v>
      </c>
      <c r="F1043" s="4">
        <f>IF($C1043="","",_xlfn.XLOOKUP($C1043,Order!$C:$C,Order!$F:$F,"",0,1))</f>
        <v>6000</v>
      </c>
      <c r="G1043" s="4" t="str">
        <f>IF($C1043="","",_xlfn.XLOOKUP($C1043,Order!$C:$C,Order!$G:$G,"",0,1))</f>
        <v>6063T5</v>
      </c>
      <c r="H1043" s="4">
        <f>IF($C1043="","",_xlfn.XLOOKUP($C1043,Order!$C:$C,Order!$H:$H,"",0,1))</f>
        <v>0.06</v>
      </c>
      <c r="I1043" s="36">
        <f>IF($C1043="","",_xlfn.XLOOKUP($C1043,Order!$C:$C,Order!$L:$L,"",0,1))</f>
        <v>0</v>
      </c>
      <c r="J1043" s="4" t="str">
        <f>IF(C1043="","",Order!$L$16)</f>
        <v>BRONZE ANODIZED (FAYP03)</v>
      </c>
      <c r="K1043" s="36">
        <f>IF($C1043="","",_xlfn.XLOOKUP($C1043,Order!$C:$C,Order!$P:$P,"",0,1))</f>
        <v>0</v>
      </c>
      <c r="L1043" s="4">
        <f t="shared" si="16"/>
        <v>0</v>
      </c>
    </row>
    <row r="1044" spans="2:12" ht="23.25" hidden="1" customHeight="1" x14ac:dyDescent="0.25">
      <c r="B1044" s="4">
        <v>1039</v>
      </c>
      <c r="C1044" s="36" t="str">
        <f>IF(Order!$C$20="","",Order!$C$20)</f>
        <v>TR1/2 (Round tube 1/2 with 0.90 mm tickness)</v>
      </c>
      <c r="D1044" s="36" t="str">
        <f>IF($C1044="","",_xlfn.XLOOKUP($C1044,Order!$C:$C,Order!$D:$D,"",0,1))</f>
        <v>TR12</v>
      </c>
      <c r="E1044" s="4" t="e" vm="251">
        <f>IF($C1044="","",_xlfn.XLOOKUP($C1044,Order!$C:$C,Order!$E:$E,"",0,1))</f>
        <v>#VALUE!</v>
      </c>
      <c r="F1044" s="4">
        <f>IF($C1044="","",_xlfn.XLOOKUP($C1044,Order!$C:$C,Order!$F:$F,"",0,1))</f>
        <v>6000</v>
      </c>
      <c r="G1044" s="4" t="str">
        <f>IF($C1044="","",_xlfn.XLOOKUP($C1044,Order!$C:$C,Order!$G:$G,"",0,1))</f>
        <v>6063T5</v>
      </c>
      <c r="H1044" s="4">
        <f>IF($C1044="","",_xlfn.XLOOKUP($C1044,Order!$C:$C,Order!$H:$H,"",0,1))</f>
        <v>9.0999999999999998E-2</v>
      </c>
      <c r="I1044" s="36">
        <f>IF($C1044="","",_xlfn.XLOOKUP($C1044,Order!$C:$C,Order!$L:$L,"",0,1))</f>
        <v>0</v>
      </c>
      <c r="J1044" s="4" t="str">
        <f>IF(C1044="","",Order!$L$16)</f>
        <v>BRONZE ANODIZED (FAYP03)</v>
      </c>
      <c r="K1044" s="36">
        <f>IF($C1044="","",_xlfn.XLOOKUP($C1044,Order!$C:$C,Order!$P:$P,"",0,1))</f>
        <v>0</v>
      </c>
      <c r="L1044" s="4">
        <f t="shared" si="16"/>
        <v>0</v>
      </c>
    </row>
    <row r="1045" spans="2:12" ht="23.25" hidden="1" customHeight="1" x14ac:dyDescent="0.25">
      <c r="B1045" s="4">
        <v>1040</v>
      </c>
      <c r="C1045" s="36" t="str">
        <f>IF(Order!$C$21="","",Order!$C$21)</f>
        <v>TR 5/8 (Round tube 5/8" with 0.80 mm thickness)</v>
      </c>
      <c r="D1045" s="36" t="str">
        <f>IF($C1045="","",_xlfn.XLOOKUP($C1045,Order!$C:$C,Order!$D:$D,"",0,1))</f>
        <v>TR58</v>
      </c>
      <c r="E1045" s="4" t="e" vm="251">
        <f>IF($C1045="","",_xlfn.XLOOKUP($C1045,Order!$C:$C,Order!$E:$E,"",0,1))</f>
        <v>#VALUE!</v>
      </c>
      <c r="F1045" s="4">
        <f>IF($C1045="","",_xlfn.XLOOKUP($C1045,Order!$C:$C,Order!$F:$F,"",0,1))</f>
        <v>6000</v>
      </c>
      <c r="G1045" s="4" t="str">
        <f>IF($C1045="","",_xlfn.XLOOKUP($C1045,Order!$C:$C,Order!$G:$G,"",0,1))</f>
        <v>6063T5</v>
      </c>
      <c r="H1045" s="4">
        <f>IF($C1045="","",_xlfn.XLOOKUP($C1045,Order!$C:$C,Order!$H:$H,"",0,1))</f>
        <v>0.10299999999999999</v>
      </c>
      <c r="I1045" s="36">
        <f>IF($C1045="","",_xlfn.XLOOKUP($C1045,Order!$C:$C,Order!$L:$L,"",0,1))</f>
        <v>0</v>
      </c>
      <c r="J1045" s="4" t="str">
        <f>IF(C1045="","",Order!$L$16)</f>
        <v>BRONZE ANODIZED (FAYP03)</v>
      </c>
      <c r="K1045" s="36">
        <f>IF($C1045="","",_xlfn.XLOOKUP($C1045,Order!$C:$C,Order!$P:$P,"",0,1))</f>
        <v>0</v>
      </c>
      <c r="L1045" s="4">
        <f t="shared" si="16"/>
        <v>0</v>
      </c>
    </row>
    <row r="1046" spans="2:12" ht="23.25" hidden="1" customHeight="1" x14ac:dyDescent="0.25">
      <c r="B1046" s="4">
        <v>1041</v>
      </c>
      <c r="C1046" s="36" t="str">
        <f>IF(Order!$C$22="","",Order!$C$22)</f>
        <v>TR3/4A (Round tube 3/4" with 0.80 mm thickness)</v>
      </c>
      <c r="D1046" s="36" t="str">
        <f>IF($C1046="","",_xlfn.XLOOKUP($C1046,Order!$C:$C,Order!$D:$D,"",0,1))</f>
        <v>TR34A</v>
      </c>
      <c r="E1046" s="4" t="e" vm="251">
        <f>IF($C1046="","",_xlfn.XLOOKUP($C1046,Order!$C:$C,Order!$E:$E,"",0,1))</f>
        <v>#VALUE!</v>
      </c>
      <c r="F1046" s="4">
        <f>IF($C1046="","",_xlfn.XLOOKUP($C1046,Order!$C:$C,Order!$F:$F,"",0,1))</f>
        <v>6000</v>
      </c>
      <c r="G1046" s="4" t="str">
        <f>IF($C1046="","",_xlfn.XLOOKUP($C1046,Order!$C:$C,Order!$G:$G,"",0,1))</f>
        <v>6063T5</v>
      </c>
      <c r="H1046" s="4">
        <f>IF($C1046="","",_xlfn.XLOOKUP($C1046,Order!$C:$C,Order!$H:$H,"",0,1))</f>
        <v>0.125</v>
      </c>
      <c r="I1046" s="36">
        <f>IF($C1046="","",_xlfn.XLOOKUP($C1046,Order!$C:$C,Order!$L:$L,"",0,1))</f>
        <v>0</v>
      </c>
      <c r="J1046" s="4" t="str">
        <f>IF(C1046="","",Order!$L$16)</f>
        <v>BRONZE ANODIZED (FAYP03)</v>
      </c>
      <c r="K1046" s="36">
        <f>IF($C1046="","",_xlfn.XLOOKUP($C1046,Order!$C:$C,Order!$P:$P,"",0,1))</f>
        <v>0</v>
      </c>
      <c r="L1046" s="4">
        <f t="shared" si="16"/>
        <v>0</v>
      </c>
    </row>
    <row r="1047" spans="2:12" ht="23.25" hidden="1" customHeight="1" x14ac:dyDescent="0.25">
      <c r="B1047" s="4">
        <v>1042</v>
      </c>
      <c r="C1047" s="36" t="str">
        <f>IF(Order!$C$23="","",Order!$C$23)</f>
        <v>TR7/8 (Round tube 7/8" with 0.90 mm thickness)</v>
      </c>
      <c r="D1047" s="36" t="str">
        <f>IF($C1047="","",_xlfn.XLOOKUP($C1047,Order!$C:$C,Order!$D:$D,"",0,1))</f>
        <v>TR7/8</v>
      </c>
      <c r="E1047" s="4" t="e" vm="251">
        <f>IF($C1047="","",_xlfn.XLOOKUP($C1047,Order!$C:$C,Order!$E:$E,"",0,1))</f>
        <v>#VALUE!</v>
      </c>
      <c r="F1047" s="4">
        <f>IF($C1047="","",_xlfn.XLOOKUP($C1047,Order!$C:$C,Order!$F:$F,"",0,1))</f>
        <v>6000</v>
      </c>
      <c r="G1047" s="4" t="str">
        <f>IF($C1047="","",_xlfn.XLOOKUP($C1047,Order!$C:$C,Order!$G:$G,"",0,1))</f>
        <v>6063T5</v>
      </c>
      <c r="H1047" s="4">
        <f>IF($C1047="","",_xlfn.XLOOKUP($C1047,Order!$C:$C,Order!$H:$H,"",0,1))</f>
        <v>0.16400000000000001</v>
      </c>
      <c r="I1047" s="36">
        <f>IF($C1047="","",_xlfn.XLOOKUP($C1047,Order!$C:$C,Order!$L:$L,"",0,1))</f>
        <v>0</v>
      </c>
      <c r="J1047" s="4" t="str">
        <f>IF(C1047="","",Order!$L$16)</f>
        <v>BRONZE ANODIZED (FAYP03)</v>
      </c>
      <c r="K1047" s="36">
        <f>IF($C1047="","",_xlfn.XLOOKUP($C1047,Order!$C:$C,Order!$P:$P,"",0,1))</f>
        <v>0</v>
      </c>
      <c r="L1047" s="4">
        <f t="shared" si="16"/>
        <v>0</v>
      </c>
    </row>
    <row r="1048" spans="2:12" ht="23.25" hidden="1" customHeight="1" x14ac:dyDescent="0.25">
      <c r="B1048" s="4">
        <v>1043</v>
      </c>
      <c r="C1048" s="36" t="str">
        <f>IF(Order!$C$24="","",Order!$C$24)</f>
        <v>TR24.8 (Round tube 24.8 mm with 0.90 mm thickness)</v>
      </c>
      <c r="D1048" s="36" t="str">
        <f>IF($C1048="","",_xlfn.XLOOKUP($C1048,Order!$C:$C,Order!$D:$D,"",0,1))</f>
        <v>TR24.8</v>
      </c>
      <c r="E1048" s="4" t="e" vm="251">
        <f>IF($C1048="","",_xlfn.XLOOKUP($C1048,Order!$C:$C,Order!$E:$E,"",0,1))</f>
        <v>#VALUE!</v>
      </c>
      <c r="F1048" s="4">
        <f>IF($C1048="","",_xlfn.XLOOKUP($C1048,Order!$C:$C,Order!$F:$F,"",0,1))</f>
        <v>6000</v>
      </c>
      <c r="G1048" s="4" t="str">
        <f>IF($C1048="","",_xlfn.XLOOKUP($C1048,Order!$C:$C,Order!$G:$G,"",0,1))</f>
        <v>6063T5</v>
      </c>
      <c r="H1048" s="4">
        <f>IF($C1048="","",_xlfn.XLOOKUP($C1048,Order!$C:$C,Order!$H:$H,"",0,1))</f>
        <v>0</v>
      </c>
      <c r="I1048" s="36">
        <f>IF($C1048="","",_xlfn.XLOOKUP($C1048,Order!$C:$C,Order!$L:$L,"",0,1))</f>
        <v>0</v>
      </c>
      <c r="J1048" s="4" t="str">
        <f>IF(C1048="","",Order!$L$16)</f>
        <v>BRONZE ANODIZED (FAYP03)</v>
      </c>
      <c r="K1048" s="36">
        <f>IF($C1048="","",_xlfn.XLOOKUP($C1048,Order!$C:$C,Order!$P:$P,"",0,1))</f>
        <v>0</v>
      </c>
      <c r="L1048" s="4">
        <f t="shared" si="16"/>
        <v>0</v>
      </c>
    </row>
    <row r="1049" spans="2:12" ht="23.25" hidden="1" customHeight="1" x14ac:dyDescent="0.25">
      <c r="B1049" s="4">
        <v>1044</v>
      </c>
      <c r="C1049" s="36" t="str">
        <f>IF(Order!$C$25="","",Order!$C$25)</f>
        <v>TR1 (Round tube 1" with 0.80 mm thickness)</v>
      </c>
      <c r="D1049" s="36" t="str">
        <f>IF($C1049="","",_xlfn.XLOOKUP($C1049,Order!$C:$C,Order!$D:$D,"",0,1))</f>
        <v>TR1</v>
      </c>
      <c r="E1049" s="4" t="e" vm="251">
        <f>IF($C1049="","",_xlfn.XLOOKUP($C1049,Order!$C:$C,Order!$E:$E,"",0,1))</f>
        <v>#VALUE!</v>
      </c>
      <c r="F1049" s="4">
        <f>IF($C1049="","",_xlfn.XLOOKUP($C1049,Order!$C:$C,Order!$F:$F,"",0,1))</f>
        <v>6000</v>
      </c>
      <c r="G1049" s="4" t="str">
        <f>IF($C1049="","",_xlfn.XLOOKUP($C1049,Order!$C:$C,Order!$G:$G,"",0,1))</f>
        <v>6063T5</v>
      </c>
      <c r="H1049" s="4">
        <f>IF($C1049="","",_xlfn.XLOOKUP($C1049,Order!$C:$C,Order!$H:$H,"",0,1))</f>
        <v>0.16900000000000001</v>
      </c>
      <c r="I1049" s="36">
        <f>IF($C1049="","",_xlfn.XLOOKUP($C1049,Order!$C:$C,Order!$L:$L,"",0,1))</f>
        <v>0</v>
      </c>
      <c r="J1049" s="4" t="str">
        <f>IF(C1049="","",Order!$L$16)</f>
        <v>BRONZE ANODIZED (FAYP03)</v>
      </c>
      <c r="K1049" s="36">
        <f>IF($C1049="","",_xlfn.XLOOKUP($C1049,Order!$C:$C,Order!$P:$P,"",0,1))</f>
        <v>0</v>
      </c>
      <c r="L1049" s="4">
        <f t="shared" si="16"/>
        <v>0</v>
      </c>
    </row>
    <row r="1050" spans="2:12" ht="23.25" hidden="1" customHeight="1" x14ac:dyDescent="0.25">
      <c r="B1050" s="4">
        <v>1045</v>
      </c>
      <c r="C1050" s="36" t="str">
        <f>IF(Order!$C$26="","",Order!$C$26)</f>
        <v>TR1x1.0 (Round tube 1" with 1.00 mm thickness)</v>
      </c>
      <c r="D1050" s="36" t="str">
        <f>IF($C1050="","",_xlfn.XLOOKUP($C1050,Order!$C:$C,Order!$D:$D,"",0,1))</f>
        <v>TR1X1.0</v>
      </c>
      <c r="E1050" s="4" t="e" vm="251">
        <f>IF($C1050="","",_xlfn.XLOOKUP($C1050,Order!$C:$C,Order!$E:$E,"",0,1))</f>
        <v>#VALUE!</v>
      </c>
      <c r="F1050" s="4">
        <f>IF($C1050="","",_xlfn.XLOOKUP($C1050,Order!$C:$C,Order!$F:$F,"",0,1))</f>
        <v>6000</v>
      </c>
      <c r="G1050" s="4" t="str">
        <f>IF($C1050="","",_xlfn.XLOOKUP($C1050,Order!$C:$C,Order!$G:$G,"",0,1))</f>
        <v>6063T5</v>
      </c>
      <c r="H1050" s="4">
        <f>IF($C1050="","",_xlfn.XLOOKUP($C1050,Order!$C:$C,Order!$H:$H,"",0,1))</f>
        <v>0</v>
      </c>
      <c r="I1050" s="36">
        <f>IF($C1050="","",_xlfn.XLOOKUP($C1050,Order!$C:$C,Order!$L:$L,"",0,1))</f>
        <v>0</v>
      </c>
      <c r="J1050" s="4" t="str">
        <f>IF(C1050="","",Order!$L$16)</f>
        <v>BRONZE ANODIZED (FAYP03)</v>
      </c>
      <c r="K1050" s="36">
        <f>IF($C1050="","",_xlfn.XLOOKUP($C1050,Order!$C:$C,Order!$P:$P,"",0,1))</f>
        <v>0</v>
      </c>
      <c r="L1050" s="4">
        <f t="shared" si="16"/>
        <v>0</v>
      </c>
    </row>
    <row r="1051" spans="2:12" ht="23.25" hidden="1" customHeight="1" x14ac:dyDescent="0.25">
      <c r="B1051" s="4">
        <v>1046</v>
      </c>
      <c r="C1051" s="36" t="str">
        <f>IF(Order!$C$27="","",Order!$C$27)</f>
        <v>TR1.1/4 (Round tube  1.1/4" with 1.00 mm thickness)</v>
      </c>
      <c r="D1051" s="36" t="str">
        <f>IF($C1051="","",_xlfn.XLOOKUP($C1051,Order!$C:$C,Order!$D:$D,"",0,1))</f>
        <v>TR1.1-4</v>
      </c>
      <c r="E1051" s="4" t="e" vm="251">
        <f>IF($C1051="","",_xlfn.XLOOKUP($C1051,Order!$C:$C,Order!$E:$E,"",0,1))</f>
        <v>#VALUE!</v>
      </c>
      <c r="F1051" s="4">
        <f>IF($C1051="","",_xlfn.XLOOKUP($C1051,Order!$C:$C,Order!$F:$F,"",0,1))</f>
        <v>6000</v>
      </c>
      <c r="G1051" s="4" t="str">
        <f>IF($C1051="","",_xlfn.XLOOKUP($C1051,Order!$C:$C,Order!$G:$G,"",0,1))</f>
        <v>6063T5</v>
      </c>
      <c r="H1051" s="4">
        <f>IF($C1051="","",_xlfn.XLOOKUP($C1051,Order!$C:$C,Order!$H:$H,"",0,1))</f>
        <v>0.26400000000000001</v>
      </c>
      <c r="I1051" s="36">
        <f>IF($C1051="","",_xlfn.XLOOKUP($C1051,Order!$C:$C,Order!$L:$L,"",0,1))</f>
        <v>0</v>
      </c>
      <c r="J1051" s="4" t="str">
        <f>IF(C1051="","",Order!$L$16)</f>
        <v>BRONZE ANODIZED (FAYP03)</v>
      </c>
      <c r="K1051" s="36">
        <f>IF($C1051="","",_xlfn.XLOOKUP($C1051,Order!$C:$C,Order!$P:$P,"",0,1))</f>
        <v>0</v>
      </c>
      <c r="L1051" s="4">
        <f t="shared" si="16"/>
        <v>0</v>
      </c>
    </row>
    <row r="1052" spans="2:12" ht="23.25" hidden="1" customHeight="1" x14ac:dyDescent="0.25">
      <c r="B1052" s="4">
        <v>1047</v>
      </c>
      <c r="C1052" s="36" t="str">
        <f>IF(Order!$C$28="","",Order!$C$28)</f>
        <v>TR1.1/2 (Round tube  1.1/2" with 1.00 mmthickness)</v>
      </c>
      <c r="D1052" s="36" t="str">
        <f>IF($C1052="","",_xlfn.XLOOKUP($C1052,Order!$C:$C,Order!$D:$D,"",0,1))</f>
        <v>TR1.1/2</v>
      </c>
      <c r="E1052" s="4" t="e" vm="251">
        <f>IF($C1052="","",_xlfn.XLOOKUP($C1052,Order!$C:$C,Order!$E:$E,"",0,1))</f>
        <v>#VALUE!</v>
      </c>
      <c r="F1052" s="4">
        <f>IF($C1052="","",_xlfn.XLOOKUP($C1052,Order!$C:$C,Order!$F:$F,"",0,1))</f>
        <v>6000</v>
      </c>
      <c r="G1052" s="4" t="str">
        <f>IF($C1052="","",_xlfn.XLOOKUP($C1052,Order!$C:$C,Order!$G:$G,"",0,1))</f>
        <v>6063T5</v>
      </c>
      <c r="H1052" s="4">
        <f>IF($C1052="","",_xlfn.XLOOKUP($C1052,Order!$C:$C,Order!$H:$H,"",0,1))</f>
        <v>0.318</v>
      </c>
      <c r="I1052" s="36">
        <f>IF($C1052="","",_xlfn.XLOOKUP($C1052,Order!$C:$C,Order!$L:$L,"",0,1))</f>
        <v>0</v>
      </c>
      <c r="J1052" s="4" t="str">
        <f>IF(C1052="","",Order!$L$16)</f>
        <v>BRONZE ANODIZED (FAYP03)</v>
      </c>
      <c r="K1052" s="36">
        <f>IF($C1052="","",_xlfn.XLOOKUP($C1052,Order!$C:$C,Order!$P:$P,"",0,1))</f>
        <v>0</v>
      </c>
      <c r="L1052" s="4">
        <f t="shared" si="16"/>
        <v>0</v>
      </c>
    </row>
    <row r="1053" spans="2:12" ht="23.25" hidden="1" customHeight="1" x14ac:dyDescent="0.25">
      <c r="B1053" s="4">
        <v>1048</v>
      </c>
      <c r="C1053" s="36" t="str">
        <f>IF(Order!$C$29="","",Order!$C$29)</f>
        <v>TR2A (Round tube 2" with 0.95 mm thickness)</v>
      </c>
      <c r="D1053" s="36" t="str">
        <f>IF($C1053="","",_xlfn.XLOOKUP($C1053,Order!$C:$C,Order!$D:$D,"",0,1))</f>
        <v>TR2A</v>
      </c>
      <c r="E1053" s="4" t="e" vm="251">
        <f>IF($C1053="","",_xlfn.XLOOKUP($C1053,Order!$C:$C,Order!$E:$E,"",0,1))</f>
        <v>#VALUE!</v>
      </c>
      <c r="F1053" s="4">
        <f>IF($C1053="","",_xlfn.XLOOKUP($C1053,Order!$C:$C,Order!$F:$F,"",0,1))</f>
        <v>6000</v>
      </c>
      <c r="G1053" s="4" t="str">
        <f>IF($C1053="","",_xlfn.XLOOKUP($C1053,Order!$C:$C,Order!$G:$G,"",0,1))</f>
        <v>6063T5</v>
      </c>
      <c r="H1053" s="4">
        <f>IF($C1053="","",_xlfn.XLOOKUP($C1053,Order!$C:$C,Order!$H:$H,"",0,1))</f>
        <v>0.40600000000000003</v>
      </c>
      <c r="I1053" s="36">
        <f>IF($C1053="","",_xlfn.XLOOKUP($C1053,Order!$C:$C,Order!$L:$L,"",0,1))</f>
        <v>0</v>
      </c>
      <c r="J1053" s="4" t="str">
        <f>IF(C1053="","",Order!$L$16)</f>
        <v>BRONZE ANODIZED (FAYP03)</v>
      </c>
      <c r="K1053" s="36">
        <f>IF($C1053="","",_xlfn.XLOOKUP($C1053,Order!$C:$C,Order!$P:$P,"",0,1))</f>
        <v>0</v>
      </c>
      <c r="L1053" s="4">
        <f t="shared" si="16"/>
        <v>0</v>
      </c>
    </row>
    <row r="1054" spans="2:12" ht="23.25" hidden="1" customHeight="1" x14ac:dyDescent="0.25">
      <c r="B1054" s="4">
        <v>1049</v>
      </c>
      <c r="C1054" s="36" t="str">
        <f>IF(Order!$C$30="","",Order!$C$30)</f>
        <v>TR3 (Round tube 3" with 1.27 mm thickness)</v>
      </c>
      <c r="D1054" s="36" t="str">
        <f>IF($C1054="","",_xlfn.XLOOKUP($C1054,Order!$C:$C,Order!$D:$D,"",0,1))</f>
        <v>TR3</v>
      </c>
      <c r="E1054" s="4" t="e" vm="251">
        <f>IF($C1054="","",_xlfn.XLOOKUP($C1054,Order!$C:$C,Order!$E:$E,"",0,1))</f>
        <v>#VALUE!</v>
      </c>
      <c r="F1054" s="4">
        <f>IF($C1054="","",_xlfn.XLOOKUP($C1054,Order!$C:$C,Order!$F:$F,"",0,1))</f>
        <v>6000</v>
      </c>
      <c r="G1054" s="4" t="str">
        <f>IF($C1054="","",_xlfn.XLOOKUP($C1054,Order!$C:$C,Order!$G:$G,"",0,1))</f>
        <v>6063T5</v>
      </c>
      <c r="H1054" s="4">
        <f>IF($C1054="","",_xlfn.XLOOKUP($C1054,Order!$C:$C,Order!$H:$H,"",0,1))</f>
        <v>0.81599999999999995</v>
      </c>
      <c r="I1054" s="36">
        <f>IF($C1054="","",_xlfn.XLOOKUP($C1054,Order!$C:$C,Order!$L:$L,"",0,1))</f>
        <v>0</v>
      </c>
      <c r="J1054" s="4" t="str">
        <f>IF(C1054="","",Order!$L$16)</f>
        <v>BRONZE ANODIZED (FAYP03)</v>
      </c>
      <c r="K1054" s="36">
        <f>IF($C1054="","",_xlfn.XLOOKUP($C1054,Order!$C:$C,Order!$P:$P,"",0,1))</f>
        <v>0</v>
      </c>
      <c r="L1054" s="4">
        <f t="shared" si="16"/>
        <v>0</v>
      </c>
    </row>
    <row r="1055" spans="2:12" ht="23.25" hidden="1" customHeight="1" x14ac:dyDescent="0.25">
      <c r="B1055" s="4">
        <v>1050</v>
      </c>
      <c r="C1055" s="36" t="str">
        <f>IF(Order!$C$31="","",Order!$C$31)</f>
        <v/>
      </c>
      <c r="D1055" s="36" t="str">
        <f>IF($C1055="","",_xlfn.XLOOKUP($C1055,Order!$C:$C,Order!$D:$D,"",0,1))</f>
        <v/>
      </c>
      <c r="E1055" s="4" t="str">
        <f>IF($C1055="","",_xlfn.XLOOKUP($C1055,Order!$C:$C,Order!$E:$E,"",0,1))</f>
        <v/>
      </c>
      <c r="F1055" s="4" t="str">
        <f>IF($C1055="","",_xlfn.XLOOKUP($C1055,Order!$C:$C,Order!$F:$F,"",0,1))</f>
        <v/>
      </c>
      <c r="G1055" s="4" t="str">
        <f>IF($C1055="","",_xlfn.XLOOKUP($C1055,Order!$C:$C,Order!$G:$G,"",0,1))</f>
        <v/>
      </c>
      <c r="H1055" s="4" t="str">
        <f>IF($C1055="","",_xlfn.XLOOKUP($C1055,Order!$C:$C,Order!$H:$H,"",0,1))</f>
        <v/>
      </c>
      <c r="I1055" s="36" t="str">
        <f>IF($C1055="","",_xlfn.XLOOKUP($C1055,Order!$C:$C,Order!$L:$L,"",0,1))</f>
        <v/>
      </c>
      <c r="J1055" s="4" t="str">
        <f>IF(C1055="","",Order!$L$16)</f>
        <v/>
      </c>
      <c r="K1055" s="36" t="str">
        <f>IF($C1055="","",_xlfn.XLOOKUP($C1055,Order!$C:$C,Order!$P:$P,"",0,1))</f>
        <v/>
      </c>
      <c r="L1055" s="4" t="str">
        <f t="shared" si="16"/>
        <v/>
      </c>
    </row>
    <row r="1056" spans="2:12" ht="23.25" hidden="1" customHeight="1" x14ac:dyDescent="0.25">
      <c r="B1056" s="4">
        <v>1051</v>
      </c>
      <c r="C1056" s="36" t="str">
        <f>IF(Order!$C$32="","",Order!$C$32)</f>
        <v>TQ3/4 (Square tube 3/4 with 0.90 mm thickness)</v>
      </c>
      <c r="D1056" s="36" t="str">
        <f>IF($C1056="","",_xlfn.XLOOKUP($C1056,Order!$C:$C,Order!$D:$D,"",0,1))</f>
        <v>TQ34</v>
      </c>
      <c r="E1056" s="4" t="e" vm="252">
        <f>IF($C1056="","",_xlfn.XLOOKUP($C1056,Order!$C:$C,Order!$E:$E,"",0,1))</f>
        <v>#VALUE!</v>
      </c>
      <c r="F1056" s="4">
        <f>IF($C1056="","",_xlfn.XLOOKUP($C1056,Order!$C:$C,Order!$F:$F,"",0,1))</f>
        <v>6000</v>
      </c>
      <c r="G1056" s="4" t="str">
        <f>IF($C1056="","",_xlfn.XLOOKUP($C1056,Order!$C:$C,Order!$G:$G,"",0,1))</f>
        <v>6063T5</v>
      </c>
      <c r="H1056" s="4">
        <f>IF($C1056="","",_xlfn.XLOOKUP($C1056,Order!$C:$C,Order!$H:$H,"",0,1))</f>
        <v>0.17799999999999999</v>
      </c>
      <c r="I1056" s="36">
        <f>IF($C1056="","",_xlfn.XLOOKUP($C1056,Order!$C:$C,Order!$L:$L,"",0,1))</f>
        <v>0</v>
      </c>
      <c r="J1056" s="4" t="str">
        <f>IF(C1056="","",Order!$L$16)</f>
        <v>BRONZE ANODIZED (FAYP03)</v>
      </c>
      <c r="K1056" s="36">
        <f>IF($C1056="","",_xlfn.XLOOKUP($C1056,Order!$C:$C,Order!$P:$P,"",0,1))</f>
        <v>0</v>
      </c>
      <c r="L1056" s="4">
        <f t="shared" si="16"/>
        <v>0</v>
      </c>
    </row>
    <row r="1057" spans="2:12" ht="23.25" hidden="1" customHeight="1" x14ac:dyDescent="0.25">
      <c r="B1057" s="4">
        <v>1052</v>
      </c>
      <c r="C1057" s="36" t="str">
        <f>IF(Order!$C$33="","",Order!$C$33)</f>
        <v>TQ1 (Squar tube 1" with 0.80 mm thickness)</v>
      </c>
      <c r="D1057" s="36" t="str">
        <f>IF($C1057="","",_xlfn.XLOOKUP($C1057,Order!$C:$C,Order!$D:$D,"",0,1))</f>
        <v>TQ1</v>
      </c>
      <c r="E1057" s="4" t="e" vm="252">
        <f>IF($C1057="","",_xlfn.XLOOKUP($C1057,Order!$C:$C,Order!$E:$E,"",0,1))</f>
        <v>#VALUE!</v>
      </c>
      <c r="F1057" s="4">
        <f>IF($C1057="","",_xlfn.XLOOKUP($C1057,Order!$C:$C,Order!$F:$F,"",0,1))</f>
        <v>6000</v>
      </c>
      <c r="G1057" s="4" t="str">
        <f>IF($C1057="","",_xlfn.XLOOKUP($C1057,Order!$C:$C,Order!$G:$G,"",0,1))</f>
        <v>6063T5</v>
      </c>
      <c r="H1057" s="4">
        <f>IF($C1057="","",_xlfn.XLOOKUP($C1057,Order!$C:$C,Order!$H:$H,"",0,1))</f>
        <v>0.215</v>
      </c>
      <c r="I1057" s="36">
        <f>IF($C1057="","",_xlfn.XLOOKUP($C1057,Order!$C:$C,Order!$L:$L,"",0,1))</f>
        <v>0</v>
      </c>
      <c r="J1057" s="4" t="str">
        <f>IF(C1057="","",Order!$L$16)</f>
        <v>BRONZE ANODIZED (FAYP03)</v>
      </c>
      <c r="K1057" s="36">
        <f>IF($C1057="","",_xlfn.XLOOKUP($C1057,Order!$C:$C,Order!$P:$P,"",0,1))</f>
        <v>0</v>
      </c>
      <c r="L1057" s="4">
        <f t="shared" si="16"/>
        <v>0</v>
      </c>
    </row>
    <row r="1058" spans="2:12" ht="23.25" hidden="1" customHeight="1" x14ac:dyDescent="0.25">
      <c r="B1058" s="4">
        <v>1053</v>
      </c>
      <c r="C1058" s="36" t="str">
        <f>IF(Order!$C$34="","",Order!$C$34)</f>
        <v>TQ1.1/2A (Square tube 1.1/2" with 0.80 mm thickness)</v>
      </c>
      <c r="D1058" s="36" t="str">
        <f>IF($C1058="","",_xlfn.XLOOKUP($C1058,Order!$C:$C,Order!$D:$D,"",0,1))</f>
        <v>TQ1.12A</v>
      </c>
      <c r="E1058" s="4" t="e" vm="252">
        <f>IF($C1058="","",_xlfn.XLOOKUP($C1058,Order!$C:$C,Order!$E:$E,"",0,1))</f>
        <v>#VALUE!</v>
      </c>
      <c r="F1058" s="4">
        <f>IF($C1058="","",_xlfn.XLOOKUP($C1058,Order!$C:$C,Order!$F:$F,"",0,1))</f>
        <v>6000</v>
      </c>
      <c r="G1058" s="4" t="str">
        <f>IF($C1058="","",_xlfn.XLOOKUP($C1058,Order!$C:$C,Order!$G:$G,"",0,1))</f>
        <v>6063T5</v>
      </c>
      <c r="H1058" s="4">
        <f>IF($C1058="","",_xlfn.XLOOKUP($C1058,Order!$C:$C,Order!$H:$H,"",0,1))</f>
        <v>0.32600000000000001</v>
      </c>
      <c r="I1058" s="36">
        <f>IF($C1058="","",_xlfn.XLOOKUP($C1058,Order!$C:$C,Order!$L:$L,"",0,1))</f>
        <v>0</v>
      </c>
      <c r="J1058" s="4" t="str">
        <f>IF(C1058="","",Order!$L$16)</f>
        <v>BRONZE ANODIZED (FAYP03)</v>
      </c>
      <c r="K1058" s="36">
        <f>IF($C1058="","",_xlfn.XLOOKUP($C1058,Order!$C:$C,Order!$P:$P,"",0,1))</f>
        <v>0</v>
      </c>
      <c r="L1058" s="4">
        <f t="shared" si="16"/>
        <v>0</v>
      </c>
    </row>
    <row r="1059" spans="2:12" ht="23.25" hidden="1" customHeight="1" x14ac:dyDescent="0.25">
      <c r="B1059" s="4">
        <v>1054</v>
      </c>
      <c r="C1059" s="36" t="str">
        <f>IF(Order!$C$35="","",Order!$C$35)</f>
        <v>TQ2L (Square tube 2" with 0.90 mm thickness)</v>
      </c>
      <c r="D1059" s="36" t="str">
        <f>IF($C1059="","",_xlfn.XLOOKUP($C1059,Order!$C:$C,Order!$D:$D,"",0,1))</f>
        <v>TQ2L</v>
      </c>
      <c r="E1059" s="4" t="e" vm="252">
        <f>IF($C1059="","",_xlfn.XLOOKUP($C1059,Order!$C:$C,Order!$E:$E,"",0,1))</f>
        <v>#VALUE!</v>
      </c>
      <c r="F1059" s="4">
        <f>IF($C1059="","",_xlfn.XLOOKUP($C1059,Order!$C:$C,Order!$F:$F,"",0,1))</f>
        <v>6000</v>
      </c>
      <c r="G1059" s="4" t="str">
        <f>IF($C1059="","",_xlfn.XLOOKUP($C1059,Order!$C:$C,Order!$G:$G,"",0,1))</f>
        <v>6063T5</v>
      </c>
      <c r="H1059" s="4">
        <f>IF($C1059="","",_xlfn.XLOOKUP($C1059,Order!$C:$C,Order!$H:$H,"",0,1))</f>
        <v>0.49</v>
      </c>
      <c r="I1059" s="36">
        <f>IF($C1059="","",_xlfn.XLOOKUP($C1059,Order!$C:$C,Order!$L:$L,"",0,1))</f>
        <v>0</v>
      </c>
      <c r="J1059" s="4" t="str">
        <f>IF(C1059="","",Order!$L$16)</f>
        <v>BRONZE ANODIZED (FAYP03)</v>
      </c>
      <c r="K1059" s="36">
        <f>IF($C1059="","",_xlfn.XLOOKUP($C1059,Order!$C:$C,Order!$P:$P,"",0,1))</f>
        <v>0</v>
      </c>
      <c r="L1059" s="4">
        <f t="shared" si="16"/>
        <v>0</v>
      </c>
    </row>
    <row r="1060" spans="2:12" ht="23.25" hidden="1" customHeight="1" x14ac:dyDescent="0.25">
      <c r="B1060" s="4">
        <v>1055</v>
      </c>
      <c r="C1060" s="36" t="str">
        <f>IF(Order!$C$36="","",Order!$C$36)</f>
        <v>TQ2A (Square tube 2" with 0.95 mm thickness)</v>
      </c>
      <c r="D1060" s="36" t="str">
        <f>IF($C1060="","",_xlfn.XLOOKUP($C1060,Order!$C:$C,Order!$D:$D,"",0,1))</f>
        <v>TQ2A</v>
      </c>
      <c r="E1060" s="4" t="e" vm="252">
        <f>IF($C1060="","",_xlfn.XLOOKUP($C1060,Order!$C:$C,Order!$E:$E,"",0,1))</f>
        <v>#VALUE!</v>
      </c>
      <c r="F1060" s="4">
        <f>IF($C1060="","",_xlfn.XLOOKUP($C1060,Order!$C:$C,Order!$F:$F,"",0,1))</f>
        <v>6000</v>
      </c>
      <c r="G1060" s="4" t="str">
        <f>IF($C1060="","",_xlfn.XLOOKUP($C1060,Order!$C:$C,Order!$G:$G,"",0,1))</f>
        <v>6063T5</v>
      </c>
      <c r="H1060" s="4">
        <f>IF($C1060="","",_xlfn.XLOOKUP($C1060,Order!$C:$C,Order!$H:$H,"",0,1))</f>
        <v>0.51700000000000002</v>
      </c>
      <c r="I1060" s="36">
        <f>IF($C1060="","",_xlfn.XLOOKUP($C1060,Order!$C:$C,Order!$L:$L,"",0,1))</f>
        <v>0</v>
      </c>
      <c r="J1060" s="4" t="str">
        <f>IF(C1060="","",Order!$L$16)</f>
        <v>BRONZE ANODIZED (FAYP03)</v>
      </c>
      <c r="K1060" s="36">
        <f>IF($C1060="","",_xlfn.XLOOKUP($C1060,Order!$C:$C,Order!$P:$P,"",0,1))</f>
        <v>0</v>
      </c>
      <c r="L1060" s="4">
        <f t="shared" si="16"/>
        <v>0</v>
      </c>
    </row>
    <row r="1061" spans="2:12" ht="23.25" hidden="1" customHeight="1" x14ac:dyDescent="0.25">
      <c r="B1061" s="4">
        <v>1056</v>
      </c>
      <c r="C1061" s="36" t="str">
        <f>IF(Order!$C$37="","",Order!$C$37)</f>
        <v>TQ2 (Square tube 2" with 1.10 mm thickness)</v>
      </c>
      <c r="D1061" s="36" t="str">
        <f>IF($C1061="","",_xlfn.XLOOKUP($C1061,Order!$C:$C,Order!$D:$D,"",0,1))</f>
        <v>TQ2</v>
      </c>
      <c r="E1061" s="4" t="e" vm="252">
        <f>IF($C1061="","",_xlfn.XLOOKUP($C1061,Order!$C:$C,Order!$E:$E,"",0,1))</f>
        <v>#VALUE!</v>
      </c>
      <c r="F1061" s="4">
        <f>IF($C1061="","",_xlfn.XLOOKUP($C1061,Order!$C:$C,Order!$F:$F,"",0,1))</f>
        <v>6000</v>
      </c>
      <c r="G1061" s="4" t="str">
        <f>IF($C1061="","",_xlfn.XLOOKUP($C1061,Order!$C:$C,Order!$G:$G,"",0,1))</f>
        <v>6063T5</v>
      </c>
      <c r="H1061" s="4">
        <f>IF($C1061="","",_xlfn.XLOOKUP($C1061,Order!$C:$C,Order!$H:$H,"",0,1))</f>
        <v>0.59699999999999998</v>
      </c>
      <c r="I1061" s="36">
        <f>IF($C1061="","",_xlfn.XLOOKUP($C1061,Order!$C:$C,Order!$L:$L,"",0,1))</f>
        <v>0</v>
      </c>
      <c r="J1061" s="4" t="str">
        <f>IF(C1061="","",Order!$L$16)</f>
        <v>BRONZE ANODIZED (FAYP03)</v>
      </c>
      <c r="K1061" s="36">
        <f>IF($C1061="","",_xlfn.XLOOKUP($C1061,Order!$C:$C,Order!$P:$P,"",0,1))</f>
        <v>0</v>
      </c>
      <c r="L1061" s="4">
        <f t="shared" si="16"/>
        <v>0</v>
      </c>
    </row>
    <row r="1062" spans="2:12" ht="23.25" hidden="1" customHeight="1" x14ac:dyDescent="0.25">
      <c r="B1062" s="4">
        <v>1057</v>
      </c>
      <c r="C1062" s="36" t="str">
        <f>IF(Order!$C$38="","",Order!$C$38)</f>
        <v>TQ3 (Square tube 3" with 1.10 mm thickness)</v>
      </c>
      <c r="D1062" s="36" t="str">
        <f>IF($C1062="","",_xlfn.XLOOKUP($C1062,Order!$C:$C,Order!$D:$D,"",0,1))</f>
        <v>TQ3</v>
      </c>
      <c r="E1062" s="4" t="e" vm="252">
        <f>IF($C1062="","",_xlfn.XLOOKUP($C1062,Order!$C:$C,Order!$E:$E,"",0,1))</f>
        <v>#VALUE!</v>
      </c>
      <c r="F1062" s="4">
        <f>IF($C1062="","",_xlfn.XLOOKUP($C1062,Order!$C:$C,Order!$F:$F,"",0,1))</f>
        <v>6000</v>
      </c>
      <c r="G1062" s="4" t="str">
        <f>IF($C1062="","",_xlfn.XLOOKUP($C1062,Order!$C:$C,Order!$G:$G,"",0,1))</f>
        <v>6063T5</v>
      </c>
      <c r="H1062" s="4">
        <f>IF($C1062="","",_xlfn.XLOOKUP($C1062,Order!$C:$C,Order!$H:$H,"",0,1))</f>
        <v>0.90200000000000002</v>
      </c>
      <c r="I1062" s="36">
        <f>IF($C1062="","",_xlfn.XLOOKUP($C1062,Order!$C:$C,Order!$L:$L,"",0,1))</f>
        <v>0</v>
      </c>
      <c r="J1062" s="4" t="str">
        <f>IF(C1062="","",Order!$L$16)</f>
        <v>BRONZE ANODIZED (FAYP03)</v>
      </c>
      <c r="K1062" s="36">
        <f>IF($C1062="","",_xlfn.XLOOKUP($C1062,Order!$C:$C,Order!$P:$P,"",0,1))</f>
        <v>0</v>
      </c>
      <c r="L1062" s="4">
        <f t="shared" si="16"/>
        <v>0</v>
      </c>
    </row>
    <row r="1063" spans="2:12" ht="23.25" hidden="1" customHeight="1" x14ac:dyDescent="0.25">
      <c r="B1063" s="4">
        <v>1058</v>
      </c>
      <c r="C1063" s="36" t="str">
        <f>IF(Order!$C$39="","",Order!$C$39)</f>
        <v>TQ4 (Square tube 4" with 1.30 mm thickness)</v>
      </c>
      <c r="D1063" s="36" t="str">
        <f>IF($C1063="","",_xlfn.XLOOKUP($C1063,Order!$C:$C,Order!$D:$D,"",0,1))</f>
        <v>TQ4</v>
      </c>
      <c r="E1063" s="4" t="e" vm="252">
        <f>IF($C1063="","",_xlfn.XLOOKUP($C1063,Order!$C:$C,Order!$E:$E,"",0,1))</f>
        <v>#VALUE!</v>
      </c>
      <c r="F1063" s="4">
        <f>IF($C1063="","",_xlfn.XLOOKUP($C1063,Order!$C:$C,Order!$F:$F,"",0,1))</f>
        <v>6000</v>
      </c>
      <c r="G1063" s="4" t="str">
        <f>IF($C1063="","",_xlfn.XLOOKUP($C1063,Order!$C:$C,Order!$G:$G,"",0,1))</f>
        <v>6063T5</v>
      </c>
      <c r="H1063" s="4">
        <f>IF($C1063="","",_xlfn.XLOOKUP($C1063,Order!$C:$C,Order!$H:$H,"",0,1))</f>
        <v>1.4239999999999999</v>
      </c>
      <c r="I1063" s="36">
        <f>IF($C1063="","",_xlfn.XLOOKUP($C1063,Order!$C:$C,Order!$L:$L,"",0,1))</f>
        <v>0</v>
      </c>
      <c r="J1063" s="4" t="str">
        <f>IF(C1063="","",Order!$L$16)</f>
        <v>BRONZE ANODIZED (FAYP03)</v>
      </c>
      <c r="K1063" s="36">
        <f>IF($C1063="","",_xlfn.XLOOKUP($C1063,Order!$C:$C,Order!$P:$P,"",0,1))</f>
        <v>0</v>
      </c>
      <c r="L1063" s="4">
        <f t="shared" si="16"/>
        <v>0</v>
      </c>
    </row>
    <row r="1064" spans="2:12" ht="23.25" hidden="1" customHeight="1" x14ac:dyDescent="0.25">
      <c r="B1064" s="4">
        <v>1059</v>
      </c>
      <c r="C1064" s="36" t="str">
        <f>IF(Order!$C$40="","",Order!$C$40)</f>
        <v>TG1X1/2 (Rectangular tube 1" x 1/2  with 0.80 mm thickness)</v>
      </c>
      <c r="D1064" s="36" t="str">
        <f>IF($C1064="","",_xlfn.XLOOKUP($C1064,Order!$C:$C,Order!$D:$D,"",0,1))</f>
        <v>TG1X12</v>
      </c>
      <c r="E1064" s="4" t="e" vm="253">
        <f>IF($C1064="","",_xlfn.XLOOKUP($C1064,Order!$C:$C,Order!$E:$E,"",0,1))</f>
        <v>#VALUE!</v>
      </c>
      <c r="F1064" s="4">
        <f>IF($C1064="","",_xlfn.XLOOKUP($C1064,Order!$C:$C,Order!$F:$F,"",0,1))</f>
        <v>6000</v>
      </c>
      <c r="G1064" s="4" t="str">
        <f>IF($C1064="","",_xlfn.XLOOKUP($C1064,Order!$C:$C,Order!$G:$G,"",0,1))</f>
        <v>6063T5</v>
      </c>
      <c r="H1064" s="4">
        <f>IF($C1064="","",_xlfn.XLOOKUP($C1064,Order!$C:$C,Order!$H:$H,"",0,1))</f>
        <v>0.159</v>
      </c>
      <c r="I1064" s="36">
        <f>IF($C1064="","",_xlfn.XLOOKUP($C1064,Order!$C:$C,Order!$L:$L,"",0,1))</f>
        <v>0</v>
      </c>
      <c r="J1064" s="4" t="str">
        <f>IF(C1064="","",Order!$L$16)</f>
        <v>BRONZE ANODIZED (FAYP03)</v>
      </c>
      <c r="K1064" s="36">
        <f>IF($C1064="","",_xlfn.XLOOKUP($C1064,Order!$C:$C,Order!$P:$P,"",0,1))</f>
        <v>0</v>
      </c>
      <c r="L1064" s="4">
        <f t="shared" si="16"/>
        <v>0</v>
      </c>
    </row>
    <row r="1065" spans="2:12" ht="23.25" hidden="1" customHeight="1" x14ac:dyDescent="0.25">
      <c r="B1065" s="4">
        <v>1060</v>
      </c>
      <c r="C1065" s="36" t="str">
        <f>IF(Order!$C$41="","",Order!$C$41)</f>
        <v>TG2X1/2A (Retangular tube 2 X 1/2 with 0.80 mm tickness)</v>
      </c>
      <c r="D1065" s="36" t="str">
        <f>IF($C1065="","",_xlfn.XLOOKUP($C1065,Order!$C:$C,Order!$D:$D,"",0,1))</f>
        <v>TG2X12A</v>
      </c>
      <c r="E1065" s="4" t="e" vm="254">
        <f>IF($C1065="","",_xlfn.XLOOKUP($C1065,Order!$C:$C,Order!$E:$E,"",0,1))</f>
        <v>#VALUE!</v>
      </c>
      <c r="F1065" s="4">
        <f>IF($C1065="","",_xlfn.XLOOKUP($C1065,Order!$C:$C,Order!$F:$F,"",0,1))</f>
        <v>6000</v>
      </c>
      <c r="G1065" s="4" t="str">
        <f>IF($C1065="","",_xlfn.XLOOKUP($C1065,Order!$C:$C,Order!$G:$G,"",0,1))</f>
        <v>6063T5</v>
      </c>
      <c r="H1065" s="4">
        <f>IF($C1065="","",_xlfn.XLOOKUP($C1065,Order!$C:$C,Order!$H:$H,"",0,1))</f>
        <v>0.27</v>
      </c>
      <c r="I1065" s="36">
        <f>IF($C1065="","",_xlfn.XLOOKUP($C1065,Order!$C:$C,Order!$L:$L,"",0,1))</f>
        <v>0</v>
      </c>
      <c r="J1065" s="4" t="str">
        <f>IF(C1065="","",Order!$L$16)</f>
        <v>BRONZE ANODIZED (FAYP03)</v>
      </c>
      <c r="K1065" s="36">
        <f>IF($C1065="","",_xlfn.XLOOKUP($C1065,Order!$C:$C,Order!$P:$P,"",0,1))</f>
        <v>0</v>
      </c>
      <c r="L1065" s="4">
        <f t="shared" si="16"/>
        <v>0</v>
      </c>
    </row>
    <row r="1066" spans="2:12" ht="23.25" hidden="1" customHeight="1" x14ac:dyDescent="0.25">
      <c r="B1066" s="4">
        <v>1061</v>
      </c>
      <c r="C1066" s="36" t="str">
        <f>IF(Order!$C$42="","",Order!$C$42)</f>
        <v>TG2X1/2 (Retangular tube 2 X 1/2 with 0.90 mm tickness)</v>
      </c>
      <c r="D1066" s="36" t="str">
        <f>IF($C1066="","",_xlfn.XLOOKUP($C1066,Order!$C:$C,Order!$D:$D,"",0,1))</f>
        <v>TG2X12</v>
      </c>
      <c r="E1066" s="4" t="e" vm="254">
        <f>IF($C1066="","",_xlfn.XLOOKUP($C1066,Order!$C:$C,Order!$E:$E,"",0,1))</f>
        <v>#VALUE!</v>
      </c>
      <c r="F1066" s="4">
        <f>IF($C1066="","",_xlfn.XLOOKUP($C1066,Order!$C:$C,Order!$F:$F,"",0,1))</f>
        <v>6000</v>
      </c>
      <c r="G1066" s="4" t="str">
        <f>IF($C1066="","",_xlfn.XLOOKUP($C1066,Order!$C:$C,Order!$G:$G,"",0,1))</f>
        <v>6063T5</v>
      </c>
      <c r="H1066" s="4">
        <f>IF($C1066="","",_xlfn.XLOOKUP($C1066,Order!$C:$C,Order!$H:$H,"",0,1))</f>
        <v>0.30299999999999999</v>
      </c>
      <c r="I1066" s="36">
        <f>IF($C1066="","",_xlfn.XLOOKUP($C1066,Order!$C:$C,Order!$L:$L,"",0,1))</f>
        <v>0</v>
      </c>
      <c r="J1066" s="4" t="str">
        <f>IF(C1066="","",Order!$L$16)</f>
        <v>BRONZE ANODIZED (FAYP03)</v>
      </c>
      <c r="K1066" s="36">
        <f>IF($C1066="","",_xlfn.XLOOKUP($C1066,Order!$C:$C,Order!$P:$P,"",0,1))</f>
        <v>0</v>
      </c>
      <c r="L1066" s="4">
        <f t="shared" si="16"/>
        <v>0</v>
      </c>
    </row>
    <row r="1067" spans="2:12" ht="23.25" hidden="1" customHeight="1" x14ac:dyDescent="0.25">
      <c r="B1067" s="4">
        <v>1062</v>
      </c>
      <c r="C1067" s="36" t="str">
        <f>IF(Order!$C$43="","",Order!$C$43)</f>
        <v>TG2X1 0.7 ( Retangular tube 2"X1" with 0.70 mm tickness)</v>
      </c>
      <c r="D1067" s="36" t="str">
        <f>IF($C1067="","",_xlfn.XLOOKUP($C1067,Order!$C:$C,Order!$D:$D,"",0,1))</f>
        <v>TG2X1 0.7</v>
      </c>
      <c r="E1067" s="4" t="e" vm="253">
        <f>IF($C1067="","",_xlfn.XLOOKUP($C1067,Order!$C:$C,Order!$E:$E,"",0,1))</f>
        <v>#VALUE!</v>
      </c>
      <c r="F1067" s="4">
        <f>IF($C1067="","",_xlfn.XLOOKUP($C1067,Order!$C:$C,Order!$F:$F,"",0,1))</f>
        <v>6000</v>
      </c>
      <c r="G1067" s="4" t="str">
        <f>IF($C1067="","",_xlfn.XLOOKUP($C1067,Order!$C:$C,Order!$G:$G,"",0,1))</f>
        <v>6063T5</v>
      </c>
      <c r="H1067" s="4">
        <f>IF($C1067="","",_xlfn.XLOOKUP($C1067,Order!$C:$C,Order!$H:$H,"",0,1))</f>
        <v>0.28599999999999998</v>
      </c>
      <c r="I1067" s="36">
        <f>IF($C1067="","",_xlfn.XLOOKUP($C1067,Order!$C:$C,Order!$L:$L,"",0,1))</f>
        <v>0</v>
      </c>
      <c r="J1067" s="4" t="str">
        <f>IF(C1067="","",Order!$L$16)</f>
        <v>BRONZE ANODIZED (FAYP03)</v>
      </c>
      <c r="K1067" s="36">
        <f>IF($C1067="","",_xlfn.XLOOKUP($C1067,Order!$C:$C,Order!$P:$P,"",0,1))</f>
        <v>0</v>
      </c>
      <c r="L1067" s="4">
        <f t="shared" si="16"/>
        <v>0</v>
      </c>
    </row>
    <row r="1068" spans="2:12" ht="23.25" hidden="1" customHeight="1" x14ac:dyDescent="0.25">
      <c r="B1068" s="4">
        <v>1063</v>
      </c>
      <c r="C1068" s="36" t="str">
        <f>IF(Order!$C$44="","",Order!$C$44)</f>
        <v>TG2X1 ( Retangular tube 2"X1" with 0.80 mm tickness)</v>
      </c>
      <c r="D1068" s="36" t="str">
        <f>IF($C1068="","",_xlfn.XLOOKUP($C1068,Order!$C:$C,Order!$D:$D,"",0,1))</f>
        <v>TG2X1</v>
      </c>
      <c r="E1068" s="4" t="e" vm="253">
        <f>IF($C1068="","",_xlfn.XLOOKUP($C1068,Order!$C:$C,Order!$E:$E,"",0,1))</f>
        <v>#VALUE!</v>
      </c>
      <c r="F1068" s="4">
        <f>IF($C1068="","",_xlfn.XLOOKUP($C1068,Order!$C:$C,Order!$F:$F,"",0,1))</f>
        <v>6000</v>
      </c>
      <c r="G1068" s="4" t="str">
        <f>IF($C1068="","",_xlfn.XLOOKUP($C1068,Order!$C:$C,Order!$G:$G,"",0,1))</f>
        <v>6063T5</v>
      </c>
      <c r="H1068" s="4">
        <f>IF($C1068="","",_xlfn.XLOOKUP($C1068,Order!$C:$C,Order!$H:$H,"",0,1))</f>
        <v>0.32600000000000001</v>
      </c>
      <c r="I1068" s="36">
        <f>IF($C1068="","",_xlfn.XLOOKUP($C1068,Order!$C:$C,Order!$L:$L,"",0,1))</f>
        <v>0</v>
      </c>
      <c r="J1068" s="4" t="str">
        <f>IF(C1068="","",Order!$L$16)</f>
        <v>BRONZE ANODIZED (FAYP03)</v>
      </c>
      <c r="K1068" s="36">
        <f>IF($C1068="","",_xlfn.XLOOKUP($C1068,Order!$C:$C,Order!$P:$P,"",0,1))</f>
        <v>0</v>
      </c>
      <c r="L1068" s="4">
        <f t="shared" si="16"/>
        <v>0</v>
      </c>
    </row>
    <row r="1069" spans="2:12" ht="23.25" hidden="1" customHeight="1" x14ac:dyDescent="0.25">
      <c r="B1069" s="4">
        <v>1064</v>
      </c>
      <c r="C1069" s="36" t="str">
        <f>IF(Order!$C$45="","",Order!$C$45)</f>
        <v>TG2X1.1/2 ( Retangular tube 2"x1.1 /2" with 0.90 mm tickness)</v>
      </c>
      <c r="D1069" s="36" t="str">
        <f>IF($C1069="","",_xlfn.XLOOKUP($C1069,Order!$C:$C,Order!$D:$D,"",0,1))</f>
        <v>TG2X1.12</v>
      </c>
      <c r="E1069" s="4" t="e" vm="255">
        <f>IF($C1069="","",_xlfn.XLOOKUP($C1069,Order!$C:$C,Order!$E:$E,"",0,1))</f>
        <v>#VALUE!</v>
      </c>
      <c r="F1069" s="4">
        <f>IF($C1069="","",_xlfn.XLOOKUP($C1069,Order!$C:$C,Order!$F:$F,"",0,1))</f>
        <v>6000</v>
      </c>
      <c r="G1069" s="4" t="str">
        <f>IF($C1069="","",_xlfn.XLOOKUP($C1069,Order!$C:$C,Order!$G:$G,"",0,1))</f>
        <v>6063T5</v>
      </c>
      <c r="H1069" s="4">
        <f>IF($C1069="","",_xlfn.XLOOKUP($C1069,Order!$C:$C,Order!$H:$H,"",0,1))</f>
        <v>0.42799999999999999</v>
      </c>
      <c r="I1069" s="36">
        <f>IF($C1069="","",_xlfn.XLOOKUP($C1069,Order!$C:$C,Order!$L:$L,"",0,1))</f>
        <v>0</v>
      </c>
      <c r="J1069" s="4" t="str">
        <f>IF(C1069="","",Order!$L$16)</f>
        <v>BRONZE ANODIZED (FAYP03)</v>
      </c>
      <c r="K1069" s="36">
        <f>IF($C1069="","",_xlfn.XLOOKUP($C1069,Order!$C:$C,Order!$P:$P,"",0,1))</f>
        <v>0</v>
      </c>
      <c r="L1069" s="4">
        <f t="shared" si="16"/>
        <v>0</v>
      </c>
    </row>
    <row r="1070" spans="2:12" ht="23.25" hidden="1" customHeight="1" x14ac:dyDescent="0.25">
      <c r="B1070" s="4">
        <v>1065</v>
      </c>
      <c r="C1070" s="36" t="str">
        <f>IF(Order!$C$46="","",Order!$C$46)</f>
        <v>TG3X1.1/2 ( Retangular tube 3"x1.1 /2" with 1.00 mm tickness)</v>
      </c>
      <c r="D1070" s="36" t="str">
        <f>IF($C1070="","",_xlfn.XLOOKUP($C1070,Order!$C:$C,Order!$D:$D,"",0,1))</f>
        <v>TG3X1.12</v>
      </c>
      <c r="E1070" s="4" t="e" vm="253">
        <f>IF($C1070="","",_xlfn.XLOOKUP($C1070,Order!$C:$C,Order!$E:$E,"",0,1))</f>
        <v>#VALUE!</v>
      </c>
      <c r="F1070" s="4">
        <f>IF($C1070="","",_xlfn.XLOOKUP($C1070,Order!$C:$C,Order!$F:$F,"",0,1))</f>
        <v>6000</v>
      </c>
      <c r="G1070" s="4" t="str">
        <f>IF($C1070="","",_xlfn.XLOOKUP($C1070,Order!$C:$C,Order!$G:$G,"",0,1))</f>
        <v>6063T5</v>
      </c>
      <c r="H1070" s="4">
        <f>IF($C1070="","",_xlfn.XLOOKUP($C1070,Order!$C:$C,Order!$H:$H,"",0,1))</f>
        <v>0.61299999999999999</v>
      </c>
      <c r="I1070" s="36">
        <f>IF($C1070="","",_xlfn.XLOOKUP($C1070,Order!$C:$C,Order!$L:$L,"",0,1))</f>
        <v>0</v>
      </c>
      <c r="J1070" s="4" t="str">
        <f>IF(C1070="","",Order!$L$16)</f>
        <v>BRONZE ANODIZED (FAYP03)</v>
      </c>
      <c r="K1070" s="36">
        <f>IF($C1070="","",_xlfn.XLOOKUP($C1070,Order!$C:$C,Order!$P:$P,"",0,1))</f>
        <v>0</v>
      </c>
      <c r="L1070" s="4">
        <f t="shared" si="16"/>
        <v>0</v>
      </c>
    </row>
    <row r="1071" spans="2:12" ht="23.25" hidden="1" customHeight="1" x14ac:dyDescent="0.25">
      <c r="B1071" s="4">
        <v>1066</v>
      </c>
      <c r="C1071" s="36" t="str">
        <f>IF(Order!$C$47="","",Order!$C$47)</f>
        <v>TG4X2 (Rectangular Tube 4" X 2" with 1.00 mm tickness)</v>
      </c>
      <c r="D1071" s="36" t="str">
        <f>IF($C1071="","",_xlfn.XLOOKUP($C1071,Order!$C:$C,Order!$D:$D,"",0,1))</f>
        <v>TG4X2</v>
      </c>
      <c r="E1071" s="4" t="e" vm="253">
        <f>IF($C1071="","",_xlfn.XLOOKUP($C1071,Order!$C:$C,Order!$E:$E,"",0,1))</f>
        <v>#VALUE!</v>
      </c>
      <c r="F1071" s="4">
        <f>IF($C1071="","",_xlfn.XLOOKUP($C1071,Order!$C:$C,Order!$F:$F,"",0,1))</f>
        <v>6000</v>
      </c>
      <c r="G1071" s="4" t="str">
        <f>IF($C1071="","",_xlfn.XLOOKUP($C1071,Order!$C:$C,Order!$G:$G,"",0,1))</f>
        <v>6063T5</v>
      </c>
      <c r="H1071" s="4">
        <f>IF($C1071="","",_xlfn.XLOOKUP($C1071,Order!$C:$C,Order!$H:$H,"",0,1))</f>
        <v>0.82099999999999995</v>
      </c>
      <c r="I1071" s="36">
        <f>IF($C1071="","",_xlfn.XLOOKUP($C1071,Order!$C:$C,Order!$L:$L,"",0,1))</f>
        <v>0</v>
      </c>
      <c r="J1071" s="4" t="str">
        <f>IF(C1071="","",Order!$L$16)</f>
        <v>BRONZE ANODIZED (FAYP03)</v>
      </c>
      <c r="K1071" s="36">
        <f>IF($C1071="","",_xlfn.XLOOKUP($C1071,Order!$C:$C,Order!$P:$P,"",0,1))</f>
        <v>0</v>
      </c>
      <c r="L1071" s="4">
        <f t="shared" si="16"/>
        <v>0</v>
      </c>
    </row>
    <row r="1072" spans="2:12" ht="23.25" hidden="1" customHeight="1" x14ac:dyDescent="0.25">
      <c r="B1072" s="4">
        <v>1067</v>
      </c>
      <c r="C1072" s="36" t="str">
        <f>IF(Order!$C$48="","",Order!$C$48)</f>
        <v>PT008A (Perfil T de 1" com 0.80 mm tickness)</v>
      </c>
      <c r="D1072" s="36" t="str">
        <f>IF($C1072="","",_xlfn.XLOOKUP($C1072,Order!$C:$C,Order!$D:$D,"",0,1))</f>
        <v>PT008A</v>
      </c>
      <c r="E1072" s="4" t="e" vm="256">
        <f>IF($C1072="","",_xlfn.XLOOKUP($C1072,Order!$C:$C,Order!$E:$E,"",0,1))</f>
        <v>#VALUE!</v>
      </c>
      <c r="F1072" s="4">
        <f>IF($C1072="","",_xlfn.XLOOKUP($C1072,Order!$C:$C,Order!$F:$F,"",0,1))</f>
        <v>6000</v>
      </c>
      <c r="G1072" s="4" t="str">
        <f>IF($C1072="","",_xlfn.XLOOKUP($C1072,Order!$C:$C,Order!$G:$G,"",0,1))</f>
        <v>6063T5</v>
      </c>
      <c r="H1072" s="4">
        <f>IF($C1072="","",_xlfn.XLOOKUP($C1072,Order!$C:$C,Order!$H:$H,"",0,1))</f>
        <v>0.109</v>
      </c>
      <c r="I1072" s="36">
        <f>IF($C1072="","",_xlfn.XLOOKUP($C1072,Order!$C:$C,Order!$L:$L,"",0,1))</f>
        <v>0</v>
      </c>
      <c r="J1072" s="4" t="str">
        <f>IF(C1072="","",Order!$L$16)</f>
        <v>BRONZE ANODIZED (FAYP03)</v>
      </c>
      <c r="K1072" s="36">
        <f>IF($C1072="","",_xlfn.XLOOKUP($C1072,Order!$C:$C,Order!$P:$P,"",0,1))</f>
        <v>0</v>
      </c>
      <c r="L1072" s="4">
        <f t="shared" si="16"/>
        <v>0</v>
      </c>
    </row>
    <row r="1073" spans="2:12" ht="23.25" hidden="1" customHeight="1" x14ac:dyDescent="0.25">
      <c r="B1073" s="4">
        <v>1068</v>
      </c>
      <c r="C1073" s="36" t="str">
        <f>IF(Order!$C$49="","",Order!$C$49)</f>
        <v>PT008 (Perfil T de 1" com 0.90 mm tickness)</v>
      </c>
      <c r="D1073" s="36" t="str">
        <f>IF($C1073="","",_xlfn.XLOOKUP($C1073,Order!$C:$C,Order!$D:$D,"",0,1))</f>
        <v>PT008</v>
      </c>
      <c r="E1073" s="4" t="e" vm="256">
        <f>IF($C1073="","",_xlfn.XLOOKUP($C1073,Order!$C:$C,Order!$E:$E,"",0,1))</f>
        <v>#VALUE!</v>
      </c>
      <c r="F1073" s="4">
        <f>IF($C1073="","",_xlfn.XLOOKUP($C1073,Order!$C:$C,Order!$F:$F,"",0,1))</f>
        <v>6000</v>
      </c>
      <c r="G1073" s="4" t="str">
        <f>IF($C1073="","",_xlfn.XLOOKUP($C1073,Order!$C:$C,Order!$G:$G,"",0,1))</f>
        <v>6063T5</v>
      </c>
      <c r="H1073" s="4">
        <f>IF($C1073="","",_xlfn.XLOOKUP($C1073,Order!$C:$C,Order!$H:$H,"",0,1))</f>
        <v>0.123</v>
      </c>
      <c r="I1073" s="36">
        <f>IF($C1073="","",_xlfn.XLOOKUP($C1073,Order!$C:$C,Order!$L:$L,"",0,1))</f>
        <v>0</v>
      </c>
      <c r="J1073" s="4" t="str">
        <f>IF(C1073="","",Order!$L$16)</f>
        <v>BRONZE ANODIZED (FAYP03)</v>
      </c>
      <c r="K1073" s="36">
        <f>IF($C1073="","",_xlfn.XLOOKUP($C1073,Order!$C:$C,Order!$P:$P,"",0,1))</f>
        <v>0</v>
      </c>
      <c r="L1073" s="4">
        <f t="shared" si="16"/>
        <v>0</v>
      </c>
    </row>
    <row r="1074" spans="2:12" ht="23.25" hidden="1" customHeight="1" x14ac:dyDescent="0.25">
      <c r="B1074" s="4">
        <v>1069</v>
      </c>
      <c r="C1074" s="36" t="str">
        <f>IF(Order!$C$50="","",Order!$C$50)</f>
        <v>AF052U (U13MM)</v>
      </c>
      <c r="D1074" s="36" t="str">
        <f>IF($C1074="","",_xlfn.XLOOKUP($C1074,Order!$C:$C,Order!$D:$D,"",0,1))</f>
        <v>AF052U</v>
      </c>
      <c r="E1074" s="4" t="e" vm="257">
        <f>IF($C1074="","",_xlfn.XLOOKUP($C1074,Order!$C:$C,Order!$E:$E,"",0,1))</f>
        <v>#VALUE!</v>
      </c>
      <c r="F1074" s="4">
        <f>IF($C1074="","",_xlfn.XLOOKUP($C1074,Order!$C:$C,Order!$F:$F,"",0,1))</f>
        <v>6000</v>
      </c>
      <c r="G1074" s="4" t="str">
        <f>IF($C1074="","",_xlfn.XLOOKUP($C1074,Order!$C:$C,Order!$G:$G,"",0,1))</f>
        <v>6063T5</v>
      </c>
      <c r="H1074" s="4">
        <f>IF($C1074="","",_xlfn.XLOOKUP($C1074,Order!$C:$C,Order!$H:$H,"",0,1))</f>
        <v>0.129</v>
      </c>
      <c r="I1074" s="36">
        <f>IF($C1074="","",_xlfn.XLOOKUP($C1074,Order!$C:$C,Order!$L:$L,"",0,1))</f>
        <v>0</v>
      </c>
      <c r="J1074" s="4" t="str">
        <f>IF(C1074="","",Order!$L$16)</f>
        <v>BRONZE ANODIZED (FAYP03)</v>
      </c>
      <c r="K1074" s="36">
        <f>IF($C1074="","",_xlfn.XLOOKUP($C1074,Order!$C:$C,Order!$P:$P,"",0,1))</f>
        <v>0</v>
      </c>
      <c r="L1074" s="4">
        <f t="shared" si="16"/>
        <v>0</v>
      </c>
    </row>
    <row r="1075" spans="2:12" ht="23.25" hidden="1" customHeight="1" x14ac:dyDescent="0.25">
      <c r="B1075" s="4">
        <v>1070</v>
      </c>
      <c r="C1075" s="36" t="str">
        <f>IF(Order!$C$51="","",Order!$C$51)</f>
        <v>PU639A</v>
      </c>
      <c r="D1075" s="36" t="str">
        <f>IF($C1075="","",_xlfn.XLOOKUP($C1075,Order!$C:$C,Order!$D:$D,"",0,1))</f>
        <v>PU639A</v>
      </c>
      <c r="E1075" s="4" t="e" vm="258">
        <f>IF($C1075="","",_xlfn.XLOOKUP($C1075,Order!$C:$C,Order!$E:$E,"",0,1))</f>
        <v>#VALUE!</v>
      </c>
      <c r="F1075" s="4">
        <f>IF($C1075="","",_xlfn.XLOOKUP($C1075,Order!$C:$C,Order!$F:$F,"",0,1))</f>
        <v>6000</v>
      </c>
      <c r="G1075" s="4" t="str">
        <f>IF($C1075="","",_xlfn.XLOOKUP($C1075,Order!$C:$C,Order!$G:$G,"",0,1))</f>
        <v>6063T5</v>
      </c>
      <c r="H1075" s="4">
        <f>IF($C1075="","",_xlfn.XLOOKUP($C1075,Order!$C:$C,Order!$H:$H,"",0,1))</f>
        <v>0.254</v>
      </c>
      <c r="I1075" s="36">
        <f>IF($C1075="","",_xlfn.XLOOKUP($C1075,Order!$C:$C,Order!$L:$L,"",0,1))</f>
        <v>0</v>
      </c>
      <c r="J1075" s="4" t="str">
        <f>IF(C1075="","",Order!$L$16)</f>
        <v>BRONZE ANODIZED (FAYP03)</v>
      </c>
      <c r="K1075" s="36">
        <f>IF($C1075="","",_xlfn.XLOOKUP($C1075,Order!$C:$C,Order!$P:$P,"",0,1))</f>
        <v>0</v>
      </c>
      <c r="L1075" s="4">
        <f t="shared" si="16"/>
        <v>0</v>
      </c>
    </row>
    <row r="1076" spans="2:12" ht="23.25" hidden="1" customHeight="1" x14ac:dyDescent="0.25">
      <c r="B1076" s="4">
        <v>1071</v>
      </c>
      <c r="C1076" s="36" t="str">
        <f>IF(Order!$C$52="","",Order!$C$52)</f>
        <v>PU639</v>
      </c>
      <c r="D1076" s="36" t="str">
        <f>IF($C1076="","",_xlfn.XLOOKUP($C1076,Order!$C:$C,Order!$D:$D,"",0,1))</f>
        <v>PU639</v>
      </c>
      <c r="E1076" s="4" t="e" vm="258">
        <f>IF($C1076="","",_xlfn.XLOOKUP($C1076,Order!$C:$C,Order!$E:$E,"",0,1))</f>
        <v>#VALUE!</v>
      </c>
      <c r="F1076" s="4">
        <f>IF($C1076="","",_xlfn.XLOOKUP($C1076,Order!$C:$C,Order!$F:$F,"",0,1))</f>
        <v>6000</v>
      </c>
      <c r="G1076" s="4" t="str">
        <f>IF($C1076="","",_xlfn.XLOOKUP($C1076,Order!$C:$C,Order!$G:$G,"",0,1))</f>
        <v>6063T5</v>
      </c>
      <c r="H1076" s="4">
        <f>IF($C1076="","",_xlfn.XLOOKUP($C1076,Order!$C:$C,Order!$H:$H,"",0,1))</f>
        <v>0.34499999999999997</v>
      </c>
      <c r="I1076" s="36">
        <f>IF($C1076="","",_xlfn.XLOOKUP($C1076,Order!$C:$C,Order!$L:$L,"",0,1))</f>
        <v>0</v>
      </c>
      <c r="J1076" s="4" t="str">
        <f>IF(C1076="","",Order!$L$16)</f>
        <v>BRONZE ANODIZED (FAYP03)</v>
      </c>
      <c r="K1076" s="36">
        <f>IF($C1076="","",_xlfn.XLOOKUP($C1076,Order!$C:$C,Order!$P:$P,"",0,1))</f>
        <v>0</v>
      </c>
      <c r="L1076" s="4">
        <f t="shared" si="16"/>
        <v>0</v>
      </c>
    </row>
    <row r="1077" spans="2:12" ht="23.25" hidden="1" customHeight="1" x14ac:dyDescent="0.25">
      <c r="B1077" s="4">
        <v>1072</v>
      </c>
      <c r="C1077" s="36" t="str">
        <f>IF(Order!$C$53="","",Order!$C$53)</f>
        <v>L1/2 (Angle L 1/2" with 0.90 mm tickness)</v>
      </c>
      <c r="D1077" s="36" t="str">
        <f>IF($C1077="","",_xlfn.XLOOKUP($C1077,Order!$C:$C,Order!$D:$D,"",0,1))</f>
        <v>L12</v>
      </c>
      <c r="E1077" s="4" t="e" vm="259">
        <f>IF($C1077="","",_xlfn.XLOOKUP($C1077,Order!$C:$C,Order!$E:$E,"",0,1))</f>
        <v>#VALUE!</v>
      </c>
      <c r="F1077" s="4">
        <f>IF($C1077="","",_xlfn.XLOOKUP($C1077,Order!$C:$C,Order!$F:$F,"",0,1))</f>
        <v>6000</v>
      </c>
      <c r="G1077" s="4" t="str">
        <f>IF($C1077="","",_xlfn.XLOOKUP($C1077,Order!$C:$C,Order!$G:$G,"",0,1))</f>
        <v>6063T5</v>
      </c>
      <c r="H1077" s="4">
        <f>IF($C1077="","",_xlfn.XLOOKUP($C1077,Order!$C:$C,Order!$H:$H,"",0,1))</f>
        <v>0.06</v>
      </c>
      <c r="I1077" s="36">
        <f>IF($C1077="","",_xlfn.XLOOKUP($C1077,Order!$C:$C,Order!$L:$L,"",0,1))</f>
        <v>0</v>
      </c>
      <c r="J1077" s="4" t="str">
        <f>IF(C1077="","",Order!$L$16)</f>
        <v>BRONZE ANODIZED (FAYP03)</v>
      </c>
      <c r="K1077" s="36">
        <f>IF($C1077="","",_xlfn.XLOOKUP($C1077,Order!$C:$C,Order!$P:$P,"",0,1))</f>
        <v>0</v>
      </c>
      <c r="L1077" s="4">
        <f t="shared" si="16"/>
        <v>0</v>
      </c>
    </row>
    <row r="1078" spans="2:12" ht="23.25" hidden="1" customHeight="1" x14ac:dyDescent="0.25">
      <c r="B1078" s="4">
        <v>1073</v>
      </c>
      <c r="C1078" s="36" t="str">
        <f>IF(Order!$C$54="","",Order!$C$54)</f>
        <v>L5/8 (Angle L 5/8" with 0.90 mm tickness)</v>
      </c>
      <c r="D1078" s="36" t="str">
        <f>IF($C1078="","",_xlfn.XLOOKUP($C1078,Order!$C:$C,Order!$D:$D,"",0,1))</f>
        <v>L5-8</v>
      </c>
      <c r="E1078" s="4" t="e" vm="259">
        <f>IF($C1078="","",_xlfn.XLOOKUP($C1078,Order!$C:$C,Order!$E:$E,"",0,1))</f>
        <v>#VALUE!</v>
      </c>
      <c r="F1078" s="4">
        <f>IF($C1078="","",_xlfn.XLOOKUP($C1078,Order!$C:$C,Order!$F:$F,"",0,1))</f>
        <v>6000</v>
      </c>
      <c r="G1078" s="4" t="str">
        <f>IF($C1078="","",_xlfn.XLOOKUP($C1078,Order!$C:$C,Order!$G:$G,"",0,1))</f>
        <v>6063T5</v>
      </c>
      <c r="H1078" s="4">
        <f>IF($C1078="","",_xlfn.XLOOKUP($C1078,Order!$C:$C,Order!$H:$H,"",0,1))</f>
        <v>7.5999999999999998E-2</v>
      </c>
      <c r="I1078" s="36">
        <f>IF($C1078="","",_xlfn.XLOOKUP($C1078,Order!$C:$C,Order!$L:$L,"",0,1))</f>
        <v>0</v>
      </c>
      <c r="J1078" s="4" t="str">
        <f>IF(C1078="","",Order!$L$16)</f>
        <v>BRONZE ANODIZED (FAYP03)</v>
      </c>
      <c r="K1078" s="36">
        <f>IF($C1078="","",_xlfn.XLOOKUP($C1078,Order!$C:$C,Order!$P:$P,"",0,1))</f>
        <v>0</v>
      </c>
      <c r="L1078" s="4">
        <f t="shared" si="16"/>
        <v>0</v>
      </c>
    </row>
    <row r="1079" spans="2:12" ht="23.25" hidden="1" customHeight="1" x14ac:dyDescent="0.25">
      <c r="B1079" s="4">
        <v>1074</v>
      </c>
      <c r="C1079" s="36" t="str">
        <f>IF(Order!$C$55="","",Order!$C$55)</f>
        <v>L3/4 (Angle L 3/4" with 0.80 mm tickness)</v>
      </c>
      <c r="D1079" s="36" t="str">
        <f>IF($C1079="","",_xlfn.XLOOKUP($C1079,Order!$C:$C,Order!$D:$D,"",0,1))</f>
        <v>L34</v>
      </c>
      <c r="E1079" s="4" t="e" vm="259">
        <f>IF($C1079="","",_xlfn.XLOOKUP($C1079,Order!$C:$C,Order!$E:$E,"",0,1))</f>
        <v>#VALUE!</v>
      </c>
      <c r="F1079" s="4">
        <f>IF($C1079="","",_xlfn.XLOOKUP($C1079,Order!$C:$C,Order!$F:$F,"",0,1))</f>
        <v>6000</v>
      </c>
      <c r="G1079" s="4" t="str">
        <f>IF($C1079="","",_xlfn.XLOOKUP($C1079,Order!$C:$C,Order!$G:$G,"",0,1))</f>
        <v>6063T5</v>
      </c>
      <c r="H1079" s="4">
        <f>IF($C1079="","",_xlfn.XLOOKUP($C1079,Order!$C:$C,Order!$H:$H,"",0,1))</f>
        <v>8.1000000000000003E-2</v>
      </c>
      <c r="I1079" s="36">
        <f>IF($C1079="","",_xlfn.XLOOKUP($C1079,Order!$C:$C,Order!$L:$L,"",0,1))</f>
        <v>0</v>
      </c>
      <c r="J1079" s="4" t="str">
        <f>IF(C1079="","",Order!$L$16)</f>
        <v>BRONZE ANODIZED (FAYP03)</v>
      </c>
      <c r="K1079" s="36">
        <f>IF($C1079="","",_xlfn.XLOOKUP($C1079,Order!$C:$C,Order!$P:$P,"",0,1))</f>
        <v>0</v>
      </c>
      <c r="L1079" s="4">
        <f t="shared" si="16"/>
        <v>0</v>
      </c>
    </row>
    <row r="1080" spans="2:12" ht="23.25" hidden="1" customHeight="1" x14ac:dyDescent="0.25">
      <c r="B1080" s="4">
        <v>1075</v>
      </c>
      <c r="C1080" s="36" t="str">
        <f>IF(Order!$C$56="","",Order!$C$56)</f>
        <v>L1 (Angle L 1" with 0.90 mm thickness)</v>
      </c>
      <c r="D1080" s="36" t="str">
        <f>IF($C1080="","",_xlfn.XLOOKUP($C1080,Order!$C:$C,Order!$D:$D,"",0,1))</f>
        <v>L1</v>
      </c>
      <c r="E1080" s="4" t="e" vm="259">
        <f>IF($C1080="","",_xlfn.XLOOKUP($C1080,Order!$C:$C,Order!$E:$E,"",0,1))</f>
        <v>#VALUE!</v>
      </c>
      <c r="F1080" s="4">
        <f>IF($C1080="","",_xlfn.XLOOKUP($C1080,Order!$C:$C,Order!$F:$F,"",0,1))</f>
        <v>6000</v>
      </c>
      <c r="G1080" s="4" t="str">
        <f>IF($C1080="","",_xlfn.XLOOKUP($C1080,Order!$C:$C,Order!$G:$G,"",0,1))</f>
        <v>6063T5</v>
      </c>
      <c r="H1080" s="4">
        <f>IF($C1080="","",_xlfn.XLOOKUP($C1080,Order!$C:$C,Order!$H:$H,"",0,1))</f>
        <v>0.122</v>
      </c>
      <c r="I1080" s="36">
        <f>IF($C1080="","",_xlfn.XLOOKUP($C1080,Order!$C:$C,Order!$L:$L,"",0,1))</f>
        <v>0</v>
      </c>
      <c r="J1080" s="4" t="str">
        <f>IF(C1080="","",Order!$L$16)</f>
        <v>BRONZE ANODIZED (FAYP03)</v>
      </c>
      <c r="K1080" s="36">
        <f>IF($C1080="","",_xlfn.XLOOKUP($C1080,Order!$C:$C,Order!$P:$P,"",0,1))</f>
        <v>0</v>
      </c>
      <c r="L1080" s="4">
        <f t="shared" si="16"/>
        <v>0</v>
      </c>
    </row>
    <row r="1081" spans="2:12" ht="23.25" hidden="1" customHeight="1" x14ac:dyDescent="0.25">
      <c r="B1081" s="4">
        <v>1076</v>
      </c>
      <c r="C1081" s="36" t="str">
        <f>IF(Order!$C$57="","",Order!$C$57)</f>
        <v>L1X1/16 (Angle L1 x 1/16")</v>
      </c>
      <c r="D1081" s="36" t="str">
        <f>IF($C1081="","",_xlfn.XLOOKUP($C1081,Order!$C:$C,Order!$D:$D,"",0,1))</f>
        <v>L1X1/16</v>
      </c>
      <c r="E1081" s="4" t="e" vm="259">
        <f>IF($C1081="","",_xlfn.XLOOKUP($C1081,Order!$C:$C,Order!$E:$E,"",0,1))</f>
        <v>#VALUE!</v>
      </c>
      <c r="F1081" s="4">
        <f>IF($C1081="","",_xlfn.XLOOKUP($C1081,Order!$C:$C,Order!$F:$F,"",0,1))</f>
        <v>6000</v>
      </c>
      <c r="G1081" s="4" t="str">
        <f>IF($C1081="","",_xlfn.XLOOKUP($C1081,Order!$C:$C,Order!$G:$G,"",0,1))</f>
        <v>6063T5</v>
      </c>
      <c r="H1081" s="4">
        <f>IF($C1081="","",_xlfn.XLOOKUP($C1081,Order!$C:$C,Order!$H:$H,"",0,1))</f>
        <v>0.21299999999999999</v>
      </c>
      <c r="I1081" s="36">
        <f>IF($C1081="","",_xlfn.XLOOKUP($C1081,Order!$C:$C,Order!$L:$L,"",0,1))</f>
        <v>0</v>
      </c>
      <c r="J1081" s="4" t="str">
        <f>IF(C1081="","",Order!$L$16)</f>
        <v>BRONZE ANODIZED (FAYP03)</v>
      </c>
      <c r="K1081" s="36">
        <f>IF($C1081="","",_xlfn.XLOOKUP($C1081,Order!$C:$C,Order!$P:$P,"",0,1))</f>
        <v>0</v>
      </c>
      <c r="L1081" s="4">
        <f t="shared" si="16"/>
        <v>0</v>
      </c>
    </row>
    <row r="1082" spans="2:12" ht="23.25" hidden="1" customHeight="1" x14ac:dyDescent="0.25">
      <c r="B1082" s="4">
        <v>1077</v>
      </c>
      <c r="C1082" s="36" t="str">
        <f>IF(Order!$C$58="","",Order!$C$58)</f>
        <v>L1X1/8 (Angle L1 x 1/8" )</v>
      </c>
      <c r="D1082" s="36" t="str">
        <f>IF($C1082="","",_xlfn.XLOOKUP($C1082,Order!$C:$C,Order!$D:$D,"",0,1))</f>
        <v>L1X1/8</v>
      </c>
      <c r="E1082" s="4" t="e" vm="259">
        <f>IF($C1082="","",_xlfn.XLOOKUP($C1082,Order!$C:$C,Order!$E:$E,"",0,1))</f>
        <v>#VALUE!</v>
      </c>
      <c r="F1082" s="4">
        <f>IF($C1082="","",_xlfn.XLOOKUP($C1082,Order!$C:$C,Order!$F:$F,"",0,1))</f>
        <v>6000</v>
      </c>
      <c r="G1082" s="4" t="str">
        <f>IF($C1082="","",_xlfn.XLOOKUP($C1082,Order!$C:$C,Order!$G:$G,"",0,1))</f>
        <v>6063T5</v>
      </c>
      <c r="H1082" s="4">
        <f>IF($C1082="","",_xlfn.XLOOKUP($C1082,Order!$C:$C,Order!$H:$H,"",0,1))</f>
        <v>0.41299999999999998</v>
      </c>
      <c r="I1082" s="36">
        <f>IF($C1082="","",_xlfn.XLOOKUP($C1082,Order!$C:$C,Order!$L:$L,"",0,1))</f>
        <v>0</v>
      </c>
      <c r="J1082" s="4" t="str">
        <f>IF(C1082="","",Order!$L$16)</f>
        <v>BRONZE ANODIZED (FAYP03)</v>
      </c>
      <c r="K1082" s="36">
        <f>IF($C1082="","",_xlfn.XLOOKUP($C1082,Order!$C:$C,Order!$P:$P,"",0,1))</f>
        <v>0</v>
      </c>
      <c r="L1082" s="4">
        <f t="shared" si="16"/>
        <v>0</v>
      </c>
    </row>
    <row r="1083" spans="2:12" ht="23.25" hidden="1" customHeight="1" x14ac:dyDescent="0.25">
      <c r="B1083" s="4">
        <v>1078</v>
      </c>
      <c r="C1083" s="36" t="str">
        <f>IF(Order!$C$59="","",Order!$C$59)</f>
        <v xml:space="preserve">L1.1/2X1/16 (Angle L 1.1/2x1/16" )　 </v>
      </c>
      <c r="D1083" s="36" t="str">
        <f>IF($C1083="","",_xlfn.XLOOKUP($C1083,Order!$C:$C,Order!$D:$D,"",0,1))</f>
        <v>L1.1/2X1/16</v>
      </c>
      <c r="E1083" s="4" t="e" vm="259">
        <f>IF($C1083="","",_xlfn.XLOOKUP($C1083,Order!$C:$C,Order!$E:$E,"",0,1))</f>
        <v>#VALUE!</v>
      </c>
      <c r="F1083" s="4">
        <f>IF($C1083="","",_xlfn.XLOOKUP($C1083,Order!$C:$C,Order!$F:$F,"",0,1))</f>
        <v>6000</v>
      </c>
      <c r="G1083" s="4" t="str">
        <f>IF($C1083="","",_xlfn.XLOOKUP($C1083,Order!$C:$C,Order!$G:$G,"",0,1))</f>
        <v>6063T5</v>
      </c>
      <c r="H1083" s="4">
        <f>IF($C1083="","",_xlfn.XLOOKUP($C1083,Order!$C:$C,Order!$H:$H,"",0,1))</f>
        <v>0.32400000000000001</v>
      </c>
      <c r="I1083" s="36">
        <f>IF($C1083="","",_xlfn.XLOOKUP($C1083,Order!$C:$C,Order!$L:$L,"",0,1))</f>
        <v>0</v>
      </c>
      <c r="J1083" s="4" t="str">
        <f>IF(C1083="","",Order!$L$16)</f>
        <v>BRONZE ANODIZED (FAYP03)</v>
      </c>
      <c r="K1083" s="36">
        <f>IF($C1083="","",_xlfn.XLOOKUP($C1083,Order!$C:$C,Order!$P:$P,"",0,1))</f>
        <v>0</v>
      </c>
      <c r="L1083" s="4">
        <f t="shared" si="16"/>
        <v>0</v>
      </c>
    </row>
    <row r="1084" spans="2:12" ht="23.25" hidden="1" customHeight="1" x14ac:dyDescent="0.25">
      <c r="B1084" s="4">
        <v>1079</v>
      </c>
      <c r="C1084" s="36" t="str">
        <f>IF(Order!$C$60="","",Order!$C$60)</f>
        <v xml:space="preserve">L1.1/2X1/8 (Angle L 1.1/2x1/8") 　 </v>
      </c>
      <c r="D1084" s="36" t="str">
        <f>IF($C1084="","",_xlfn.XLOOKUP($C1084,Order!$C:$C,Order!$D:$D,"",0,1))</f>
        <v>L1.1/2X1/8</v>
      </c>
      <c r="E1084" s="4" t="e" vm="259">
        <f>IF($C1084="","",_xlfn.XLOOKUP($C1084,Order!$C:$C,Order!$E:$E,"",0,1))</f>
        <v>#VALUE!</v>
      </c>
      <c r="F1084" s="4">
        <f>IF($C1084="","",_xlfn.XLOOKUP($C1084,Order!$C:$C,Order!$F:$F,"",0,1))</f>
        <v>6000</v>
      </c>
      <c r="G1084" s="4" t="str">
        <f>IF($C1084="","",_xlfn.XLOOKUP($C1084,Order!$C:$C,Order!$G:$G,"",0,1))</f>
        <v>6063T5</v>
      </c>
      <c r="H1084" s="4">
        <f>IF($C1084="","",_xlfn.XLOOKUP($C1084,Order!$C:$C,Order!$H:$H,"",0,1))</f>
        <v>0.63400000000000001</v>
      </c>
      <c r="I1084" s="36">
        <f>IF($C1084="","",_xlfn.XLOOKUP($C1084,Order!$C:$C,Order!$L:$L,"",0,1))</f>
        <v>0</v>
      </c>
      <c r="J1084" s="4" t="str">
        <f>IF(C1084="","",Order!$L$16)</f>
        <v>BRONZE ANODIZED (FAYP03)</v>
      </c>
      <c r="K1084" s="36">
        <f>IF($C1084="","",_xlfn.XLOOKUP($C1084,Order!$C:$C,Order!$P:$P,"",0,1))</f>
        <v>0</v>
      </c>
      <c r="L1084" s="4">
        <f t="shared" si="16"/>
        <v>0</v>
      </c>
    </row>
    <row r="1085" spans="2:12" ht="23.25" hidden="1" customHeight="1" x14ac:dyDescent="0.25">
      <c r="B1085" s="4">
        <v>1080</v>
      </c>
      <c r="C1085" s="36" t="str">
        <f>IF(Order!$C$61="","",Order!$C$61)</f>
        <v>L2X1/16 (Angle L 2 x 1/16")</v>
      </c>
      <c r="D1085" s="36" t="str">
        <f>IF($C1085="","",_xlfn.XLOOKUP($C1085,Order!$C:$C,Order!$D:$D,"",0,1))</f>
        <v>L2X1/16</v>
      </c>
      <c r="E1085" s="4" t="e" vm="259">
        <f>IF($C1085="","",_xlfn.XLOOKUP($C1085,Order!$C:$C,Order!$E:$E,"",0,1))</f>
        <v>#VALUE!</v>
      </c>
      <c r="F1085" s="4">
        <f>IF($C1085="","",_xlfn.XLOOKUP($C1085,Order!$C:$C,Order!$F:$F,"",0,1))</f>
        <v>6000</v>
      </c>
      <c r="G1085" s="4" t="str">
        <f>IF($C1085="","",_xlfn.XLOOKUP($C1085,Order!$C:$C,Order!$G:$G,"",0,1))</f>
        <v>6063T5</v>
      </c>
      <c r="H1085" s="4">
        <f>IF($C1085="","",_xlfn.XLOOKUP($C1085,Order!$C:$C,Order!$H:$H,"",0,1))</f>
        <v>0.434</v>
      </c>
      <c r="I1085" s="36">
        <f>IF($C1085="","",_xlfn.XLOOKUP($C1085,Order!$C:$C,Order!$L:$L,"",0,1))</f>
        <v>0</v>
      </c>
      <c r="J1085" s="4" t="str">
        <f>IF(C1085="","",Order!$L$16)</f>
        <v>BRONZE ANODIZED (FAYP03)</v>
      </c>
      <c r="K1085" s="36">
        <f>IF($C1085="","",_xlfn.XLOOKUP($C1085,Order!$C:$C,Order!$P:$P,"",0,1))</f>
        <v>0</v>
      </c>
      <c r="L1085" s="4">
        <f t="shared" si="16"/>
        <v>0</v>
      </c>
    </row>
    <row r="1086" spans="2:12" ht="23.25" hidden="1" customHeight="1" x14ac:dyDescent="0.25">
      <c r="B1086" s="4">
        <v>1081</v>
      </c>
      <c r="C1086" s="36" t="str">
        <f>IF(Order!$C$62="","",Order!$C$62)</f>
        <v>L2 x 1/8  (Angle L 2 x 1/8")</v>
      </c>
      <c r="D1086" s="36" t="str">
        <f>IF($C1086="","",_xlfn.XLOOKUP($C1086,Order!$C:$C,Order!$D:$D,"",0,1))</f>
        <v>L2x1/8</v>
      </c>
      <c r="E1086" s="4" t="e" vm="259">
        <f>IF($C1086="","",_xlfn.XLOOKUP($C1086,Order!$C:$C,Order!$E:$E,"",0,1))</f>
        <v>#VALUE!</v>
      </c>
      <c r="F1086" s="4">
        <f>IF($C1086="","",_xlfn.XLOOKUP($C1086,Order!$C:$C,Order!$F:$F,"",0,1))</f>
        <v>6000</v>
      </c>
      <c r="G1086" s="4" t="str">
        <f>IF($C1086="","",_xlfn.XLOOKUP($C1086,Order!$C:$C,Order!$G:$G,"",0,1))</f>
        <v>6063T5</v>
      </c>
      <c r="H1086" s="4">
        <f>IF($C1086="","",_xlfn.XLOOKUP($C1086,Order!$C:$C,Order!$H:$H,"",0,1))</f>
        <v>0.85399999999999998</v>
      </c>
      <c r="I1086" s="36">
        <f>IF($C1086="","",_xlfn.XLOOKUP($C1086,Order!$C:$C,Order!$L:$L,"",0,1))</f>
        <v>0</v>
      </c>
      <c r="J1086" s="4" t="str">
        <f>IF(C1086="","",Order!$L$16)</f>
        <v>BRONZE ANODIZED (FAYP03)</v>
      </c>
      <c r="K1086" s="36">
        <f>IF($C1086="","",_xlfn.XLOOKUP($C1086,Order!$C:$C,Order!$P:$P,"",0,1))</f>
        <v>0</v>
      </c>
      <c r="L1086" s="4">
        <f t="shared" si="16"/>
        <v>0</v>
      </c>
    </row>
    <row r="1087" spans="2:12" ht="23.25" hidden="1" customHeight="1" x14ac:dyDescent="0.25">
      <c r="B1087" s="4">
        <v>1082</v>
      </c>
      <c r="C1087" s="36" t="str">
        <f>IF(Order!$C$63="","",Order!$C$63)</f>
        <v>TRS3/16 (Round  solid 3/16")</v>
      </c>
      <c r="D1087" s="36" t="str">
        <f>IF($C1087="","",_xlfn.XLOOKUP($C1087,Order!$C:$C,Order!$D:$D,"",0,1))</f>
        <v>TRS3/16</v>
      </c>
      <c r="E1087" s="4" t="e" vm="260">
        <f>IF($C1087="","",_xlfn.XLOOKUP($C1087,Order!$C:$C,Order!$E:$E,"",0,1))</f>
        <v>#VALUE!</v>
      </c>
      <c r="F1087" s="4">
        <f>IF($C1087="","",_xlfn.XLOOKUP($C1087,Order!$C:$C,Order!$F:$F,"",0,1))</f>
        <v>6000</v>
      </c>
      <c r="G1087" s="4" t="str">
        <f>IF($C1087="","",_xlfn.XLOOKUP($C1087,Order!$C:$C,Order!$G:$G,"",0,1))</f>
        <v>6063T5</v>
      </c>
      <c r="H1087" s="4">
        <f>IF($C1087="","",_xlfn.XLOOKUP($C1087,Order!$C:$C,Order!$H:$H,"",0,1))</f>
        <v>4.7E-2</v>
      </c>
      <c r="I1087" s="36">
        <f>IF($C1087="","",_xlfn.XLOOKUP($C1087,Order!$C:$C,Order!$L:$L,"",0,1))</f>
        <v>0</v>
      </c>
      <c r="J1087" s="4" t="str">
        <f>IF(C1087="","",Order!$L$16)</f>
        <v>BRONZE ANODIZED (FAYP03)</v>
      </c>
      <c r="K1087" s="36">
        <f>IF($C1087="","",_xlfn.XLOOKUP($C1087,Order!$C:$C,Order!$P:$P,"",0,1))</f>
        <v>0</v>
      </c>
      <c r="L1087" s="4">
        <f t="shared" si="16"/>
        <v>0</v>
      </c>
    </row>
    <row r="1088" spans="2:12" ht="23.25" hidden="1" customHeight="1" x14ac:dyDescent="0.25">
      <c r="B1088" s="4">
        <v>1083</v>
      </c>
      <c r="C1088" s="36" t="str">
        <f>IF(Order!$C$64="","",Order!$C$64)</f>
        <v>TRS1/4 (Round  solid 1/4")</v>
      </c>
      <c r="D1088" s="36" t="str">
        <f>IF($C1088="","",_xlfn.XLOOKUP($C1088,Order!$C:$C,Order!$D:$D,"",0,1))</f>
        <v>TRS1/4</v>
      </c>
      <c r="E1088" s="4" t="e" vm="260">
        <f>IF($C1088="","",_xlfn.XLOOKUP($C1088,Order!$C:$C,Order!$E:$E,"",0,1))</f>
        <v>#VALUE!</v>
      </c>
      <c r="F1088" s="4">
        <f>IF($C1088="","",_xlfn.XLOOKUP($C1088,Order!$C:$C,Order!$F:$F,"",0,1))</f>
        <v>6000</v>
      </c>
      <c r="G1088" s="4" t="str">
        <f>IF($C1088="","",_xlfn.XLOOKUP($C1088,Order!$C:$C,Order!$G:$G,"",0,1))</f>
        <v>6063T5</v>
      </c>
      <c r="H1088" s="4">
        <f>IF($C1088="","",_xlfn.XLOOKUP($C1088,Order!$C:$C,Order!$H:$H,"",0,1))</f>
        <v>8.5999999999999993E-2</v>
      </c>
      <c r="I1088" s="36">
        <f>IF($C1088="","",_xlfn.XLOOKUP($C1088,Order!$C:$C,Order!$L:$L,"",0,1))</f>
        <v>0</v>
      </c>
      <c r="J1088" s="4" t="str">
        <f>IF(C1088="","",Order!$L$16)</f>
        <v>BRONZE ANODIZED (FAYP03)</v>
      </c>
      <c r="K1088" s="36">
        <f>IF($C1088="","",_xlfn.XLOOKUP($C1088,Order!$C:$C,Order!$P:$P,"",0,1))</f>
        <v>0</v>
      </c>
      <c r="L1088" s="4">
        <f t="shared" si="16"/>
        <v>0</v>
      </c>
    </row>
    <row r="1089" spans="2:12" ht="23.25" hidden="1" customHeight="1" x14ac:dyDescent="0.25">
      <c r="B1089" s="4">
        <v>1084</v>
      </c>
      <c r="C1089" s="36" t="str">
        <f>IF(Order!$C$65="","",Order!$C$65)</f>
        <v>TQS1/4 (Square solid 1/4")</v>
      </c>
      <c r="D1089" s="36" t="str">
        <f>IF($C1089="","",_xlfn.XLOOKUP($C1089,Order!$C:$C,Order!$D:$D,"",0,1))</f>
        <v>TQS1/4</v>
      </c>
      <c r="E1089" s="4" t="e" vm="261">
        <f>IF($C1089="","",_xlfn.XLOOKUP($C1089,Order!$C:$C,Order!$E:$E,"",0,1))</f>
        <v>#VALUE!</v>
      </c>
      <c r="F1089" s="4">
        <f>IF($C1089="","",_xlfn.XLOOKUP($C1089,Order!$C:$C,Order!$F:$F,"",0,1))</f>
        <v>6000</v>
      </c>
      <c r="G1089" s="4" t="str">
        <f>IF($C1089="","",_xlfn.XLOOKUP($C1089,Order!$C:$C,Order!$G:$G,"",0,1))</f>
        <v>6063T5</v>
      </c>
      <c r="H1089" s="4">
        <f>IF($C1089="","",_xlfn.XLOOKUP($C1089,Order!$C:$C,Order!$H:$H,"",0,1))</f>
        <v>0.11</v>
      </c>
      <c r="I1089" s="36">
        <f>IF($C1089="","",_xlfn.XLOOKUP($C1089,Order!$C:$C,Order!$L:$L,"",0,1))</f>
        <v>0</v>
      </c>
      <c r="J1089" s="4" t="str">
        <f>IF(C1089="","",Order!$L$16)</f>
        <v>BRONZE ANODIZED (FAYP03)</v>
      </c>
      <c r="K1089" s="36">
        <f>IF($C1089="","",_xlfn.XLOOKUP($C1089,Order!$C:$C,Order!$P:$P,"",0,1))</f>
        <v>0</v>
      </c>
      <c r="L1089" s="4">
        <f t="shared" si="16"/>
        <v>0</v>
      </c>
    </row>
    <row r="1090" spans="2:12" ht="23.25" hidden="1" customHeight="1" x14ac:dyDescent="0.25">
      <c r="B1090" s="4">
        <v>1085</v>
      </c>
      <c r="C1090" s="36" t="str">
        <f>IF(Order!$C$66="","",Order!$C$66)</f>
        <v/>
      </c>
      <c r="D1090" s="36" t="str">
        <f>IF($C1090="","",_xlfn.XLOOKUP($C1090,Order!$C:$C,Order!$D:$D,"",0,1))</f>
        <v/>
      </c>
      <c r="E1090" s="4" t="str">
        <f>IF($C1090="","",_xlfn.XLOOKUP($C1090,Order!$C:$C,Order!$E:$E,"",0,1))</f>
        <v/>
      </c>
      <c r="F1090" s="4" t="str">
        <f>IF($C1090="","",_xlfn.XLOOKUP($C1090,Order!$C:$C,Order!$F:$F,"",0,1))</f>
        <v/>
      </c>
      <c r="G1090" s="4" t="str">
        <f>IF($C1090="","",_xlfn.XLOOKUP($C1090,Order!$C:$C,Order!$G:$G,"",0,1))</f>
        <v/>
      </c>
      <c r="H1090" s="4" t="str">
        <f>IF($C1090="","",_xlfn.XLOOKUP($C1090,Order!$C:$C,Order!$H:$H,"",0,1))</f>
        <v/>
      </c>
      <c r="I1090" s="36" t="str">
        <f>IF($C1090="","",_xlfn.XLOOKUP($C1090,Order!$C:$C,Order!$L:$L,"",0,1))</f>
        <v/>
      </c>
      <c r="J1090" s="4" t="str">
        <f>IF(C1090="","",Order!$L$16)</f>
        <v/>
      </c>
      <c r="K1090" s="36" t="str">
        <f>IF($C1090="","",_xlfn.XLOOKUP($C1090,Order!$C:$C,Order!$P:$P,"",0,1))</f>
        <v/>
      </c>
      <c r="L1090" s="4" t="str">
        <f t="shared" si="16"/>
        <v/>
      </c>
    </row>
    <row r="1091" spans="2:12" ht="23.25" hidden="1" customHeight="1" x14ac:dyDescent="0.25">
      <c r="B1091" s="4">
        <v>1086</v>
      </c>
      <c r="C1091" s="36" t="str">
        <f>IF(Order!$C$67="","",Order!$C$67)</f>
        <v/>
      </c>
      <c r="D1091" s="36" t="str">
        <f>IF($C1091="","",_xlfn.XLOOKUP($C1091,Order!$C:$C,Order!$D:$D,"",0,1))</f>
        <v/>
      </c>
      <c r="E1091" s="4" t="str">
        <f>IF($C1091="","",_xlfn.XLOOKUP($C1091,Order!$C:$C,Order!$E:$E,"",0,1))</f>
        <v/>
      </c>
      <c r="F1091" s="4" t="str">
        <f>IF($C1091="","",_xlfn.XLOOKUP($C1091,Order!$C:$C,Order!$F:$F,"",0,1))</f>
        <v/>
      </c>
      <c r="G1091" s="4" t="str">
        <f>IF($C1091="","",_xlfn.XLOOKUP($C1091,Order!$C:$C,Order!$G:$G,"",0,1))</f>
        <v/>
      </c>
      <c r="H1091" s="4" t="str">
        <f>IF($C1091="","",_xlfn.XLOOKUP($C1091,Order!$C:$C,Order!$H:$H,"",0,1))</f>
        <v/>
      </c>
      <c r="I1091" s="36" t="str">
        <f>IF($C1091="","",_xlfn.XLOOKUP($C1091,Order!$C:$C,Order!$L:$L,"",0,1))</f>
        <v/>
      </c>
      <c r="J1091" s="4" t="str">
        <f>IF(C1091="","",Order!$L$16)</f>
        <v/>
      </c>
      <c r="K1091" s="36" t="str">
        <f>IF($C1091="","",_xlfn.XLOOKUP($C1091,Order!$C:$C,Order!$P:$P,"",0,1))</f>
        <v/>
      </c>
      <c r="L1091" s="4" t="str">
        <f t="shared" si="16"/>
        <v/>
      </c>
    </row>
    <row r="1092" spans="2:12" ht="23.25" hidden="1" customHeight="1" x14ac:dyDescent="0.25">
      <c r="B1092" s="4">
        <v>1087</v>
      </c>
      <c r="C1092" s="36" t="str">
        <f>IF(Order!$C$68="","",Order!$C$68)</f>
        <v/>
      </c>
      <c r="D1092" s="36" t="str">
        <f>IF($C1092="","",_xlfn.XLOOKUP($C1092,Order!$C:$C,Order!$D:$D,"",0,1))</f>
        <v/>
      </c>
      <c r="E1092" s="4" t="str">
        <f>IF($C1092="","",_xlfn.XLOOKUP($C1092,Order!$C:$C,Order!$E:$E,"",0,1))</f>
        <v/>
      </c>
      <c r="F1092" s="4" t="str">
        <f>IF($C1092="","",_xlfn.XLOOKUP($C1092,Order!$C:$C,Order!$F:$F,"",0,1))</f>
        <v/>
      </c>
      <c r="G1092" s="4" t="str">
        <f>IF($C1092="","",_xlfn.XLOOKUP($C1092,Order!$C:$C,Order!$G:$G,"",0,1))</f>
        <v/>
      </c>
      <c r="H1092" s="4" t="str">
        <f>IF($C1092="","",_xlfn.XLOOKUP($C1092,Order!$C:$C,Order!$H:$H,"",0,1))</f>
        <v/>
      </c>
      <c r="I1092" s="36" t="str">
        <f>IF($C1092="","",_xlfn.XLOOKUP($C1092,Order!$C:$C,Order!$L:$L,"",0,1))</f>
        <v/>
      </c>
      <c r="J1092" s="4" t="str">
        <f>IF(C1092="","",Order!$L$16)</f>
        <v/>
      </c>
      <c r="K1092" s="36" t="str">
        <f>IF($C1092="","",_xlfn.XLOOKUP($C1092,Order!$C:$C,Order!$P:$P,"",0,1))</f>
        <v/>
      </c>
      <c r="L1092" s="4" t="str">
        <f t="shared" si="16"/>
        <v/>
      </c>
    </row>
    <row r="1093" spans="2:12" ht="23.25" hidden="1" customHeight="1" x14ac:dyDescent="0.25">
      <c r="B1093" s="4">
        <v>1088</v>
      </c>
      <c r="C1093" s="36" t="str">
        <f>IF(Order!$C$69="","",Order!$C$69)</f>
        <v/>
      </c>
      <c r="D1093" s="36" t="str">
        <f>IF($C1093="","",_xlfn.XLOOKUP($C1093,Order!$C:$C,Order!$D:$D,"",0,1))</f>
        <v/>
      </c>
      <c r="E1093" s="4" t="str">
        <f>IF($C1093="","",_xlfn.XLOOKUP($C1093,Order!$C:$C,Order!$E:$E,"",0,1))</f>
        <v/>
      </c>
      <c r="F1093" s="4" t="str">
        <f>IF($C1093="","",_xlfn.XLOOKUP($C1093,Order!$C:$C,Order!$F:$F,"",0,1))</f>
        <v/>
      </c>
      <c r="G1093" s="4" t="str">
        <f>IF($C1093="","",_xlfn.XLOOKUP($C1093,Order!$C:$C,Order!$G:$G,"",0,1))</f>
        <v/>
      </c>
      <c r="H1093" s="4" t="str">
        <f>IF($C1093="","",_xlfn.XLOOKUP($C1093,Order!$C:$C,Order!$H:$H,"",0,1))</f>
        <v/>
      </c>
      <c r="I1093" s="36" t="str">
        <f>IF($C1093="","",_xlfn.XLOOKUP($C1093,Order!$C:$C,Order!$L:$L,"",0,1))</f>
        <v/>
      </c>
      <c r="J1093" s="4" t="str">
        <f>IF(C1093="","",Order!$L$16)</f>
        <v/>
      </c>
      <c r="K1093" s="36" t="str">
        <f>IF($C1093="","",_xlfn.XLOOKUP($C1093,Order!$C:$C,Order!$P:$P,"",0,1))</f>
        <v/>
      </c>
      <c r="L1093" s="4" t="str">
        <f t="shared" si="16"/>
        <v/>
      </c>
    </row>
    <row r="1094" spans="2:12" ht="23.25" hidden="1" customHeight="1" x14ac:dyDescent="0.25">
      <c r="B1094" s="4">
        <v>1089</v>
      </c>
      <c r="C1094" s="36" t="str">
        <f>IF(Order!$C$70="","",Order!$C$70)</f>
        <v/>
      </c>
      <c r="D1094" s="36" t="str">
        <f>IF($C1094="","",_xlfn.XLOOKUP($C1094,Order!$C:$C,Order!$D:$D,"",0,1))</f>
        <v/>
      </c>
      <c r="E1094" s="4" t="str">
        <f>IF($C1094="","",_xlfn.XLOOKUP($C1094,Order!$C:$C,Order!$E:$E,"",0,1))</f>
        <v/>
      </c>
      <c r="F1094" s="4" t="str">
        <f>IF($C1094="","",_xlfn.XLOOKUP($C1094,Order!$C:$C,Order!$F:$F,"",0,1))</f>
        <v/>
      </c>
      <c r="G1094" s="4" t="str">
        <f>IF($C1094="","",_xlfn.XLOOKUP($C1094,Order!$C:$C,Order!$G:$G,"",0,1))</f>
        <v/>
      </c>
      <c r="H1094" s="4" t="str">
        <f>IF($C1094="","",_xlfn.XLOOKUP($C1094,Order!$C:$C,Order!$H:$H,"",0,1))</f>
        <v/>
      </c>
      <c r="I1094" s="36" t="str">
        <f>IF($C1094="","",_xlfn.XLOOKUP($C1094,Order!$C:$C,Order!$L:$L,"",0,1))</f>
        <v/>
      </c>
      <c r="J1094" s="4" t="str">
        <f>IF(C1094="","",Order!$L$16)</f>
        <v/>
      </c>
      <c r="K1094" s="36" t="str">
        <f>IF($C1094="","",_xlfn.XLOOKUP($C1094,Order!$C:$C,Order!$P:$P,"",0,1))</f>
        <v/>
      </c>
      <c r="L1094" s="4" t="str">
        <f t="shared" si="16"/>
        <v/>
      </c>
    </row>
    <row r="1095" spans="2:12" ht="23.25" hidden="1" customHeight="1" x14ac:dyDescent="0.25">
      <c r="B1095" s="4">
        <v>1090</v>
      </c>
      <c r="C1095" s="36" t="str">
        <f>IF(Order!$C$71="","",Order!$C$71)</f>
        <v/>
      </c>
      <c r="D1095" s="36" t="str">
        <f>IF($C1095="","",_xlfn.XLOOKUP($C1095,Order!$C:$C,Order!$D:$D,"",0,1))</f>
        <v/>
      </c>
      <c r="E1095" s="4" t="str">
        <f>IF($C1095="","",_xlfn.XLOOKUP($C1095,Order!$C:$C,Order!$E:$E,"",0,1))</f>
        <v/>
      </c>
      <c r="F1095" s="4" t="str">
        <f>IF($C1095="","",_xlfn.XLOOKUP($C1095,Order!$C:$C,Order!$F:$F,"",0,1))</f>
        <v/>
      </c>
      <c r="G1095" s="4" t="str">
        <f>IF($C1095="","",_xlfn.XLOOKUP($C1095,Order!$C:$C,Order!$G:$G,"",0,1))</f>
        <v/>
      </c>
      <c r="H1095" s="4" t="str">
        <f>IF($C1095="","",_xlfn.XLOOKUP($C1095,Order!$C:$C,Order!$H:$H,"",0,1))</f>
        <v/>
      </c>
      <c r="I1095" s="36" t="str">
        <f>IF($C1095="","",_xlfn.XLOOKUP($C1095,Order!$C:$C,Order!$L:$L,"",0,1))</f>
        <v/>
      </c>
      <c r="J1095" s="4" t="str">
        <f>IF(C1095="","",Order!$L$16)</f>
        <v/>
      </c>
      <c r="K1095" s="36" t="str">
        <f>IF($C1095="","",_xlfn.XLOOKUP($C1095,Order!$C:$C,Order!$P:$P,"",0,1))</f>
        <v/>
      </c>
      <c r="L1095" s="4" t="str">
        <f t="shared" ref="L1095:L1158" si="17">IF(C1095="","",F1095/1000*H1095*I1095)</f>
        <v/>
      </c>
    </row>
    <row r="1096" spans="2:12" ht="23.25" hidden="1" customHeight="1" x14ac:dyDescent="0.25">
      <c r="B1096" s="4">
        <v>1091</v>
      </c>
      <c r="C1096" s="36" t="str">
        <f>IF(Order!$C$72="","",Order!$C$72)</f>
        <v/>
      </c>
      <c r="D1096" s="36" t="str">
        <f>IF($C1096="","",_xlfn.XLOOKUP($C1096,Order!$C:$C,Order!$D:$D,"",0,1))</f>
        <v/>
      </c>
      <c r="E1096" s="4" t="str">
        <f>IF($C1096="","",_xlfn.XLOOKUP($C1096,Order!$C:$C,Order!$E:$E,"",0,1))</f>
        <v/>
      </c>
      <c r="F1096" s="4" t="str">
        <f>IF($C1096="","",_xlfn.XLOOKUP($C1096,Order!$C:$C,Order!$F:$F,"",0,1))</f>
        <v/>
      </c>
      <c r="G1096" s="4" t="str">
        <f>IF($C1096="","",_xlfn.XLOOKUP($C1096,Order!$C:$C,Order!$G:$G,"",0,1))</f>
        <v/>
      </c>
      <c r="H1096" s="4" t="str">
        <f>IF($C1096="","",_xlfn.XLOOKUP($C1096,Order!$C:$C,Order!$H:$H,"",0,1))</f>
        <v/>
      </c>
      <c r="I1096" s="36" t="str">
        <f>IF($C1096="","",_xlfn.XLOOKUP($C1096,Order!$C:$C,Order!$L:$L,"",0,1))</f>
        <v/>
      </c>
      <c r="J1096" s="4" t="str">
        <f>IF(C1096="","",Order!$L$16)</f>
        <v/>
      </c>
      <c r="K1096" s="36" t="str">
        <f>IF($C1096="","",_xlfn.XLOOKUP($C1096,Order!$C:$C,Order!$P:$P,"",0,1))</f>
        <v/>
      </c>
      <c r="L1096" s="4" t="str">
        <f t="shared" si="17"/>
        <v/>
      </c>
    </row>
    <row r="1097" spans="2:12" ht="23.25" hidden="1" customHeight="1" x14ac:dyDescent="0.25">
      <c r="B1097" s="4">
        <v>1092</v>
      </c>
      <c r="C1097" s="36" t="str">
        <f>IF(Order!$C$73="","",Order!$C$73)</f>
        <v/>
      </c>
      <c r="D1097" s="36" t="str">
        <f>IF($C1097="","",_xlfn.XLOOKUP($C1097,Order!$C:$C,Order!$D:$D,"",0,1))</f>
        <v/>
      </c>
      <c r="E1097" s="4" t="str">
        <f>IF($C1097="","",_xlfn.XLOOKUP($C1097,Order!$C:$C,Order!$E:$E,"",0,1))</f>
        <v/>
      </c>
      <c r="F1097" s="4" t="str">
        <f>IF($C1097="","",_xlfn.XLOOKUP($C1097,Order!$C:$C,Order!$F:$F,"",0,1))</f>
        <v/>
      </c>
      <c r="G1097" s="4" t="str">
        <f>IF($C1097="","",_xlfn.XLOOKUP($C1097,Order!$C:$C,Order!$G:$G,"",0,1))</f>
        <v/>
      </c>
      <c r="H1097" s="4" t="str">
        <f>IF($C1097="","",_xlfn.XLOOKUP($C1097,Order!$C:$C,Order!$H:$H,"",0,1))</f>
        <v/>
      </c>
      <c r="I1097" s="36" t="str">
        <f>IF($C1097="","",_xlfn.XLOOKUP($C1097,Order!$C:$C,Order!$L:$L,"",0,1))</f>
        <v/>
      </c>
      <c r="J1097" s="4" t="str">
        <f>IF(C1097="","",Order!$L$16)</f>
        <v/>
      </c>
      <c r="K1097" s="36" t="str">
        <f>IF($C1097="","",_xlfn.XLOOKUP($C1097,Order!$C:$C,Order!$P:$P,"",0,1))</f>
        <v/>
      </c>
      <c r="L1097" s="4" t="str">
        <f t="shared" si="17"/>
        <v/>
      </c>
    </row>
    <row r="1098" spans="2:12" ht="23.25" hidden="1" customHeight="1" x14ac:dyDescent="0.25">
      <c r="B1098" s="4">
        <v>1093</v>
      </c>
      <c r="C1098" s="36" t="str">
        <f>IF(Order!$C$74="","",Order!$C$74)</f>
        <v>CM200</v>
      </c>
      <c r="D1098" s="36" t="str">
        <f>IF($C1098="","",_xlfn.XLOOKUP($C1098,Order!$C:$C,Order!$D:$D,"",0,1))</f>
        <v>CM200</v>
      </c>
      <c r="E1098" s="4" t="e" vm="262">
        <f>IF($C1098="","",_xlfn.XLOOKUP($C1098,Order!$C:$C,Order!$E:$E,"",0,1))</f>
        <v>#VALUE!</v>
      </c>
      <c r="F1098" s="4">
        <f>IF($C1098="","",_xlfn.XLOOKUP($C1098,Order!$C:$C,Order!$F:$F,"",0,1))</f>
        <v>6000</v>
      </c>
      <c r="G1098" s="4" t="str">
        <f>IF($C1098="","",_xlfn.XLOOKUP($C1098,Order!$C:$C,Order!$G:$G,"",0,1))</f>
        <v>6063T5</v>
      </c>
      <c r="H1098" s="4">
        <f>IF($C1098="","",_xlfn.XLOOKUP($C1098,Order!$C:$C,Order!$H:$H,"",0,1))</f>
        <v>0.128</v>
      </c>
      <c r="I1098" s="36">
        <f>IF($C1098="","",_xlfn.XLOOKUP($C1098,Order!$C:$C,Order!$L:$L,"",0,1))</f>
        <v>0</v>
      </c>
      <c r="J1098" s="4" t="str">
        <f>IF(C1098="","",Order!$L$16)</f>
        <v>BRONZE ANODIZED (FAYP03)</v>
      </c>
      <c r="K1098" s="36">
        <f>IF($C1098="","",_xlfn.XLOOKUP($C1098,Order!$C:$C,Order!$P:$P,"",0,1))</f>
        <v>0</v>
      </c>
      <c r="L1098" s="4">
        <f t="shared" si="17"/>
        <v>0</v>
      </c>
    </row>
    <row r="1099" spans="2:12" ht="23.25" hidden="1" customHeight="1" x14ac:dyDescent="0.25">
      <c r="B1099" s="4">
        <v>1094</v>
      </c>
      <c r="C1099" s="36" t="str">
        <f>IF(Order!$C$75="","",Order!$C$75)</f>
        <v>CL006</v>
      </c>
      <c r="D1099" s="36" t="str">
        <f>IF($C1099="","",_xlfn.XLOOKUP($C1099,Order!$C:$C,Order!$D:$D,"",0,1))</f>
        <v>CL006</v>
      </c>
      <c r="E1099" s="4" t="e" vm="263">
        <f>IF($C1099="","",_xlfn.XLOOKUP($C1099,Order!$C:$C,Order!$E:$E,"",0,1))</f>
        <v>#VALUE!</v>
      </c>
      <c r="F1099" s="4">
        <f>IF($C1099="","",_xlfn.XLOOKUP($C1099,Order!$C:$C,Order!$F:$F,"",0,1))</f>
        <v>6000</v>
      </c>
      <c r="G1099" s="4" t="str">
        <f>IF($C1099="","",_xlfn.XLOOKUP($C1099,Order!$C:$C,Order!$G:$G,"",0,1))</f>
        <v>6063T5</v>
      </c>
      <c r="H1099" s="4">
        <f>IF($C1099="","",_xlfn.XLOOKUP($C1099,Order!$C:$C,Order!$H:$H,"",0,1))</f>
        <v>1.115</v>
      </c>
      <c r="I1099" s="36">
        <f>IF($C1099="","",_xlfn.XLOOKUP($C1099,Order!$C:$C,Order!$L:$L,"",0,1))</f>
        <v>0</v>
      </c>
      <c r="J1099" s="4" t="str">
        <f>IF(C1099="","",Order!$L$16)</f>
        <v>BRONZE ANODIZED (FAYP03)</v>
      </c>
      <c r="K1099" s="36">
        <f>IF($C1099="","",_xlfn.XLOOKUP($C1099,Order!$C:$C,Order!$P:$P,"",0,1))</f>
        <v>0</v>
      </c>
      <c r="L1099" s="4">
        <f t="shared" si="17"/>
        <v>0</v>
      </c>
    </row>
    <row r="1100" spans="2:12" ht="23.25" hidden="1" customHeight="1" x14ac:dyDescent="0.25">
      <c r="B1100" s="4">
        <v>1095</v>
      </c>
      <c r="C1100" s="36" t="str">
        <f>IF(Order!$C$76="","",Order!$C$76)</f>
        <v>CL011</v>
      </c>
      <c r="D1100" s="36" t="str">
        <f>IF($C1100="","",_xlfn.XLOOKUP($C1100,Order!$C:$C,Order!$D:$D,"",0,1))</f>
        <v>CL011</v>
      </c>
      <c r="E1100" s="4" t="e" vm="264">
        <f>IF($C1100="","",_xlfn.XLOOKUP($C1100,Order!$C:$C,Order!$E:$E,"",0,1))</f>
        <v>#VALUE!</v>
      </c>
      <c r="F1100" s="4">
        <f>IF($C1100="","",_xlfn.XLOOKUP($C1100,Order!$C:$C,Order!$F:$F,"",0,1))</f>
        <v>6000</v>
      </c>
      <c r="G1100" s="4" t="str">
        <f>IF($C1100="","",_xlfn.XLOOKUP($C1100,Order!$C:$C,Order!$G:$G,"",0,1))</f>
        <v>6063T5</v>
      </c>
      <c r="H1100" s="4">
        <f>IF($C1100="","",_xlfn.XLOOKUP($C1100,Order!$C:$C,Order!$H:$H,"",0,1))</f>
        <v>0.311</v>
      </c>
      <c r="I1100" s="36">
        <f>IF($C1100="","",_xlfn.XLOOKUP($C1100,Order!$C:$C,Order!$L:$L,"",0,1))</f>
        <v>0</v>
      </c>
      <c r="J1100" s="4" t="str">
        <f>IF(C1100="","",Order!$L$16)</f>
        <v>BRONZE ANODIZED (FAYP03)</v>
      </c>
      <c r="K1100" s="36">
        <f>IF($C1100="","",_xlfn.XLOOKUP($C1100,Order!$C:$C,Order!$P:$P,"",0,1))</f>
        <v>0</v>
      </c>
      <c r="L1100" s="4">
        <f t="shared" si="17"/>
        <v>0</v>
      </c>
    </row>
    <row r="1101" spans="2:12" ht="23.25" hidden="1" customHeight="1" x14ac:dyDescent="0.25">
      <c r="B1101" s="4">
        <v>1096</v>
      </c>
      <c r="C1101" s="36" t="str">
        <f>IF(Order!$C$77="","",Order!$C$77)</f>
        <v>BX810</v>
      </c>
      <c r="D1101" s="36" t="str">
        <f>IF($C1101="","",_xlfn.XLOOKUP($C1101,Order!$C:$C,Order!$D:$D,"",0,1))</f>
        <v>BX810</v>
      </c>
      <c r="E1101" s="4" t="e" vm="265">
        <f>IF($C1101="","",_xlfn.XLOOKUP($C1101,Order!$C:$C,Order!$E:$E,"",0,1))</f>
        <v>#VALUE!</v>
      </c>
      <c r="F1101" s="4">
        <f>IF($C1101="","",_xlfn.XLOOKUP($C1101,Order!$C:$C,Order!$F:$F,"",0,1))</f>
        <v>6000</v>
      </c>
      <c r="G1101" s="4" t="str">
        <f>IF($C1101="","",_xlfn.XLOOKUP($C1101,Order!$C:$C,Order!$G:$G,"",0,1))</f>
        <v>6063T5</v>
      </c>
      <c r="H1101" s="4">
        <f>IF($C1101="","",_xlfn.XLOOKUP($C1101,Order!$C:$C,Order!$H:$H,"",0,1))</f>
        <v>0.53600000000000003</v>
      </c>
      <c r="I1101" s="36">
        <f>IF($C1101="","",_xlfn.XLOOKUP($C1101,Order!$C:$C,Order!$L:$L,"",0,1))</f>
        <v>0</v>
      </c>
      <c r="J1101" s="4" t="str">
        <f>IF(C1101="","",Order!$L$16)</f>
        <v>BRONZE ANODIZED (FAYP03)</v>
      </c>
      <c r="K1101" s="36">
        <f>IF($C1101="","",_xlfn.XLOOKUP($C1101,Order!$C:$C,Order!$P:$P,"",0,1))</f>
        <v>0</v>
      </c>
      <c r="L1101" s="4">
        <f t="shared" si="17"/>
        <v>0</v>
      </c>
    </row>
    <row r="1102" spans="2:12" ht="23.25" hidden="1" customHeight="1" x14ac:dyDescent="0.25">
      <c r="B1102" s="4">
        <v>1097</v>
      </c>
      <c r="C1102" s="36" t="str">
        <f>IF(Order!$C$78="","",Order!$C$78)</f>
        <v>BX811</v>
      </c>
      <c r="D1102" s="36" t="str">
        <f>IF($C1102="","",_xlfn.XLOOKUP($C1102,Order!$C:$C,Order!$D:$D,"",0,1))</f>
        <v>BX811</v>
      </c>
      <c r="E1102" s="4" t="e" vm="266">
        <f>IF($C1102="","",_xlfn.XLOOKUP($C1102,Order!$C:$C,Order!$E:$E,"",0,1))</f>
        <v>#VALUE!</v>
      </c>
      <c r="F1102" s="4">
        <f>IF($C1102="","",_xlfn.XLOOKUP($C1102,Order!$C:$C,Order!$F:$F,"",0,1))</f>
        <v>6000</v>
      </c>
      <c r="G1102" s="4" t="str">
        <f>IF($C1102="","",_xlfn.XLOOKUP($C1102,Order!$C:$C,Order!$G:$G,"",0,1))</f>
        <v>6063T5</v>
      </c>
      <c r="H1102" s="4">
        <f>IF($C1102="","",_xlfn.XLOOKUP($C1102,Order!$C:$C,Order!$H:$H,"",0,1))</f>
        <v>0.35799999999999998</v>
      </c>
      <c r="I1102" s="36">
        <f>IF($C1102="","",_xlfn.XLOOKUP($C1102,Order!$C:$C,Order!$L:$L,"",0,1))</f>
        <v>0</v>
      </c>
      <c r="J1102" s="4" t="str">
        <f>IF(C1102="","",Order!$L$16)</f>
        <v>BRONZE ANODIZED (FAYP03)</v>
      </c>
      <c r="K1102" s="36">
        <f>IF($C1102="","",_xlfn.XLOOKUP($C1102,Order!$C:$C,Order!$P:$P,"",0,1))</f>
        <v>0</v>
      </c>
      <c r="L1102" s="4">
        <f t="shared" si="17"/>
        <v>0</v>
      </c>
    </row>
    <row r="1103" spans="2:12" ht="23.25" hidden="1" customHeight="1" x14ac:dyDescent="0.25">
      <c r="B1103" s="4">
        <v>1098</v>
      </c>
      <c r="C1103" s="36" t="str">
        <f>IF(Order!$C$79="","",Order!$C$79)</f>
        <v>BX856</v>
      </c>
      <c r="D1103" s="36" t="str">
        <f>IF($C1103="","",_xlfn.XLOOKUP($C1103,Order!$C:$C,Order!$D:$D,"",0,1))</f>
        <v>BX856</v>
      </c>
      <c r="E1103" s="4" t="e" vm="267">
        <f>IF($C1103="","",_xlfn.XLOOKUP($C1103,Order!$C:$C,Order!$E:$E,"",0,1))</f>
        <v>#VALUE!</v>
      </c>
      <c r="F1103" s="4">
        <f>IF($C1103="","",_xlfn.XLOOKUP($C1103,Order!$C:$C,Order!$F:$F,"",0,1))</f>
        <v>6000</v>
      </c>
      <c r="G1103" s="4" t="str">
        <f>IF($C1103="","",_xlfn.XLOOKUP($C1103,Order!$C:$C,Order!$G:$G,"",0,1))</f>
        <v>6063T5</v>
      </c>
      <c r="H1103" s="4">
        <f>IF($C1103="","",_xlfn.XLOOKUP($C1103,Order!$C:$C,Order!$H:$H,"",0,1))</f>
        <v>0.22600000000000001</v>
      </c>
      <c r="I1103" s="36">
        <f>IF($C1103="","",_xlfn.XLOOKUP($C1103,Order!$C:$C,Order!$L:$L,"",0,1))</f>
        <v>0</v>
      </c>
      <c r="J1103" s="4" t="str">
        <f>IF(C1103="","",Order!$L$16)</f>
        <v>BRONZE ANODIZED (FAYP03)</v>
      </c>
      <c r="K1103" s="36">
        <f>IF($C1103="","",_xlfn.XLOOKUP($C1103,Order!$C:$C,Order!$P:$P,"",0,1))</f>
        <v>0</v>
      </c>
      <c r="L1103" s="4">
        <f t="shared" si="17"/>
        <v>0</v>
      </c>
    </row>
    <row r="1104" spans="2:12" ht="23.25" hidden="1" customHeight="1" x14ac:dyDescent="0.25">
      <c r="B1104" s="4">
        <v>1099</v>
      </c>
      <c r="C1104" s="36" t="str">
        <f>IF(Order!$C$80="","",Order!$C$80)</f>
        <v>AF051</v>
      </c>
      <c r="D1104" s="36" t="str">
        <f>IF($C1104="","",_xlfn.XLOOKUP($C1104,Order!$C:$C,Order!$D:$D,"",0,1))</f>
        <v>AF051</v>
      </c>
      <c r="E1104" s="4" t="e" vm="268">
        <f>IF($C1104="","",_xlfn.XLOOKUP($C1104,Order!$C:$C,Order!$E:$E,"",0,1))</f>
        <v>#VALUE!</v>
      </c>
      <c r="F1104" s="4">
        <f>IF($C1104="","",_xlfn.XLOOKUP($C1104,Order!$C:$C,Order!$F:$F,"",0,1))</f>
        <v>6000</v>
      </c>
      <c r="G1104" s="4" t="str">
        <f>IF($C1104="","",_xlfn.XLOOKUP($C1104,Order!$C:$C,Order!$G:$G,"",0,1))</f>
        <v>6063T5</v>
      </c>
      <c r="H1104" s="4">
        <f>IF($C1104="","",_xlfn.XLOOKUP($C1104,Order!$C:$C,Order!$H:$H,"",0,1))</f>
        <v>0.2</v>
      </c>
      <c r="I1104" s="36">
        <f>IF($C1104="","",_xlfn.XLOOKUP($C1104,Order!$C:$C,Order!$L:$L,"",0,1))</f>
        <v>0</v>
      </c>
      <c r="J1104" s="4" t="str">
        <f>IF(C1104="","",Order!$L$16)</f>
        <v>BRONZE ANODIZED (FAYP03)</v>
      </c>
      <c r="K1104" s="36">
        <f>IF($C1104="","",_xlfn.XLOOKUP($C1104,Order!$C:$C,Order!$P:$P,"",0,1))</f>
        <v>0</v>
      </c>
      <c r="L1104" s="4">
        <f t="shared" si="17"/>
        <v>0</v>
      </c>
    </row>
    <row r="1105" spans="2:12" ht="23.25" hidden="1" customHeight="1" x14ac:dyDescent="0.25">
      <c r="B1105" s="4">
        <v>1100</v>
      </c>
      <c r="C1105" s="36" t="str">
        <f>IF(Order!$C$81="","",Order!$C$81)</f>
        <v>AF053</v>
      </c>
      <c r="D1105" s="36" t="str">
        <f>IF($C1105="","",_xlfn.XLOOKUP($C1105,Order!$C:$C,Order!$D:$D,"",0,1))</f>
        <v>AF053</v>
      </c>
      <c r="E1105" s="4" t="e" vm="269">
        <f>IF($C1105="","",_xlfn.XLOOKUP($C1105,Order!$C:$C,Order!$E:$E,"",0,1))</f>
        <v>#VALUE!</v>
      </c>
      <c r="F1105" s="4">
        <f>IF($C1105="","",_xlfn.XLOOKUP($C1105,Order!$C:$C,Order!$F:$F,"",0,1))</f>
        <v>6000</v>
      </c>
      <c r="G1105" s="4" t="str">
        <f>IF($C1105="","",_xlfn.XLOOKUP($C1105,Order!$C:$C,Order!$G:$G,"",0,1))</f>
        <v>6063T5</v>
      </c>
      <c r="H1105" s="4">
        <f>IF($C1105="","",_xlfn.XLOOKUP($C1105,Order!$C:$C,Order!$H:$H,"",0,1))</f>
        <v>0.32500000000000001</v>
      </c>
      <c r="I1105" s="36">
        <f>IF($C1105="","",_xlfn.XLOOKUP($C1105,Order!$C:$C,Order!$L:$L,"",0,1))</f>
        <v>0</v>
      </c>
      <c r="J1105" s="4" t="str">
        <f>IF(C1105="","",Order!$L$16)</f>
        <v>BRONZE ANODIZED (FAYP03)</v>
      </c>
      <c r="K1105" s="36">
        <f>IF($C1105="","",_xlfn.XLOOKUP($C1105,Order!$C:$C,Order!$P:$P,"",0,1))</f>
        <v>0</v>
      </c>
      <c r="L1105" s="4">
        <f t="shared" si="17"/>
        <v>0</v>
      </c>
    </row>
    <row r="1106" spans="2:12" ht="23.25" hidden="1" customHeight="1" x14ac:dyDescent="0.25">
      <c r="B1106" s="4">
        <v>1101</v>
      </c>
      <c r="C1106" s="36" t="str">
        <f>IF(Order!$C$82="","",Order!$C$82)</f>
        <v>AF055</v>
      </c>
      <c r="D1106" s="36" t="str">
        <f>IF($C1106="","",_xlfn.XLOOKUP($C1106,Order!$C:$C,Order!$D:$D,"",0,1))</f>
        <v>AF055</v>
      </c>
      <c r="E1106" s="4" t="e" vm="270">
        <f>IF($C1106="","",_xlfn.XLOOKUP($C1106,Order!$C:$C,Order!$E:$E,"",0,1))</f>
        <v>#VALUE!</v>
      </c>
      <c r="F1106" s="4">
        <f>IF($C1106="","",_xlfn.XLOOKUP($C1106,Order!$C:$C,Order!$F:$F,"",0,1))</f>
        <v>6000</v>
      </c>
      <c r="G1106" s="4" t="str">
        <f>IF($C1106="","",_xlfn.XLOOKUP($C1106,Order!$C:$C,Order!$G:$G,"",0,1))</f>
        <v>6063T5</v>
      </c>
      <c r="H1106" s="4">
        <f>IF($C1106="","",_xlfn.XLOOKUP($C1106,Order!$C:$C,Order!$H:$H,"",0,1))</f>
        <v>0.26400000000000001</v>
      </c>
      <c r="I1106" s="36">
        <f>IF($C1106="","",_xlfn.XLOOKUP($C1106,Order!$C:$C,Order!$L:$L,"",0,1))</f>
        <v>0</v>
      </c>
      <c r="J1106" s="4" t="str">
        <f>IF(C1106="","",Order!$L$16)</f>
        <v>BRONZE ANODIZED (FAYP03)</v>
      </c>
      <c r="K1106" s="36">
        <f>IF($C1106="","",_xlfn.XLOOKUP($C1106,Order!$C:$C,Order!$P:$P,"",0,1))</f>
        <v>0</v>
      </c>
      <c r="L1106" s="4">
        <f t="shared" si="17"/>
        <v>0</v>
      </c>
    </row>
    <row r="1107" spans="2:12" ht="23.25" hidden="1" customHeight="1" x14ac:dyDescent="0.25">
      <c r="B1107" s="4">
        <v>1102</v>
      </c>
      <c r="C1107" s="36" t="str">
        <f>IF(Order!$C$83="","",Order!$C$83)</f>
        <v>AF056</v>
      </c>
      <c r="D1107" s="36" t="str">
        <f>IF($C1107="","",_xlfn.XLOOKUP($C1107,Order!$C:$C,Order!$D:$D,"",0,1))</f>
        <v>AF056</v>
      </c>
      <c r="E1107" s="4" t="e" vm="271">
        <f>IF($C1107="","",_xlfn.XLOOKUP($C1107,Order!$C:$C,Order!$E:$E,"",0,1))</f>
        <v>#VALUE!</v>
      </c>
      <c r="F1107" s="4">
        <f>IF($C1107="","",_xlfn.XLOOKUP($C1107,Order!$C:$C,Order!$F:$F,"",0,1))</f>
        <v>6000</v>
      </c>
      <c r="G1107" s="4" t="str">
        <f>IF($C1107="","",_xlfn.XLOOKUP($C1107,Order!$C:$C,Order!$G:$G,"",0,1))</f>
        <v>6063T5</v>
      </c>
      <c r="H1107" s="4">
        <f>IF($C1107="","",_xlfn.XLOOKUP($C1107,Order!$C:$C,Order!$H:$H,"",0,1))</f>
        <v>0</v>
      </c>
      <c r="I1107" s="36">
        <f>IF($C1107="","",_xlfn.XLOOKUP($C1107,Order!$C:$C,Order!$L:$L,"",0,1))</f>
        <v>0</v>
      </c>
      <c r="J1107" s="4" t="str">
        <f>IF(C1107="","",Order!$L$16)</f>
        <v>BRONZE ANODIZED (FAYP03)</v>
      </c>
      <c r="K1107" s="36">
        <f>IF($C1107="","",_xlfn.XLOOKUP($C1107,Order!$C:$C,Order!$P:$P,"",0,1))</f>
        <v>0</v>
      </c>
      <c r="L1107" s="4">
        <f t="shared" si="17"/>
        <v>0</v>
      </c>
    </row>
    <row r="1108" spans="2:12" ht="23.25" hidden="1" customHeight="1" x14ac:dyDescent="0.25">
      <c r="B1108" s="4">
        <v>1103</v>
      </c>
      <c r="C1108" s="36" t="str">
        <f>IF(Order!$C$84="","",Order!$C$84)</f>
        <v>AF057</v>
      </c>
      <c r="D1108" s="36" t="str">
        <f>IF($C1108="","",_xlfn.XLOOKUP($C1108,Order!$C:$C,Order!$D:$D,"",0,1))</f>
        <v>AF057</v>
      </c>
      <c r="E1108" s="4" t="e" vm="272">
        <f>IF($C1108="","",_xlfn.XLOOKUP($C1108,Order!$C:$C,Order!$E:$E,"",0,1))</f>
        <v>#VALUE!</v>
      </c>
      <c r="F1108" s="4">
        <f>IF($C1108="","",_xlfn.XLOOKUP($C1108,Order!$C:$C,Order!$F:$F,"",0,1))</f>
        <v>6000</v>
      </c>
      <c r="G1108" s="4" t="str">
        <f>IF($C1108="","",_xlfn.XLOOKUP($C1108,Order!$C:$C,Order!$G:$G,"",0,1))</f>
        <v>6063T5</v>
      </c>
      <c r="H1108" s="4">
        <f>IF($C1108="","",_xlfn.XLOOKUP($C1108,Order!$C:$C,Order!$H:$H,"",0,1))</f>
        <v>0.39100000000000001</v>
      </c>
      <c r="I1108" s="36">
        <f>IF($C1108="","",_xlfn.XLOOKUP($C1108,Order!$C:$C,Order!$L:$L,"",0,1))</f>
        <v>0</v>
      </c>
      <c r="J1108" s="4" t="str">
        <f>IF(C1108="","",Order!$L$16)</f>
        <v>BRONZE ANODIZED (FAYP03)</v>
      </c>
      <c r="K1108" s="36">
        <f>IF($C1108="","",_xlfn.XLOOKUP($C1108,Order!$C:$C,Order!$P:$P,"",0,1))</f>
        <v>0</v>
      </c>
      <c r="L1108" s="4">
        <f t="shared" si="17"/>
        <v>0</v>
      </c>
    </row>
    <row r="1109" spans="2:12" ht="23.25" hidden="1" customHeight="1" x14ac:dyDescent="0.25">
      <c r="B1109" s="4">
        <v>1104</v>
      </c>
      <c r="C1109" s="36" t="str">
        <f>IF(Order!$C$85="","",Order!$C$85)</f>
        <v>AF059</v>
      </c>
      <c r="D1109" s="36" t="str">
        <f>IF($C1109="","",_xlfn.XLOOKUP($C1109,Order!$C:$C,Order!$D:$D,"",0,1))</f>
        <v>AF059</v>
      </c>
      <c r="E1109" s="4" t="e" vm="273">
        <f>IF($C1109="","",_xlfn.XLOOKUP($C1109,Order!$C:$C,Order!$E:$E,"",0,1))</f>
        <v>#VALUE!</v>
      </c>
      <c r="F1109" s="4">
        <f>IF($C1109="","",_xlfn.XLOOKUP($C1109,Order!$C:$C,Order!$F:$F,"",0,1))</f>
        <v>6000</v>
      </c>
      <c r="G1109" s="4" t="str">
        <f>IF($C1109="","",_xlfn.XLOOKUP($C1109,Order!$C:$C,Order!$G:$G,"",0,1))</f>
        <v>6063T5</v>
      </c>
      <c r="H1109" s="4">
        <f>IF($C1109="","",_xlfn.XLOOKUP($C1109,Order!$C:$C,Order!$H:$H,"",0,1))</f>
        <v>0.443</v>
      </c>
      <c r="I1109" s="36">
        <f>IF($C1109="","",_xlfn.XLOOKUP($C1109,Order!$C:$C,Order!$L:$L,"",0,1))</f>
        <v>0</v>
      </c>
      <c r="J1109" s="4" t="str">
        <f>IF(C1109="","",Order!$L$16)</f>
        <v>BRONZE ANODIZED (FAYP03)</v>
      </c>
      <c r="K1109" s="36">
        <f>IF($C1109="","",_xlfn.XLOOKUP($C1109,Order!$C:$C,Order!$P:$P,"",0,1))</f>
        <v>0</v>
      </c>
      <c r="L1109" s="4">
        <f t="shared" si="17"/>
        <v>0</v>
      </c>
    </row>
    <row r="1110" spans="2:12" ht="23.25" hidden="1" customHeight="1" x14ac:dyDescent="0.25">
      <c r="B1110" s="4">
        <v>1105</v>
      </c>
      <c r="C1110" s="36" t="str">
        <f>IF(Order!$C$86="","",Order!$C$86)</f>
        <v>AF060</v>
      </c>
      <c r="D1110" s="36" t="str">
        <f>IF($C1110="","",_xlfn.XLOOKUP($C1110,Order!$C:$C,Order!$D:$D,"",0,1))</f>
        <v>AF060</v>
      </c>
      <c r="E1110" s="4" t="e" vm="274">
        <f>IF($C1110="","",_xlfn.XLOOKUP($C1110,Order!$C:$C,Order!$E:$E,"",0,1))</f>
        <v>#VALUE!</v>
      </c>
      <c r="F1110" s="4">
        <f>IF($C1110="","",_xlfn.XLOOKUP($C1110,Order!$C:$C,Order!$F:$F,"",0,1))</f>
        <v>6000</v>
      </c>
      <c r="G1110" s="4" t="str">
        <f>IF($C1110="","",_xlfn.XLOOKUP($C1110,Order!$C:$C,Order!$G:$G,"",0,1))</f>
        <v>6063T5</v>
      </c>
      <c r="H1110" s="4">
        <f>IF($C1110="","",_xlfn.XLOOKUP($C1110,Order!$C:$C,Order!$H:$H,"",0,1))</f>
        <v>0.45200000000000001</v>
      </c>
      <c r="I1110" s="36">
        <f>IF($C1110="","",_xlfn.XLOOKUP($C1110,Order!$C:$C,Order!$L:$L,"",0,1))</f>
        <v>0</v>
      </c>
      <c r="J1110" s="4" t="str">
        <f>IF(C1110="","",Order!$L$16)</f>
        <v>BRONZE ANODIZED (FAYP03)</v>
      </c>
      <c r="K1110" s="36">
        <f>IF($C1110="","",_xlfn.XLOOKUP($C1110,Order!$C:$C,Order!$P:$P,"",0,1))</f>
        <v>0</v>
      </c>
      <c r="L1110" s="4">
        <f t="shared" si="17"/>
        <v>0</v>
      </c>
    </row>
    <row r="1111" spans="2:12" ht="23.25" hidden="1" customHeight="1" x14ac:dyDescent="0.25">
      <c r="B1111" s="4">
        <v>1106</v>
      </c>
      <c r="C1111" s="36" t="str">
        <f>IF(Order!$C$87="","",Order!$C$87)</f>
        <v>AF061 15E</v>
      </c>
      <c r="D1111" s="36" t="str">
        <f>IF($C1111="","",_xlfn.XLOOKUP($C1111,Order!$C:$C,Order!$D:$D,"",0,1))</f>
        <v>AF 061 15E</v>
      </c>
      <c r="E1111" s="4" t="e" vm="275">
        <f>IF($C1111="","",_xlfn.XLOOKUP($C1111,Order!$C:$C,Order!$E:$E,"",0,1))</f>
        <v>#VALUE!</v>
      </c>
      <c r="F1111" s="4">
        <f>IF($C1111="","",_xlfn.XLOOKUP($C1111,Order!$C:$C,Order!$F:$F,"",0,1))</f>
        <v>6000</v>
      </c>
      <c r="G1111" s="4" t="str">
        <f>IF($C1111="","",_xlfn.XLOOKUP($C1111,Order!$C:$C,Order!$G:$G,"",0,1))</f>
        <v>6063T5</v>
      </c>
      <c r="H1111" s="4">
        <f>IF($C1111="","",_xlfn.XLOOKUP($C1111,Order!$C:$C,Order!$H:$H,"",0,1))</f>
        <v>0.20200000000000001</v>
      </c>
      <c r="I1111" s="36">
        <f>IF($C1111="","",_xlfn.XLOOKUP($C1111,Order!$C:$C,Order!$L:$L,"",0,1))</f>
        <v>0</v>
      </c>
      <c r="J1111" s="4" t="str">
        <f>IF(C1111="","",Order!$L$16)</f>
        <v>BRONZE ANODIZED (FAYP03)</v>
      </c>
      <c r="K1111" s="36">
        <f>IF($C1111="","",_xlfn.XLOOKUP($C1111,Order!$C:$C,Order!$P:$P,"",0,1))</f>
        <v>0</v>
      </c>
      <c r="L1111" s="4">
        <f t="shared" si="17"/>
        <v>0</v>
      </c>
    </row>
    <row r="1112" spans="2:12" ht="23.25" hidden="1" customHeight="1" x14ac:dyDescent="0.25">
      <c r="B1112" s="4">
        <v>1107</v>
      </c>
      <c r="C1112" s="36" t="str">
        <f>IF(Order!$C$88="","",Order!$C$88)</f>
        <v>AF061 15</v>
      </c>
      <c r="D1112" s="36" t="str">
        <f>IF($C1112="","",_xlfn.XLOOKUP($C1112,Order!$C:$C,Order!$D:$D,"",0,1))</f>
        <v>AF061 15</v>
      </c>
      <c r="E1112" s="4" t="e" vm="276">
        <f>IF($C1112="","",_xlfn.XLOOKUP($C1112,Order!$C:$C,Order!$E:$E,"",0,1))</f>
        <v>#VALUE!</v>
      </c>
      <c r="F1112" s="4">
        <f>IF($C1112="","",_xlfn.XLOOKUP($C1112,Order!$C:$C,Order!$F:$F,"",0,1))</f>
        <v>6000</v>
      </c>
      <c r="G1112" s="4" t="str">
        <f>IF($C1112="","",_xlfn.XLOOKUP($C1112,Order!$C:$C,Order!$G:$G,"",0,1))</f>
        <v>6063T5</v>
      </c>
      <c r="H1112" s="4">
        <f>IF($C1112="","",_xlfn.XLOOKUP($C1112,Order!$C:$C,Order!$H:$H,"",0,1))</f>
        <v>0.36399999999999999</v>
      </c>
      <c r="I1112" s="36">
        <f>IF($C1112="","",_xlfn.XLOOKUP($C1112,Order!$C:$C,Order!$L:$L,"",0,1))</f>
        <v>0</v>
      </c>
      <c r="J1112" s="4" t="str">
        <f>IF(C1112="","",Order!$L$16)</f>
        <v>BRONZE ANODIZED (FAYP03)</v>
      </c>
      <c r="K1112" s="36">
        <f>IF($C1112="","",_xlfn.XLOOKUP($C1112,Order!$C:$C,Order!$P:$P,"",0,1))</f>
        <v>0</v>
      </c>
      <c r="L1112" s="4">
        <f t="shared" si="17"/>
        <v>0</v>
      </c>
    </row>
    <row r="1113" spans="2:12" ht="23.25" hidden="1" customHeight="1" x14ac:dyDescent="0.25">
      <c r="B1113" s="4">
        <v>1108</v>
      </c>
      <c r="C1113" s="36" t="str">
        <f>IF(Order!$C$89="","",Order!$C$89)</f>
        <v>AF061 18</v>
      </c>
      <c r="D1113" s="36" t="str">
        <f>IF($C1113="","",_xlfn.XLOOKUP($C1113,Order!$C:$C,Order!$D:$D,"",0,1))</f>
        <v>AF061 18</v>
      </c>
      <c r="E1113" s="4" t="e" vm="277">
        <f>IF($C1113="","",_xlfn.XLOOKUP($C1113,Order!$C:$C,Order!$E:$E,"",0,1))</f>
        <v>#VALUE!</v>
      </c>
      <c r="F1113" s="4">
        <f>IF($C1113="","",_xlfn.XLOOKUP($C1113,Order!$C:$C,Order!$F:$F,"",0,1))</f>
        <v>6000</v>
      </c>
      <c r="G1113" s="4" t="str">
        <f>IF($C1113="","",_xlfn.XLOOKUP($C1113,Order!$C:$C,Order!$G:$G,"",0,1))</f>
        <v>6063T5</v>
      </c>
      <c r="H1113" s="4">
        <f>IF($C1113="","",_xlfn.XLOOKUP($C1113,Order!$C:$C,Order!$H:$H,"",0,1))</f>
        <v>0</v>
      </c>
      <c r="I1113" s="36">
        <f>IF($C1113="","",_xlfn.XLOOKUP($C1113,Order!$C:$C,Order!$L:$L,"",0,1))</f>
        <v>0</v>
      </c>
      <c r="J1113" s="4" t="str">
        <f>IF(C1113="","",Order!$L$16)</f>
        <v>BRONZE ANODIZED (FAYP03)</v>
      </c>
      <c r="K1113" s="36">
        <f>IF($C1113="","",_xlfn.XLOOKUP($C1113,Order!$C:$C,Order!$P:$P,"",0,1))</f>
        <v>0</v>
      </c>
      <c r="L1113" s="4">
        <f t="shared" si="17"/>
        <v>0</v>
      </c>
    </row>
    <row r="1114" spans="2:12" ht="23.25" hidden="1" customHeight="1" x14ac:dyDescent="0.25">
      <c r="B1114" s="4">
        <v>1109</v>
      </c>
      <c r="C1114" s="36" t="str">
        <f>IF(Order!$C$90="","",Order!$C$90)</f>
        <v>AF066</v>
      </c>
      <c r="D1114" s="36" t="str">
        <f>IF($C1114="","",_xlfn.XLOOKUP($C1114,Order!$C:$C,Order!$D:$D,"",0,1))</f>
        <v>AF066</v>
      </c>
      <c r="E1114" s="4" t="e" vm="278">
        <f>IF($C1114="","",_xlfn.XLOOKUP($C1114,Order!$C:$C,Order!$E:$E,"",0,1))</f>
        <v>#VALUE!</v>
      </c>
      <c r="F1114" s="4">
        <f>IF($C1114="","",_xlfn.XLOOKUP($C1114,Order!$C:$C,Order!$F:$F,"",0,1))</f>
        <v>6000</v>
      </c>
      <c r="G1114" s="4" t="str">
        <f>IF($C1114="","",_xlfn.XLOOKUP($C1114,Order!$C:$C,Order!$G:$G,"",0,1))</f>
        <v>6063T5</v>
      </c>
      <c r="H1114" s="4">
        <f>IF($C1114="","",_xlfn.XLOOKUP($C1114,Order!$C:$C,Order!$H:$H,"",0,1))</f>
        <v>0</v>
      </c>
      <c r="I1114" s="36">
        <f>IF($C1114="","",_xlfn.XLOOKUP($C1114,Order!$C:$C,Order!$L:$L,"",0,1))</f>
        <v>0</v>
      </c>
      <c r="J1114" s="4" t="str">
        <f>IF(C1114="","",Order!$L$16)</f>
        <v>BRONZE ANODIZED (FAYP03)</v>
      </c>
      <c r="K1114" s="36">
        <f>IF($C1114="","",_xlfn.XLOOKUP($C1114,Order!$C:$C,Order!$P:$P,"",0,1))</f>
        <v>0</v>
      </c>
      <c r="L1114" s="4">
        <f t="shared" si="17"/>
        <v>0</v>
      </c>
    </row>
    <row r="1115" spans="2:12" ht="23.25" hidden="1" customHeight="1" x14ac:dyDescent="0.25">
      <c r="B1115" s="4">
        <v>1110</v>
      </c>
      <c r="C1115" s="36" t="str">
        <f>IF(Order!$C$91="","",Order!$C$91)</f>
        <v>AFY-15</v>
      </c>
      <c r="D1115" s="36" t="str">
        <f>IF($C1115="","",_xlfn.XLOOKUP($C1115,Order!$C:$C,Order!$D:$D,"",0,1))</f>
        <v>AFY-15</v>
      </c>
      <c r="E1115" s="4" t="e" vm="279">
        <f>IF($C1115="","",_xlfn.XLOOKUP($C1115,Order!$C:$C,Order!$E:$E,"",0,1))</f>
        <v>#VALUE!</v>
      </c>
      <c r="F1115" s="4">
        <f>IF($C1115="","",_xlfn.XLOOKUP($C1115,Order!$C:$C,Order!$F:$F,"",0,1))</f>
        <v>6000</v>
      </c>
      <c r="G1115" s="4" t="str">
        <f>IF($C1115="","",_xlfn.XLOOKUP($C1115,Order!$C:$C,Order!$G:$G,"",0,1))</f>
        <v>6063T5</v>
      </c>
      <c r="H1115" s="4">
        <f>IF($C1115="","",_xlfn.XLOOKUP($C1115,Order!$C:$C,Order!$H:$H,"",0,1))</f>
        <v>0.308</v>
      </c>
      <c r="I1115" s="36">
        <f>IF($C1115="","",_xlfn.XLOOKUP($C1115,Order!$C:$C,Order!$L:$L,"",0,1))</f>
        <v>0</v>
      </c>
      <c r="J1115" s="4" t="str">
        <f>IF(C1115="","",Order!$L$16)</f>
        <v>BRONZE ANODIZED (FAYP03)</v>
      </c>
      <c r="K1115" s="36">
        <f>IF($C1115="","",_xlfn.XLOOKUP($C1115,Order!$C:$C,Order!$P:$P,"",0,1))</f>
        <v>0</v>
      </c>
      <c r="L1115" s="4">
        <f t="shared" si="17"/>
        <v>0</v>
      </c>
    </row>
    <row r="1116" spans="2:12" ht="23.25" hidden="1" customHeight="1" x14ac:dyDescent="0.25">
      <c r="B1116" s="4">
        <v>1111</v>
      </c>
      <c r="C1116" s="36" t="str">
        <f>IF(Order!$C$92="","",Order!$C$92)</f>
        <v>BX275</v>
      </c>
      <c r="D1116" s="36" t="str">
        <f>IF($C1116="","",_xlfn.XLOOKUP($C1116,Order!$C:$C,Order!$D:$D,"",0,1))</f>
        <v>BX275</v>
      </c>
      <c r="E1116" s="4" t="e" vm="280">
        <f>IF($C1116="","",_xlfn.XLOOKUP($C1116,Order!$C:$C,Order!$E:$E,"",0,1))</f>
        <v>#VALUE!</v>
      </c>
      <c r="F1116" s="4">
        <f>IF($C1116="","",_xlfn.XLOOKUP($C1116,Order!$C:$C,Order!$F:$F,"",0,1))</f>
        <v>6000</v>
      </c>
      <c r="G1116" s="4" t="str">
        <f>IF($C1116="","",_xlfn.XLOOKUP($C1116,Order!$C:$C,Order!$G:$G,"",0,1))</f>
        <v>6063T5</v>
      </c>
      <c r="H1116" s="4">
        <f>IF($C1116="","",_xlfn.XLOOKUP($C1116,Order!$C:$C,Order!$H:$H,"",0,1))</f>
        <v>0.72299999999999998</v>
      </c>
      <c r="I1116" s="36">
        <f>IF($C1116="","",_xlfn.XLOOKUP($C1116,Order!$C:$C,Order!$L:$L,"",0,1))</f>
        <v>0</v>
      </c>
      <c r="J1116" s="4" t="str">
        <f>IF(C1116="","",Order!$L$16)</f>
        <v>BRONZE ANODIZED (FAYP03)</v>
      </c>
      <c r="K1116" s="36">
        <f>IF($C1116="","",_xlfn.XLOOKUP($C1116,Order!$C:$C,Order!$P:$P,"",0,1))</f>
        <v>0</v>
      </c>
      <c r="L1116" s="4">
        <f t="shared" si="17"/>
        <v>0</v>
      </c>
    </row>
    <row r="1117" spans="2:12" ht="23.25" hidden="1" customHeight="1" x14ac:dyDescent="0.25">
      <c r="B1117" s="4">
        <v>1112</v>
      </c>
      <c r="C1117" s="36" t="str">
        <f>IF(Order!$C$93="","",Order!$C$93)</f>
        <v>DV021</v>
      </c>
      <c r="D1117" s="36" t="str">
        <f>IF($C1117="","",_xlfn.XLOOKUP($C1117,Order!$C:$C,Order!$D:$D,"",0,1))</f>
        <v>DV021</v>
      </c>
      <c r="E1117" s="4" t="e" vm="281">
        <f>IF($C1117="","",_xlfn.XLOOKUP($C1117,Order!$C:$C,Order!$E:$E,"",0,1))</f>
        <v>#VALUE!</v>
      </c>
      <c r="F1117" s="4">
        <f>IF($C1117="","",_xlfn.XLOOKUP($C1117,Order!$C:$C,Order!$F:$F,"",0,1))</f>
        <v>6000</v>
      </c>
      <c r="G1117" s="4" t="str">
        <f>IF($C1117="","",_xlfn.XLOOKUP($C1117,Order!$C:$C,Order!$G:$G,"",0,1))</f>
        <v>6063T5</v>
      </c>
      <c r="H1117" s="4">
        <f>IF($C1117="","",_xlfn.XLOOKUP($C1117,Order!$C:$C,Order!$H:$H,"",0,1))</f>
        <v>0.32800000000000001</v>
      </c>
      <c r="I1117" s="36">
        <f>IF($C1117="","",_xlfn.XLOOKUP($C1117,Order!$C:$C,Order!$L:$L,"",0,1))</f>
        <v>0</v>
      </c>
      <c r="J1117" s="4" t="str">
        <f>IF(C1117="","",Order!$L$16)</f>
        <v>BRONZE ANODIZED (FAYP03)</v>
      </c>
      <c r="K1117" s="36">
        <f>IF($C1117="","",_xlfn.XLOOKUP($C1117,Order!$C:$C,Order!$P:$P,"",0,1))</f>
        <v>0</v>
      </c>
      <c r="L1117" s="4">
        <f t="shared" si="17"/>
        <v>0</v>
      </c>
    </row>
    <row r="1118" spans="2:12" ht="23.25" hidden="1" customHeight="1" x14ac:dyDescent="0.25">
      <c r="B1118" s="4">
        <v>1113</v>
      </c>
      <c r="C1118" s="36" t="str">
        <f>IF(Order!$C$94="","",Order!$C$94)</f>
        <v>DV021A</v>
      </c>
      <c r="D1118" s="36" t="str">
        <f>IF($C1118="","",_xlfn.XLOOKUP($C1118,Order!$C:$C,Order!$D:$D,"",0,1))</f>
        <v>DV021A</v>
      </c>
      <c r="E1118" s="4" t="e" vm="282">
        <f>IF($C1118="","",_xlfn.XLOOKUP($C1118,Order!$C:$C,Order!$E:$E,"",0,1))</f>
        <v>#VALUE!</v>
      </c>
      <c r="F1118" s="4">
        <f>IF($C1118="","",_xlfn.XLOOKUP($C1118,Order!$C:$C,Order!$F:$F,"",0,1))</f>
        <v>6000</v>
      </c>
      <c r="G1118" s="4" t="str">
        <f>IF($C1118="","",_xlfn.XLOOKUP($C1118,Order!$C:$C,Order!$G:$G,"",0,1))</f>
        <v>6063T5</v>
      </c>
      <c r="H1118" s="4">
        <f>IF($C1118="","",_xlfn.XLOOKUP($C1118,Order!$C:$C,Order!$H:$H,"",0,1))</f>
        <v>0.317</v>
      </c>
      <c r="I1118" s="36">
        <f>IF($C1118="","",_xlfn.XLOOKUP($C1118,Order!$C:$C,Order!$L:$L,"",0,1))</f>
        <v>0</v>
      </c>
      <c r="J1118" s="4" t="str">
        <f>IF(C1118="","",Order!$L$16)</f>
        <v>BRONZE ANODIZED (FAYP03)</v>
      </c>
      <c r="K1118" s="36">
        <f>IF($C1118="","",_xlfn.XLOOKUP($C1118,Order!$C:$C,Order!$P:$P,"",0,1))</f>
        <v>0</v>
      </c>
      <c r="L1118" s="4">
        <f t="shared" si="17"/>
        <v>0</v>
      </c>
    </row>
    <row r="1119" spans="2:12" ht="23.25" hidden="1" customHeight="1" x14ac:dyDescent="0.25">
      <c r="B1119" s="4">
        <v>1114</v>
      </c>
      <c r="C1119" s="36" t="str">
        <f>IF(Order!$C$95="","",Order!$C$95)</f>
        <v>DV022</v>
      </c>
      <c r="D1119" s="36" t="str">
        <f>IF($C1119="","",_xlfn.XLOOKUP($C1119,Order!$C:$C,Order!$D:$D,"",0,1))</f>
        <v>DV022</v>
      </c>
      <c r="E1119" s="4" t="e" vm="283">
        <f>IF($C1119="","",_xlfn.XLOOKUP($C1119,Order!$C:$C,Order!$E:$E,"",0,1))</f>
        <v>#VALUE!</v>
      </c>
      <c r="F1119" s="4">
        <f>IF($C1119="","",_xlfn.XLOOKUP($C1119,Order!$C:$C,Order!$F:$F,"",0,1))</f>
        <v>6000</v>
      </c>
      <c r="G1119" s="4" t="str">
        <f>IF($C1119="","",_xlfn.XLOOKUP($C1119,Order!$C:$C,Order!$G:$G,"",0,1))</f>
        <v>6063T5</v>
      </c>
      <c r="H1119" s="4">
        <f>IF($C1119="","",_xlfn.XLOOKUP($C1119,Order!$C:$C,Order!$H:$H,"",0,1))</f>
        <v>0.32400000000000001</v>
      </c>
      <c r="I1119" s="36">
        <f>IF($C1119="","",_xlfn.XLOOKUP($C1119,Order!$C:$C,Order!$L:$L,"",0,1))</f>
        <v>0</v>
      </c>
      <c r="J1119" s="4" t="str">
        <f>IF(C1119="","",Order!$L$16)</f>
        <v>BRONZE ANODIZED (FAYP03)</v>
      </c>
      <c r="K1119" s="36">
        <f>IF($C1119="","",_xlfn.XLOOKUP($C1119,Order!$C:$C,Order!$P:$P,"",0,1))</f>
        <v>0</v>
      </c>
      <c r="L1119" s="4">
        <f t="shared" si="17"/>
        <v>0</v>
      </c>
    </row>
    <row r="1120" spans="2:12" ht="23.25" hidden="1" customHeight="1" x14ac:dyDescent="0.25">
      <c r="B1120" s="4">
        <v>1115</v>
      </c>
      <c r="C1120" s="36" t="str">
        <f>IF(Order!$C$96="","",Order!$C$96)</f>
        <v>DV185</v>
      </c>
      <c r="D1120" s="36" t="str">
        <f>IF($C1120="","",_xlfn.XLOOKUP($C1120,Order!$C:$C,Order!$D:$D,"",0,1))</f>
        <v>DV185</v>
      </c>
      <c r="E1120" s="4" t="e" vm="284">
        <f>IF($C1120="","",_xlfn.XLOOKUP($C1120,Order!$C:$C,Order!$E:$E,"",0,1))</f>
        <v>#VALUE!</v>
      </c>
      <c r="F1120" s="4">
        <f>IF($C1120="","",_xlfn.XLOOKUP($C1120,Order!$C:$C,Order!$F:$F,"",0,1))</f>
        <v>6000</v>
      </c>
      <c r="G1120" s="4" t="str">
        <f>IF($C1120="","",_xlfn.XLOOKUP($C1120,Order!$C:$C,Order!$G:$G,"",0,1))</f>
        <v>6063T5</v>
      </c>
      <c r="H1120" s="4">
        <f>IF($C1120="","",_xlfn.XLOOKUP($C1120,Order!$C:$C,Order!$H:$H,"",0,1))</f>
        <v>0.34499999999999997</v>
      </c>
      <c r="I1120" s="36">
        <f>IF($C1120="","",_xlfn.XLOOKUP($C1120,Order!$C:$C,Order!$L:$L,"",0,1))</f>
        <v>0</v>
      </c>
      <c r="J1120" s="4" t="str">
        <f>IF(C1120="","",Order!$L$16)</f>
        <v>BRONZE ANODIZED (FAYP03)</v>
      </c>
      <c r="K1120" s="36">
        <f>IF($C1120="","",_xlfn.XLOOKUP($C1120,Order!$C:$C,Order!$P:$P,"",0,1))</f>
        <v>0</v>
      </c>
      <c r="L1120" s="4">
        <f t="shared" si="17"/>
        <v>0</v>
      </c>
    </row>
    <row r="1121" spans="2:12" ht="23.25" hidden="1" customHeight="1" x14ac:dyDescent="0.25">
      <c r="B1121" s="4">
        <v>1116</v>
      </c>
      <c r="C1121" s="36" t="str">
        <f>IF(Order!$C$97="","",Order!$C$97)</f>
        <v>DV389</v>
      </c>
      <c r="D1121" s="36" t="str">
        <f>IF($C1121="","",_xlfn.XLOOKUP($C1121,Order!$C:$C,Order!$D:$D,"",0,1))</f>
        <v>DV389</v>
      </c>
      <c r="E1121" s="4" t="e" vm="285">
        <f>IF($C1121="","",_xlfn.XLOOKUP($C1121,Order!$C:$C,Order!$E:$E,"",0,1))</f>
        <v>#VALUE!</v>
      </c>
      <c r="F1121" s="4">
        <f>IF($C1121="","",_xlfn.XLOOKUP($C1121,Order!$C:$C,Order!$F:$F,"",0,1))</f>
        <v>6000</v>
      </c>
      <c r="G1121" s="4" t="str">
        <f>IF($C1121="","",_xlfn.XLOOKUP($C1121,Order!$C:$C,Order!$G:$G,"",0,1))</f>
        <v>6063T5</v>
      </c>
      <c r="H1121" s="4">
        <f>IF($C1121="","",_xlfn.XLOOKUP($C1121,Order!$C:$C,Order!$H:$H,"",0,1))</f>
        <v>0.79700000000000004</v>
      </c>
      <c r="I1121" s="36">
        <f>IF($C1121="","",_xlfn.XLOOKUP($C1121,Order!$C:$C,Order!$L:$L,"",0,1))</f>
        <v>0</v>
      </c>
      <c r="J1121" s="4" t="str">
        <f>IF(C1121="","",Order!$L$16)</f>
        <v>BRONZE ANODIZED (FAYP03)</v>
      </c>
      <c r="K1121" s="36">
        <f>IF($C1121="","",_xlfn.XLOOKUP($C1121,Order!$C:$C,Order!$P:$P,"",0,1))</f>
        <v>0</v>
      </c>
      <c r="L1121" s="4">
        <f t="shared" si="17"/>
        <v>0</v>
      </c>
    </row>
    <row r="1122" spans="2:12" ht="23.25" hidden="1" customHeight="1" x14ac:dyDescent="0.25">
      <c r="B1122" s="4">
        <v>1117</v>
      </c>
      <c r="C1122" s="36" t="str">
        <f>IF(Order!$C$98="","",Order!$C$98)</f>
        <v>BX628</v>
      </c>
      <c r="D1122" s="36" t="str">
        <f>IF($C1122="","",_xlfn.XLOOKUP($C1122,Order!$C:$C,Order!$D:$D,"",0,1))</f>
        <v>BX628</v>
      </c>
      <c r="E1122" s="4" t="e" vm="286">
        <f>IF($C1122="","",_xlfn.XLOOKUP($C1122,Order!$C:$C,Order!$E:$E,"",0,1))</f>
        <v>#VALUE!</v>
      </c>
      <c r="F1122" s="4">
        <f>IF($C1122="","",_xlfn.XLOOKUP($C1122,Order!$C:$C,Order!$F:$F,"",0,1))</f>
        <v>6000</v>
      </c>
      <c r="G1122" s="4" t="str">
        <f>IF($C1122="","",_xlfn.XLOOKUP($C1122,Order!$C:$C,Order!$G:$G,"",0,1))</f>
        <v>6063T5</v>
      </c>
      <c r="H1122" s="4">
        <f>IF($C1122="","",_xlfn.XLOOKUP($C1122,Order!$C:$C,Order!$H:$H,"",0,1))</f>
        <v>0.42199999999999999</v>
      </c>
      <c r="I1122" s="36">
        <f>IF($C1122="","",_xlfn.XLOOKUP($C1122,Order!$C:$C,Order!$L:$L,"",0,1))</f>
        <v>0</v>
      </c>
      <c r="J1122" s="4" t="str">
        <f>IF(C1122="","",Order!$L$16)</f>
        <v>BRONZE ANODIZED (FAYP03)</v>
      </c>
      <c r="K1122" s="36">
        <f>IF($C1122="","",_xlfn.XLOOKUP($C1122,Order!$C:$C,Order!$P:$P,"",0,1))</f>
        <v>0</v>
      </c>
      <c r="L1122" s="4">
        <f t="shared" si="17"/>
        <v>0</v>
      </c>
    </row>
    <row r="1123" spans="2:12" ht="23.25" hidden="1" customHeight="1" x14ac:dyDescent="0.25">
      <c r="B1123" s="4">
        <v>1118</v>
      </c>
      <c r="C1123" s="36" t="str">
        <f>IF(Order!$C$99="","",Order!$C$99)</f>
        <v>BX705</v>
      </c>
      <c r="D1123" s="36" t="str">
        <f>IF($C1123="","",_xlfn.XLOOKUP($C1123,Order!$C:$C,Order!$D:$D,"",0,1))</f>
        <v>BX705</v>
      </c>
      <c r="E1123" s="4" t="e" vm="287">
        <f>IF($C1123="","",_xlfn.XLOOKUP($C1123,Order!$C:$C,Order!$E:$E,"",0,1))</f>
        <v>#VALUE!</v>
      </c>
      <c r="F1123" s="4">
        <f>IF($C1123="","",_xlfn.XLOOKUP($C1123,Order!$C:$C,Order!$F:$F,"",0,1))</f>
        <v>6000</v>
      </c>
      <c r="G1123" s="4" t="str">
        <f>IF($C1123="","",_xlfn.XLOOKUP($C1123,Order!$C:$C,Order!$G:$G,"",0,1))</f>
        <v>6063T5</v>
      </c>
      <c r="H1123" s="4">
        <f>IF($C1123="","",_xlfn.XLOOKUP($C1123,Order!$C:$C,Order!$H:$H,"",0,1))</f>
        <v>0.21199999999999999</v>
      </c>
      <c r="I1123" s="36">
        <f>IF($C1123="","",_xlfn.XLOOKUP($C1123,Order!$C:$C,Order!$L:$L,"",0,1))</f>
        <v>0</v>
      </c>
      <c r="J1123" s="4" t="str">
        <f>IF(C1123="","",Order!$L$16)</f>
        <v>BRONZE ANODIZED (FAYP03)</v>
      </c>
      <c r="K1123" s="36">
        <f>IF($C1123="","",_xlfn.XLOOKUP($C1123,Order!$C:$C,Order!$P:$P,"",0,1))</f>
        <v>0</v>
      </c>
      <c r="L1123" s="4">
        <f t="shared" si="17"/>
        <v>0</v>
      </c>
    </row>
    <row r="1124" spans="2:12" ht="23.25" hidden="1" customHeight="1" x14ac:dyDescent="0.25">
      <c r="B1124" s="4">
        <v>1119</v>
      </c>
      <c r="C1124" s="36" t="str">
        <f>IF(Order!$C$100="","",Order!$C$100)</f>
        <v>BX818</v>
      </c>
      <c r="D1124" s="36" t="str">
        <f>IF($C1124="","",_xlfn.XLOOKUP($C1124,Order!$C:$C,Order!$D:$D,"",0,1))</f>
        <v>BX818</v>
      </c>
      <c r="E1124" s="4" t="e" vm="288">
        <f>IF($C1124="","",_xlfn.XLOOKUP($C1124,Order!$C:$C,Order!$E:$E,"",0,1))</f>
        <v>#VALUE!</v>
      </c>
      <c r="F1124" s="4">
        <f>IF($C1124="","",_xlfn.XLOOKUP($C1124,Order!$C:$C,Order!$F:$F,"",0,1))</f>
        <v>6000</v>
      </c>
      <c r="G1124" s="4" t="str">
        <f>IF($C1124="","",_xlfn.XLOOKUP($C1124,Order!$C:$C,Order!$G:$G,"",0,1))</f>
        <v>6063T5</v>
      </c>
      <c r="H1124" s="4">
        <f>IF($C1124="","",_xlfn.XLOOKUP($C1124,Order!$C:$C,Order!$H:$H,"",0,1))</f>
        <v>0</v>
      </c>
      <c r="I1124" s="36">
        <f>IF($C1124="","",_xlfn.XLOOKUP($C1124,Order!$C:$C,Order!$L:$L,"",0,1))</f>
        <v>0</v>
      </c>
      <c r="J1124" s="4" t="str">
        <f>IF(C1124="","",Order!$L$16)</f>
        <v>BRONZE ANODIZED (FAYP03)</v>
      </c>
      <c r="K1124" s="36">
        <f>IF($C1124="","",_xlfn.XLOOKUP($C1124,Order!$C:$C,Order!$P:$P,"",0,1))</f>
        <v>0</v>
      </c>
      <c r="L1124" s="4">
        <f t="shared" si="17"/>
        <v>0</v>
      </c>
    </row>
    <row r="1125" spans="2:12" ht="23.25" hidden="1" customHeight="1" x14ac:dyDescent="0.25">
      <c r="B1125" s="4">
        <v>1120</v>
      </c>
      <c r="C1125" s="36" t="str">
        <f>IF(Order!$C$101="","",Order!$C$101)</f>
        <v>BX819</v>
      </c>
      <c r="D1125" s="36" t="str">
        <f>IF($C1125="","",_xlfn.XLOOKUP($C1125,Order!$C:$C,Order!$D:$D,"",0,1))</f>
        <v>BX819</v>
      </c>
      <c r="E1125" s="4" t="e" vm="289">
        <f>IF($C1125="","",_xlfn.XLOOKUP($C1125,Order!$C:$C,Order!$E:$E,"",0,1))</f>
        <v>#VALUE!</v>
      </c>
      <c r="F1125" s="4">
        <f>IF($C1125="","",_xlfn.XLOOKUP($C1125,Order!$C:$C,Order!$F:$F,"",0,1))</f>
        <v>6000</v>
      </c>
      <c r="G1125" s="4" t="str">
        <f>IF($C1125="","",_xlfn.XLOOKUP($C1125,Order!$C:$C,Order!$G:$G,"",0,1))</f>
        <v>6063T5</v>
      </c>
      <c r="H1125" s="4">
        <f>IF($C1125="","",_xlfn.XLOOKUP($C1125,Order!$C:$C,Order!$H:$H,"",0,1))</f>
        <v>0.216</v>
      </c>
      <c r="I1125" s="36">
        <f>IF($C1125="","",_xlfn.XLOOKUP($C1125,Order!$C:$C,Order!$L:$L,"",0,1))</f>
        <v>0</v>
      </c>
      <c r="J1125" s="4" t="str">
        <f>IF(C1125="","",Order!$L$16)</f>
        <v>BRONZE ANODIZED (FAYP03)</v>
      </c>
      <c r="K1125" s="36">
        <f>IF($C1125="","",_xlfn.XLOOKUP($C1125,Order!$C:$C,Order!$P:$P,"",0,1))</f>
        <v>0</v>
      </c>
      <c r="L1125" s="4">
        <f t="shared" si="17"/>
        <v>0</v>
      </c>
    </row>
    <row r="1126" spans="2:12" ht="23.25" hidden="1" customHeight="1" x14ac:dyDescent="0.25">
      <c r="B1126" s="4">
        <v>1121</v>
      </c>
      <c r="C1126" s="36" t="str">
        <f>IF(Order!$C$102="","",Order!$C$102)</f>
        <v>BX820</v>
      </c>
      <c r="D1126" s="36" t="str">
        <f>IF($C1126="","",_xlfn.XLOOKUP($C1126,Order!$C:$C,Order!$D:$D,"",0,1))</f>
        <v>BX820</v>
      </c>
      <c r="E1126" s="4" t="e" vm="290">
        <f>IF($C1126="","",_xlfn.XLOOKUP($C1126,Order!$C:$C,Order!$E:$E,"",0,1))</f>
        <v>#VALUE!</v>
      </c>
      <c r="F1126" s="4">
        <f>IF($C1126="","",_xlfn.XLOOKUP($C1126,Order!$C:$C,Order!$F:$F,"",0,1))</f>
        <v>6000</v>
      </c>
      <c r="G1126" s="4" t="str">
        <f>IF($C1126="","",_xlfn.XLOOKUP($C1126,Order!$C:$C,Order!$G:$G,"",0,1))</f>
        <v>6063T5</v>
      </c>
      <c r="H1126" s="4">
        <f>IF($C1126="","",_xlfn.XLOOKUP($C1126,Order!$C:$C,Order!$H:$H,"",0,1))</f>
        <v>0.74299999999999999</v>
      </c>
      <c r="I1126" s="36">
        <f>IF($C1126="","",_xlfn.XLOOKUP($C1126,Order!$C:$C,Order!$L:$L,"",0,1))</f>
        <v>0</v>
      </c>
      <c r="J1126" s="4" t="str">
        <f>IF(C1126="","",Order!$L$16)</f>
        <v>BRONZE ANODIZED (FAYP03)</v>
      </c>
      <c r="K1126" s="36">
        <f>IF($C1126="","",_xlfn.XLOOKUP($C1126,Order!$C:$C,Order!$P:$P,"",0,1))</f>
        <v>0</v>
      </c>
      <c r="L1126" s="4">
        <f t="shared" si="17"/>
        <v>0</v>
      </c>
    </row>
    <row r="1127" spans="2:12" ht="23.25" hidden="1" customHeight="1" x14ac:dyDescent="0.25">
      <c r="B1127" s="4">
        <v>1122</v>
      </c>
      <c r="C1127" s="36" t="str">
        <f>IF(Order!$C$103="","",Order!$C$103)</f>
        <v>BX838</v>
      </c>
      <c r="D1127" s="36" t="str">
        <f>IF($C1127="","",_xlfn.XLOOKUP($C1127,Order!$C:$C,Order!$D:$D,"",0,1))</f>
        <v>BX838</v>
      </c>
      <c r="E1127" s="4" t="e" vm="291">
        <f>IF($C1127="","",_xlfn.XLOOKUP($C1127,Order!$C:$C,Order!$E:$E,"",0,1))</f>
        <v>#VALUE!</v>
      </c>
      <c r="F1127" s="4">
        <f>IF($C1127="","",_xlfn.XLOOKUP($C1127,Order!$C:$C,Order!$F:$F,"",0,1))</f>
        <v>6000</v>
      </c>
      <c r="G1127" s="4" t="str">
        <f>IF($C1127="","",_xlfn.XLOOKUP($C1127,Order!$C:$C,Order!$G:$G,"",0,1))</f>
        <v>6063T5</v>
      </c>
      <c r="H1127" s="4">
        <f>IF($C1127="","",_xlfn.XLOOKUP($C1127,Order!$C:$C,Order!$H:$H,"",0,1))</f>
        <v>0.26800000000000002</v>
      </c>
      <c r="I1127" s="36">
        <f>IF($C1127="","",_xlfn.XLOOKUP($C1127,Order!$C:$C,Order!$L:$L,"",0,1))</f>
        <v>0</v>
      </c>
      <c r="J1127" s="4" t="str">
        <f>IF(C1127="","",Order!$L$16)</f>
        <v>BRONZE ANODIZED (FAYP03)</v>
      </c>
      <c r="K1127" s="36">
        <f>IF($C1127="","",_xlfn.XLOOKUP($C1127,Order!$C:$C,Order!$P:$P,"",0,1))</f>
        <v>0</v>
      </c>
      <c r="L1127" s="4">
        <f t="shared" si="17"/>
        <v>0</v>
      </c>
    </row>
    <row r="1128" spans="2:12" ht="23.25" hidden="1" customHeight="1" x14ac:dyDescent="0.25">
      <c r="B1128" s="4">
        <v>1123</v>
      </c>
      <c r="C1128" s="36" t="str">
        <f>IF(Order!$C$104="","",Order!$C$104)</f>
        <v>BX855</v>
      </c>
      <c r="D1128" s="36" t="str">
        <f>IF($C1128="","",_xlfn.XLOOKUP($C1128,Order!$C:$C,Order!$D:$D,"",0,1))</f>
        <v>BX855</v>
      </c>
      <c r="E1128" s="4" t="e" vm="292">
        <f>IF($C1128="","",_xlfn.XLOOKUP($C1128,Order!$C:$C,Order!$E:$E,"",0,1))</f>
        <v>#VALUE!</v>
      </c>
      <c r="F1128" s="4">
        <f>IF($C1128="","",_xlfn.XLOOKUP($C1128,Order!$C:$C,Order!$F:$F,"",0,1))</f>
        <v>6000</v>
      </c>
      <c r="G1128" s="4" t="str">
        <f>IF($C1128="","",_xlfn.XLOOKUP($C1128,Order!$C:$C,Order!$G:$G,"",0,1))</f>
        <v>6063T5</v>
      </c>
      <c r="H1128" s="4">
        <f>IF($C1128="","",_xlfn.XLOOKUP($C1128,Order!$C:$C,Order!$H:$H,"",0,1))</f>
        <v>0.34599999999999997</v>
      </c>
      <c r="I1128" s="36">
        <f>IF($C1128="","",_xlfn.XLOOKUP($C1128,Order!$C:$C,Order!$L:$L,"",0,1))</f>
        <v>0</v>
      </c>
      <c r="J1128" s="4" t="str">
        <f>IF(C1128="","",Order!$L$16)</f>
        <v>BRONZE ANODIZED (FAYP03)</v>
      </c>
      <c r="K1128" s="36">
        <f>IF($C1128="","",_xlfn.XLOOKUP($C1128,Order!$C:$C,Order!$P:$P,"",0,1))</f>
        <v>0</v>
      </c>
      <c r="L1128" s="4">
        <f t="shared" si="17"/>
        <v>0</v>
      </c>
    </row>
    <row r="1129" spans="2:12" ht="23.25" hidden="1" customHeight="1" x14ac:dyDescent="0.25">
      <c r="B1129" s="4">
        <v>1124</v>
      </c>
      <c r="C1129" s="36" t="str">
        <f>IF(Order!$C$105="","",Order!$C$105)</f>
        <v>BX952</v>
      </c>
      <c r="D1129" s="36" t="str">
        <f>IF($C1129="","",_xlfn.XLOOKUP($C1129,Order!$C:$C,Order!$D:$D,"",0,1))</f>
        <v>BX952</v>
      </c>
      <c r="E1129" s="4" t="e" vm="293">
        <f>IF($C1129="","",_xlfn.XLOOKUP($C1129,Order!$C:$C,Order!$E:$E,"",0,1))</f>
        <v>#VALUE!</v>
      </c>
      <c r="F1129" s="4">
        <f>IF($C1129="","",_xlfn.XLOOKUP($C1129,Order!$C:$C,Order!$F:$F,"",0,1))</f>
        <v>6000</v>
      </c>
      <c r="G1129" s="4" t="str">
        <f>IF($C1129="","",_xlfn.XLOOKUP($C1129,Order!$C:$C,Order!$G:$G,"",0,1))</f>
        <v>6063T5</v>
      </c>
      <c r="H1129" s="4">
        <f>IF($C1129="","",_xlfn.XLOOKUP($C1129,Order!$C:$C,Order!$H:$H,"",0,1))</f>
        <v>0.22900000000000001</v>
      </c>
      <c r="I1129" s="36">
        <f>IF($C1129="","",_xlfn.XLOOKUP($C1129,Order!$C:$C,Order!$L:$L,"",0,1))</f>
        <v>0</v>
      </c>
      <c r="J1129" s="4" t="str">
        <f>IF(C1129="","",Order!$L$16)</f>
        <v>BRONZE ANODIZED (FAYP03)</v>
      </c>
      <c r="K1129" s="36">
        <f>IF($C1129="","",_xlfn.XLOOKUP($C1129,Order!$C:$C,Order!$P:$P,"",0,1))</f>
        <v>0</v>
      </c>
      <c r="L1129" s="4">
        <f t="shared" si="17"/>
        <v>0</v>
      </c>
    </row>
    <row r="1130" spans="2:12" ht="23.25" hidden="1" customHeight="1" x14ac:dyDescent="0.25">
      <c r="B1130" s="4">
        <v>1125</v>
      </c>
      <c r="C1130" s="36" t="str">
        <f>IF(Order!$C$106="","",Order!$C$106)</f>
        <v>BX954</v>
      </c>
      <c r="D1130" s="36" t="str">
        <f>IF($C1130="","",_xlfn.XLOOKUP($C1130,Order!$C:$C,Order!$D:$D,"",0,1))</f>
        <v>BX954</v>
      </c>
      <c r="E1130" s="4" t="e" vm="294">
        <f>IF($C1130="","",_xlfn.XLOOKUP($C1130,Order!$C:$C,Order!$E:$E,"",0,1))</f>
        <v>#VALUE!</v>
      </c>
      <c r="F1130" s="4">
        <f>IF($C1130="","",_xlfn.XLOOKUP($C1130,Order!$C:$C,Order!$F:$F,"",0,1))</f>
        <v>6000</v>
      </c>
      <c r="G1130" s="4" t="str">
        <f>IF($C1130="","",_xlfn.XLOOKUP($C1130,Order!$C:$C,Order!$G:$G,"",0,1))</f>
        <v>6063T5</v>
      </c>
      <c r="H1130" s="4">
        <f>IF($C1130="","",_xlfn.XLOOKUP($C1130,Order!$C:$C,Order!$H:$H,"",0,1))</f>
        <v>0.47199999999999998</v>
      </c>
      <c r="I1130" s="36">
        <f>IF($C1130="","",_xlfn.XLOOKUP($C1130,Order!$C:$C,Order!$L:$L,"",0,1))</f>
        <v>0</v>
      </c>
      <c r="J1130" s="4" t="str">
        <f>IF(C1130="","",Order!$L$16)</f>
        <v>BRONZE ANODIZED (FAYP03)</v>
      </c>
      <c r="K1130" s="36">
        <f>IF($C1130="","",_xlfn.XLOOKUP($C1130,Order!$C:$C,Order!$P:$P,"",0,1))</f>
        <v>0</v>
      </c>
      <c r="L1130" s="4">
        <f t="shared" si="17"/>
        <v>0</v>
      </c>
    </row>
    <row r="1131" spans="2:12" ht="23.25" hidden="1" customHeight="1" x14ac:dyDescent="0.25">
      <c r="B1131" s="4">
        <v>1126</v>
      </c>
      <c r="C1131" s="36" t="str">
        <f>IF(Order!$C$107="","",Order!$C$107)</f>
        <v>BX955</v>
      </c>
      <c r="D1131" s="36" t="str">
        <f>IF($C1131="","",_xlfn.XLOOKUP($C1131,Order!$C:$C,Order!$D:$D,"",0,1))</f>
        <v>BX955</v>
      </c>
      <c r="E1131" s="4" t="e" vm="295">
        <f>IF($C1131="","",_xlfn.XLOOKUP($C1131,Order!$C:$C,Order!$E:$E,"",0,1))</f>
        <v>#VALUE!</v>
      </c>
      <c r="F1131" s="4">
        <f>IF($C1131="","",_xlfn.XLOOKUP($C1131,Order!$C:$C,Order!$F:$F,"",0,1))</f>
        <v>6000</v>
      </c>
      <c r="G1131" s="4" t="str">
        <f>IF($C1131="","",_xlfn.XLOOKUP($C1131,Order!$C:$C,Order!$G:$G,"",0,1))</f>
        <v>6063T5</v>
      </c>
      <c r="H1131" s="4">
        <f>IF($C1131="","",_xlfn.XLOOKUP($C1131,Order!$C:$C,Order!$H:$H,"",0,1))</f>
        <v>0.18</v>
      </c>
      <c r="I1131" s="36">
        <f>IF($C1131="","",_xlfn.XLOOKUP($C1131,Order!$C:$C,Order!$L:$L,"",0,1))</f>
        <v>0</v>
      </c>
      <c r="J1131" s="4" t="str">
        <f>IF(C1131="","",Order!$L$16)</f>
        <v>BRONZE ANODIZED (FAYP03)</v>
      </c>
      <c r="K1131" s="36">
        <f>IF($C1131="","",_xlfn.XLOOKUP($C1131,Order!$C:$C,Order!$P:$P,"",0,1))</f>
        <v>0</v>
      </c>
      <c r="L1131" s="4">
        <f t="shared" si="17"/>
        <v>0</v>
      </c>
    </row>
    <row r="1132" spans="2:12" ht="23.25" hidden="1" customHeight="1" x14ac:dyDescent="0.25">
      <c r="B1132" s="4">
        <v>1127</v>
      </c>
      <c r="C1132" s="36" t="str">
        <f>IF(Order!$C$108="","",Order!$C$108)</f>
        <v>BG011</v>
      </c>
      <c r="D1132" s="36" t="str">
        <f>IF($C1132="","",_xlfn.XLOOKUP($C1132,Order!$C:$C,Order!$D:$D,"",0,1))</f>
        <v>BG011</v>
      </c>
      <c r="E1132" s="4" t="e" vm="296">
        <f>IF($C1132="","",_xlfn.XLOOKUP($C1132,Order!$C:$C,Order!$E:$E,"",0,1))</f>
        <v>#VALUE!</v>
      </c>
      <c r="F1132" s="4">
        <f>IF($C1132="","",_xlfn.XLOOKUP($C1132,Order!$C:$C,Order!$F:$F,"",0,1))</f>
        <v>6000</v>
      </c>
      <c r="G1132" s="4" t="str">
        <f>IF($C1132="","",_xlfn.XLOOKUP($C1132,Order!$C:$C,Order!$G:$G,"",0,1))</f>
        <v>6063T5</v>
      </c>
      <c r="H1132" s="4">
        <f>IF($C1132="","",_xlfn.XLOOKUP($C1132,Order!$C:$C,Order!$H:$H,"",0,1))</f>
        <v>8.4000000000000005E-2</v>
      </c>
      <c r="I1132" s="36">
        <f>IF($C1132="","",_xlfn.XLOOKUP($C1132,Order!$C:$C,Order!$L:$L,"",0,1))</f>
        <v>0</v>
      </c>
      <c r="J1132" s="4" t="str">
        <f>IF(C1132="","",Order!$L$16)</f>
        <v>BRONZE ANODIZED (FAYP03)</v>
      </c>
      <c r="K1132" s="36">
        <f>IF($C1132="","",_xlfn.XLOOKUP($C1132,Order!$C:$C,Order!$P:$P,"",0,1))</f>
        <v>0</v>
      </c>
      <c r="L1132" s="4">
        <f t="shared" si="17"/>
        <v>0</v>
      </c>
    </row>
    <row r="1133" spans="2:12" ht="23.25" hidden="1" customHeight="1" x14ac:dyDescent="0.25">
      <c r="B1133" s="4">
        <v>1128</v>
      </c>
      <c r="C1133" s="36" t="str">
        <f>IF(Order!$C$109="","",Order!$C$109)</f>
        <v>DV110</v>
      </c>
      <c r="D1133" s="36" t="str">
        <f>IF($C1133="","",_xlfn.XLOOKUP($C1133,Order!$C:$C,Order!$D:$D,"",0,1))</f>
        <v>DV110</v>
      </c>
      <c r="E1133" s="4" t="e" vm="297">
        <f>IF($C1133="","",_xlfn.XLOOKUP($C1133,Order!$C:$C,Order!$E:$E,"",0,1))</f>
        <v>#VALUE!</v>
      </c>
      <c r="F1133" s="4">
        <f>IF($C1133="","",_xlfn.XLOOKUP($C1133,Order!$C:$C,Order!$F:$F,"",0,1))</f>
        <v>6000</v>
      </c>
      <c r="G1133" s="4" t="str">
        <f>IF($C1133="","",_xlfn.XLOOKUP($C1133,Order!$C:$C,Order!$G:$G,"",0,1))</f>
        <v>6063T5</v>
      </c>
      <c r="H1133" s="4">
        <f>IF($C1133="","",_xlfn.XLOOKUP($C1133,Order!$C:$C,Order!$H:$H,"",0,1))</f>
        <v>0.28299999999999997</v>
      </c>
      <c r="I1133" s="36">
        <f>IF($C1133="","",_xlfn.XLOOKUP($C1133,Order!$C:$C,Order!$L:$L,"",0,1))</f>
        <v>0</v>
      </c>
      <c r="J1133" s="4" t="str">
        <f>IF(C1133="","",Order!$L$16)</f>
        <v>BRONZE ANODIZED (FAYP03)</v>
      </c>
      <c r="K1133" s="36">
        <f>IF($C1133="","",_xlfn.XLOOKUP($C1133,Order!$C:$C,Order!$P:$P,"",0,1))</f>
        <v>0</v>
      </c>
      <c r="L1133" s="4">
        <f t="shared" si="17"/>
        <v>0</v>
      </c>
    </row>
    <row r="1134" spans="2:12" ht="23.25" hidden="1" customHeight="1" x14ac:dyDescent="0.25">
      <c r="B1134" s="4">
        <v>1129</v>
      </c>
      <c r="C1134" s="36" t="str">
        <f>IF(Order!$C$110="","",Order!$C$110)</f>
        <v>DV111</v>
      </c>
      <c r="D1134" s="36" t="str">
        <f>IF($C1134="","",_xlfn.XLOOKUP($C1134,Order!$C:$C,Order!$D:$D,"",0,1))</f>
        <v>DV111</v>
      </c>
      <c r="E1134" s="4" t="e" vm="298">
        <f>IF($C1134="","",_xlfn.XLOOKUP($C1134,Order!$C:$C,Order!$E:$E,"",0,1))</f>
        <v>#VALUE!</v>
      </c>
      <c r="F1134" s="4">
        <f>IF($C1134="","",_xlfn.XLOOKUP($C1134,Order!$C:$C,Order!$F:$F,"",0,1))</f>
        <v>6000</v>
      </c>
      <c r="G1134" s="4" t="str">
        <f>IF($C1134="","",_xlfn.XLOOKUP($C1134,Order!$C:$C,Order!$G:$G,"",0,1))</f>
        <v>6063T5</v>
      </c>
      <c r="H1134" s="4">
        <f>IF($C1134="","",_xlfn.XLOOKUP($C1134,Order!$C:$C,Order!$H:$H,"",0,1))</f>
        <v>0.188</v>
      </c>
      <c r="I1134" s="36">
        <f>IF($C1134="","",_xlfn.XLOOKUP($C1134,Order!$C:$C,Order!$L:$L,"",0,1))</f>
        <v>0</v>
      </c>
      <c r="J1134" s="4" t="str">
        <f>IF(C1134="","",Order!$L$16)</f>
        <v>BRONZE ANODIZED (FAYP03)</v>
      </c>
      <c r="K1134" s="36">
        <f>IF($C1134="","",_xlfn.XLOOKUP($C1134,Order!$C:$C,Order!$P:$P,"",0,1))</f>
        <v>0</v>
      </c>
      <c r="L1134" s="4">
        <f t="shared" si="17"/>
        <v>0</v>
      </c>
    </row>
    <row r="1135" spans="2:12" ht="23.25" hidden="1" customHeight="1" x14ac:dyDescent="0.25">
      <c r="B1135" s="4">
        <v>1130</v>
      </c>
      <c r="C1135" s="36" t="str">
        <f>IF(Order!$C$111="","",Order!$C$111)</f>
        <v>DV112</v>
      </c>
      <c r="D1135" s="36" t="str">
        <f>IF($C1135="","",_xlfn.XLOOKUP($C1135,Order!$C:$C,Order!$D:$D,"",0,1))</f>
        <v>DV112</v>
      </c>
      <c r="E1135" s="4" t="e" vm="299">
        <f>IF($C1135="","",_xlfn.XLOOKUP($C1135,Order!$C:$C,Order!$E:$E,"",0,1))</f>
        <v>#VALUE!</v>
      </c>
      <c r="F1135" s="4">
        <f>IF($C1135="","",_xlfn.XLOOKUP($C1135,Order!$C:$C,Order!$F:$F,"",0,1))</f>
        <v>6000</v>
      </c>
      <c r="G1135" s="4" t="str">
        <f>IF($C1135="","",_xlfn.XLOOKUP($C1135,Order!$C:$C,Order!$G:$G,"",0,1))</f>
        <v>6063T5</v>
      </c>
      <c r="H1135" s="4">
        <f>IF($C1135="","",_xlfn.XLOOKUP($C1135,Order!$C:$C,Order!$H:$H,"",0,1))</f>
        <v>0.23200000000000001</v>
      </c>
      <c r="I1135" s="36">
        <f>IF($C1135="","",_xlfn.XLOOKUP($C1135,Order!$C:$C,Order!$L:$L,"",0,1))</f>
        <v>0</v>
      </c>
      <c r="J1135" s="4" t="str">
        <f>IF(C1135="","",Order!$L$16)</f>
        <v>BRONZE ANODIZED (FAYP03)</v>
      </c>
      <c r="K1135" s="36">
        <f>IF($C1135="","",_xlfn.XLOOKUP($C1135,Order!$C:$C,Order!$P:$P,"",0,1))</f>
        <v>0</v>
      </c>
      <c r="L1135" s="4">
        <f t="shared" si="17"/>
        <v>0</v>
      </c>
    </row>
    <row r="1136" spans="2:12" ht="23.25" hidden="1" customHeight="1" x14ac:dyDescent="0.25">
      <c r="B1136" s="4">
        <v>1131</v>
      </c>
      <c r="C1136" s="36" t="str">
        <f>IF(Order!$C$112="","",Order!$C$112)</f>
        <v>DV132</v>
      </c>
      <c r="D1136" s="36" t="str">
        <f>IF($C1136="","",_xlfn.XLOOKUP($C1136,Order!$C:$C,Order!$D:$D,"",0,1))</f>
        <v>DV132</v>
      </c>
      <c r="E1136" s="4" t="e" vm="300">
        <f>IF($C1136="","",_xlfn.XLOOKUP($C1136,Order!$C:$C,Order!$E:$E,"",0,1))</f>
        <v>#VALUE!</v>
      </c>
      <c r="F1136" s="4">
        <f>IF($C1136="","",_xlfn.XLOOKUP($C1136,Order!$C:$C,Order!$F:$F,"",0,1))</f>
        <v>6000</v>
      </c>
      <c r="G1136" s="4" t="str">
        <f>IF($C1136="","",_xlfn.XLOOKUP($C1136,Order!$C:$C,Order!$G:$G,"",0,1))</f>
        <v>6063T5</v>
      </c>
      <c r="H1136" s="4">
        <f>IF($C1136="","",_xlfn.XLOOKUP($C1136,Order!$C:$C,Order!$H:$H,"",0,1))</f>
        <v>0.246</v>
      </c>
      <c r="I1136" s="36">
        <f>IF($C1136="","",_xlfn.XLOOKUP($C1136,Order!$C:$C,Order!$L:$L,"",0,1))</f>
        <v>0</v>
      </c>
      <c r="J1136" s="4" t="str">
        <f>IF(C1136="","",Order!$L$16)</f>
        <v>BRONZE ANODIZED (FAYP03)</v>
      </c>
      <c r="K1136" s="36">
        <f>IF($C1136="","",_xlfn.XLOOKUP($C1136,Order!$C:$C,Order!$P:$P,"",0,1))</f>
        <v>0</v>
      </c>
      <c r="L1136" s="4">
        <f t="shared" si="17"/>
        <v>0</v>
      </c>
    </row>
    <row r="1137" spans="2:12" ht="23.25" hidden="1" customHeight="1" x14ac:dyDescent="0.25">
      <c r="B1137" s="4">
        <v>1132</v>
      </c>
      <c r="C1137" s="36" t="str">
        <f>IF(Order!$C$113="","",Order!$C$113)</f>
        <v>BX796</v>
      </c>
      <c r="D1137" s="36" t="str">
        <f>IF($C1137="","",_xlfn.XLOOKUP($C1137,Order!$C:$C,Order!$D:$D,"",0,1))</f>
        <v>BX796</v>
      </c>
      <c r="E1137" s="4" t="e" vm="301">
        <f>IF($C1137="","",_xlfn.XLOOKUP($C1137,Order!$C:$C,Order!$E:$E,"",0,1))</f>
        <v>#VALUE!</v>
      </c>
      <c r="F1137" s="4">
        <f>IF($C1137="","",_xlfn.XLOOKUP($C1137,Order!$C:$C,Order!$F:$F,"",0,1))</f>
        <v>6000</v>
      </c>
      <c r="G1137" s="4" t="str">
        <f>IF($C1137="","",_xlfn.XLOOKUP($C1137,Order!$C:$C,Order!$G:$G,"",0,1))</f>
        <v>6063T5</v>
      </c>
      <c r="H1137" s="4">
        <f>IF($C1137="","",_xlfn.XLOOKUP($C1137,Order!$C:$C,Order!$H:$H,"",0,1))</f>
        <v>0.22700000000000001</v>
      </c>
      <c r="I1137" s="36">
        <f>IF($C1137="","",_xlfn.XLOOKUP($C1137,Order!$C:$C,Order!$L:$L,"",0,1))</f>
        <v>0</v>
      </c>
      <c r="J1137" s="4" t="str">
        <f>IF(C1137="","",Order!$L$16)</f>
        <v>BRONZE ANODIZED (FAYP03)</v>
      </c>
      <c r="K1137" s="36">
        <f>IF($C1137="","",_xlfn.XLOOKUP($C1137,Order!$C:$C,Order!$P:$P,"",0,1))</f>
        <v>0</v>
      </c>
      <c r="L1137" s="4">
        <f t="shared" si="17"/>
        <v>0</v>
      </c>
    </row>
    <row r="1138" spans="2:12" ht="23.25" hidden="1" customHeight="1" x14ac:dyDescent="0.25">
      <c r="B1138" s="4">
        <v>1133</v>
      </c>
      <c r="C1138" s="36" t="str">
        <f>IF(Order!$C$114="","",Order!$C$114)</f>
        <v>BX797</v>
      </c>
      <c r="D1138" s="36" t="str">
        <f>IF($C1138="","",_xlfn.XLOOKUP($C1138,Order!$C:$C,Order!$D:$D,"",0,1))</f>
        <v>BX797</v>
      </c>
      <c r="E1138" s="4" t="e" vm="302">
        <f>IF($C1138="","",_xlfn.XLOOKUP($C1138,Order!$C:$C,Order!$E:$E,"",0,1))</f>
        <v>#VALUE!</v>
      </c>
      <c r="F1138" s="4">
        <f>IF($C1138="","",_xlfn.XLOOKUP($C1138,Order!$C:$C,Order!$F:$F,"",0,1))</f>
        <v>6000</v>
      </c>
      <c r="G1138" s="4" t="str">
        <f>IF($C1138="","",_xlfn.XLOOKUP($C1138,Order!$C:$C,Order!$G:$G,"",0,1))</f>
        <v>6063T5</v>
      </c>
      <c r="H1138" s="4">
        <f>IF($C1138="","",_xlfn.XLOOKUP($C1138,Order!$C:$C,Order!$H:$H,"",0,1))</f>
        <v>8.6999999999999994E-2</v>
      </c>
      <c r="I1138" s="36">
        <f>IF($C1138="","",_xlfn.XLOOKUP($C1138,Order!$C:$C,Order!$L:$L,"",0,1))</f>
        <v>0</v>
      </c>
      <c r="J1138" s="4" t="str">
        <f>IF(C1138="","",Order!$L$16)</f>
        <v>BRONZE ANODIZED (FAYP03)</v>
      </c>
      <c r="K1138" s="36">
        <f>IF($C1138="","",_xlfn.XLOOKUP($C1138,Order!$C:$C,Order!$P:$P,"",0,1))</f>
        <v>0</v>
      </c>
      <c r="L1138" s="4">
        <f t="shared" si="17"/>
        <v>0</v>
      </c>
    </row>
    <row r="1139" spans="2:12" ht="23.25" hidden="1" customHeight="1" x14ac:dyDescent="0.25">
      <c r="B1139" s="4">
        <v>1134</v>
      </c>
      <c r="C1139" s="36" t="str">
        <f>IF(Order!$C$115="","",Order!$C$115)</f>
        <v>BX798</v>
      </c>
      <c r="D1139" s="36" t="str">
        <f>IF($C1139="","",_xlfn.XLOOKUP($C1139,Order!$C:$C,Order!$D:$D,"",0,1))</f>
        <v>BX798</v>
      </c>
      <c r="E1139" s="4" t="e" vm="303">
        <f>IF($C1139="","",_xlfn.XLOOKUP($C1139,Order!$C:$C,Order!$E:$E,"",0,1))</f>
        <v>#VALUE!</v>
      </c>
      <c r="F1139" s="4">
        <f>IF($C1139="","",_xlfn.XLOOKUP($C1139,Order!$C:$C,Order!$F:$F,"",0,1))</f>
        <v>6000</v>
      </c>
      <c r="G1139" s="4" t="str">
        <f>IF($C1139="","",_xlfn.XLOOKUP($C1139,Order!$C:$C,Order!$G:$G,"",0,1))</f>
        <v>6063T5</v>
      </c>
      <c r="H1139" s="4">
        <f>IF($C1139="","",_xlfn.XLOOKUP($C1139,Order!$C:$C,Order!$H:$H,"",0,1))</f>
        <v>0.20300000000000001</v>
      </c>
      <c r="I1139" s="36">
        <f>IF($C1139="","",_xlfn.XLOOKUP($C1139,Order!$C:$C,Order!$L:$L,"",0,1))</f>
        <v>0</v>
      </c>
      <c r="J1139" s="4" t="str">
        <f>IF(C1139="","",Order!$L$16)</f>
        <v>BRONZE ANODIZED (FAYP03)</v>
      </c>
      <c r="K1139" s="36">
        <f>IF($C1139="","",_xlfn.XLOOKUP($C1139,Order!$C:$C,Order!$P:$P,"",0,1))</f>
        <v>0</v>
      </c>
      <c r="L1139" s="4">
        <f t="shared" si="17"/>
        <v>0</v>
      </c>
    </row>
    <row r="1140" spans="2:12" ht="23.25" hidden="1" customHeight="1" x14ac:dyDescent="0.25">
      <c r="B1140" s="4">
        <v>1135</v>
      </c>
      <c r="C1140" s="36" t="str">
        <f>IF(Order!$C$116="","",Order!$C$116)</f>
        <v>BX799</v>
      </c>
      <c r="D1140" s="36" t="str">
        <f>IF($C1140="","",_xlfn.XLOOKUP($C1140,Order!$C:$C,Order!$D:$D,"",0,1))</f>
        <v>BX799</v>
      </c>
      <c r="E1140" s="4" t="e" vm="304">
        <f>IF($C1140="","",_xlfn.XLOOKUP($C1140,Order!$C:$C,Order!$E:$E,"",0,1))</f>
        <v>#VALUE!</v>
      </c>
      <c r="F1140" s="4">
        <f>IF($C1140="","",_xlfn.XLOOKUP($C1140,Order!$C:$C,Order!$F:$F,"",0,1))</f>
        <v>6000</v>
      </c>
      <c r="G1140" s="4" t="str">
        <f>IF($C1140="","",_xlfn.XLOOKUP($C1140,Order!$C:$C,Order!$G:$G,"",0,1))</f>
        <v>6063T5</v>
      </c>
      <c r="H1140" s="4">
        <f>IF($C1140="","",_xlfn.XLOOKUP($C1140,Order!$C:$C,Order!$H:$H,"",0,1))</f>
        <v>0.16300000000000001</v>
      </c>
      <c r="I1140" s="36">
        <f>IF($C1140="","",_xlfn.XLOOKUP($C1140,Order!$C:$C,Order!$L:$L,"",0,1))</f>
        <v>0</v>
      </c>
      <c r="J1140" s="4" t="str">
        <f>IF(C1140="","",Order!$L$16)</f>
        <v>BRONZE ANODIZED (FAYP03)</v>
      </c>
      <c r="K1140" s="36">
        <f>IF($C1140="","",_xlfn.XLOOKUP($C1140,Order!$C:$C,Order!$P:$P,"",0,1))</f>
        <v>0</v>
      </c>
      <c r="L1140" s="4">
        <f t="shared" si="17"/>
        <v>0</v>
      </c>
    </row>
    <row r="1141" spans="2:12" ht="23.25" hidden="1" customHeight="1" x14ac:dyDescent="0.25">
      <c r="B1141" s="4">
        <v>1136</v>
      </c>
      <c r="C1141" s="36" t="str">
        <f>IF(Order!$C$117="","",Order!$C$117)</f>
        <v>BX958</v>
      </c>
      <c r="D1141" s="36" t="str">
        <f>IF($C1141="","",_xlfn.XLOOKUP($C1141,Order!$C:$C,Order!$D:$D,"",0,1))</f>
        <v>BX958</v>
      </c>
      <c r="E1141" s="4" t="e" vm="305">
        <f>IF($C1141="","",_xlfn.XLOOKUP($C1141,Order!$C:$C,Order!$E:$E,"",0,1))</f>
        <v>#VALUE!</v>
      </c>
      <c r="F1141" s="4">
        <f>IF($C1141="","",_xlfn.XLOOKUP($C1141,Order!$C:$C,Order!$F:$F,"",0,1))</f>
        <v>6000</v>
      </c>
      <c r="G1141" s="4" t="str">
        <f>IF($C1141="","",_xlfn.XLOOKUP($C1141,Order!$C:$C,Order!$G:$G,"",0,1))</f>
        <v>6063T5</v>
      </c>
      <c r="H1141" s="4">
        <f>IF($C1141="","",_xlfn.XLOOKUP($C1141,Order!$C:$C,Order!$H:$H,"",0,1))</f>
        <v>0.48199999999999998</v>
      </c>
      <c r="I1141" s="36">
        <f>IF($C1141="","",_xlfn.XLOOKUP($C1141,Order!$C:$C,Order!$L:$L,"",0,1))</f>
        <v>0</v>
      </c>
      <c r="J1141" s="4" t="str">
        <f>IF(C1141="","",Order!$L$16)</f>
        <v>BRONZE ANODIZED (FAYP03)</v>
      </c>
      <c r="K1141" s="36">
        <f>IF($C1141="","",_xlfn.XLOOKUP($C1141,Order!$C:$C,Order!$P:$P,"",0,1))</f>
        <v>0</v>
      </c>
      <c r="L1141" s="4">
        <f t="shared" si="17"/>
        <v>0</v>
      </c>
    </row>
    <row r="1142" spans="2:12" ht="23.25" hidden="1" customHeight="1" x14ac:dyDescent="0.25">
      <c r="B1142" s="4">
        <v>1137</v>
      </c>
      <c r="C1142" s="36" t="str">
        <f>IF(Order!$C$118="","",Order!$C$118)</f>
        <v>BG202</v>
      </c>
      <c r="D1142" s="36" t="str">
        <f>IF($C1142="","",_xlfn.XLOOKUP($C1142,Order!$C:$C,Order!$D:$D,"",0,1))</f>
        <v>BG202</v>
      </c>
      <c r="E1142" s="4" t="e" vm="306">
        <f>IF($C1142="","",_xlfn.XLOOKUP($C1142,Order!$C:$C,Order!$E:$E,"",0,1))</f>
        <v>#VALUE!</v>
      </c>
      <c r="F1142" s="4">
        <f>IF($C1142="","",_xlfn.XLOOKUP($C1142,Order!$C:$C,Order!$F:$F,"",0,1))</f>
        <v>6000</v>
      </c>
      <c r="G1142" s="4" t="str">
        <f>IF($C1142="","",_xlfn.XLOOKUP($C1142,Order!$C:$C,Order!$G:$G,"",0,1))</f>
        <v>6063T5</v>
      </c>
      <c r="H1142" s="4">
        <f>IF($C1142="","",_xlfn.XLOOKUP($C1142,Order!$C:$C,Order!$H:$H,"",0,1))</f>
        <v>8.8999999999999996E-2</v>
      </c>
      <c r="I1142" s="36">
        <f>IF($C1142="","",_xlfn.XLOOKUP($C1142,Order!$C:$C,Order!$L:$L,"",0,1))</f>
        <v>0</v>
      </c>
      <c r="J1142" s="4" t="str">
        <f>IF(C1142="","",Order!$L$16)</f>
        <v>BRONZE ANODIZED (FAYP03)</v>
      </c>
      <c r="K1142" s="36">
        <f>IF($C1142="","",_xlfn.XLOOKUP($C1142,Order!$C:$C,Order!$P:$P,"",0,1))</f>
        <v>0</v>
      </c>
      <c r="L1142" s="4">
        <f t="shared" si="17"/>
        <v>0</v>
      </c>
    </row>
    <row r="1143" spans="2:12" ht="23.25" hidden="1" customHeight="1" x14ac:dyDescent="0.25">
      <c r="B1143" s="4">
        <v>1138</v>
      </c>
      <c r="C1143" s="36" t="str">
        <f>IF(Order!$C$119="","",Order!$C$119)</f>
        <v>MP069</v>
      </c>
      <c r="D1143" s="36" t="str">
        <f>IF($C1143="","",_xlfn.XLOOKUP($C1143,Order!$C:$C,Order!$D:$D,"",0,1))</f>
        <v>MP069</v>
      </c>
      <c r="E1143" s="4" t="e" vm="307">
        <f>IF($C1143="","",_xlfn.XLOOKUP($C1143,Order!$C:$C,Order!$E:$E,"",0,1))</f>
        <v>#VALUE!</v>
      </c>
      <c r="F1143" s="4">
        <f>IF($C1143="","",_xlfn.XLOOKUP($C1143,Order!$C:$C,Order!$F:$F,"",0,1))</f>
        <v>0</v>
      </c>
      <c r="G1143" s="4" t="str">
        <f>IF($C1143="","",_xlfn.XLOOKUP($C1143,Order!$C:$C,Order!$G:$G,"",0,1))</f>
        <v>6063T5</v>
      </c>
      <c r="H1143" s="4">
        <f>IF($C1143="","",_xlfn.XLOOKUP($C1143,Order!$C:$C,Order!$H:$H,"",0,1))</f>
        <v>0.57799999999999996</v>
      </c>
      <c r="I1143" s="36">
        <f>IF($C1143="","",_xlfn.XLOOKUP($C1143,Order!$C:$C,Order!$L:$L,"",0,1))</f>
        <v>0</v>
      </c>
      <c r="J1143" s="4" t="str">
        <f>IF(C1143="","",Order!$L$16)</f>
        <v>BRONZE ANODIZED (FAYP03)</v>
      </c>
      <c r="K1143" s="36">
        <f>IF($C1143="","",_xlfn.XLOOKUP($C1143,Order!$C:$C,Order!$P:$P,"",0,1))</f>
        <v>0</v>
      </c>
      <c r="L1143" s="4">
        <f t="shared" si="17"/>
        <v>0</v>
      </c>
    </row>
    <row r="1144" spans="2:12" ht="23.25" hidden="1" customHeight="1" x14ac:dyDescent="0.25">
      <c r="B1144" s="4">
        <v>1139</v>
      </c>
      <c r="C1144" s="36" t="str">
        <f>IF(Order!$C$120="","",Order!$C$120)</f>
        <v>MP070</v>
      </c>
      <c r="D1144" s="36" t="str">
        <f>IF($C1144="","",_xlfn.XLOOKUP($C1144,Order!$C:$C,Order!$D:$D,"",0,1))</f>
        <v>MP070</v>
      </c>
      <c r="E1144" s="4" t="e" vm="308">
        <f>IF($C1144="","",_xlfn.XLOOKUP($C1144,Order!$C:$C,Order!$E:$E,"",0,1))</f>
        <v>#VALUE!</v>
      </c>
      <c r="F1144" s="4">
        <f>IF($C1144="","",_xlfn.XLOOKUP($C1144,Order!$C:$C,Order!$F:$F,"",0,1))</f>
        <v>0</v>
      </c>
      <c r="G1144" s="4" t="str">
        <f>IF($C1144="","",_xlfn.XLOOKUP($C1144,Order!$C:$C,Order!$G:$G,"",0,1))</f>
        <v>6063T5</v>
      </c>
      <c r="H1144" s="4">
        <f>IF($C1144="","",_xlfn.XLOOKUP($C1144,Order!$C:$C,Order!$H:$H,"",0,1))</f>
        <v>0.46800000000000003</v>
      </c>
      <c r="I1144" s="36">
        <f>IF($C1144="","",_xlfn.XLOOKUP($C1144,Order!$C:$C,Order!$L:$L,"",0,1))</f>
        <v>0</v>
      </c>
      <c r="J1144" s="4" t="str">
        <f>IF(C1144="","",Order!$L$16)</f>
        <v>BRONZE ANODIZED (FAYP03)</v>
      </c>
      <c r="K1144" s="36">
        <f>IF($C1144="","",_xlfn.XLOOKUP($C1144,Order!$C:$C,Order!$P:$P,"",0,1))</f>
        <v>0</v>
      </c>
      <c r="L1144" s="4">
        <f t="shared" si="17"/>
        <v>0</v>
      </c>
    </row>
    <row r="1145" spans="2:12" ht="23.25" hidden="1" customHeight="1" x14ac:dyDescent="0.25">
      <c r="B1145" s="4">
        <v>1140</v>
      </c>
      <c r="C1145" s="36" t="str">
        <f>IF(Order!$C$121="","",Order!$C$121)</f>
        <v>MP300</v>
      </c>
      <c r="D1145" s="36" t="str">
        <f>IF($C1145="","",_xlfn.XLOOKUP($C1145,Order!$C:$C,Order!$D:$D,"",0,1))</f>
        <v>MP300MP</v>
      </c>
      <c r="E1145" s="4" t="e" vm="309">
        <f>IF($C1145="","",_xlfn.XLOOKUP($C1145,Order!$C:$C,Order!$E:$E,"",0,1))</f>
        <v>#VALUE!</v>
      </c>
      <c r="F1145" s="4">
        <f>IF($C1145="","",_xlfn.XLOOKUP($C1145,Order!$C:$C,Order!$F:$F,"",0,1))</f>
        <v>6000</v>
      </c>
      <c r="G1145" s="4" t="str">
        <f>IF($C1145="","",_xlfn.XLOOKUP($C1145,Order!$C:$C,Order!$G:$G,"",0,1))</f>
        <v>6063T5</v>
      </c>
      <c r="H1145" s="4">
        <f>IF($C1145="","",_xlfn.XLOOKUP($C1145,Order!$C:$C,Order!$H:$H,"",0,1))</f>
        <v>0.29799999999999999</v>
      </c>
      <c r="I1145" s="36">
        <f>IF($C1145="","",_xlfn.XLOOKUP($C1145,Order!$C:$C,Order!$L:$L,"",0,1))</f>
        <v>0</v>
      </c>
      <c r="J1145" s="4" t="str">
        <f>IF(C1145="","",Order!$L$16)</f>
        <v>BRONZE ANODIZED (FAYP03)</v>
      </c>
      <c r="K1145" s="36">
        <f>IF($C1145="","",_xlfn.XLOOKUP($C1145,Order!$C:$C,Order!$P:$P,"",0,1))</f>
        <v>0</v>
      </c>
      <c r="L1145" s="4">
        <f t="shared" si="17"/>
        <v>0</v>
      </c>
    </row>
    <row r="1146" spans="2:12" ht="23.25" hidden="1" customHeight="1" x14ac:dyDescent="0.25">
      <c r="B1146" s="4">
        <v>1141</v>
      </c>
      <c r="C1146" s="36" t="str">
        <f>IF(Order!$C$122="","",Order!$C$122)</f>
        <v>MP302</v>
      </c>
      <c r="D1146" s="36" t="str">
        <f>IF($C1146="","",_xlfn.XLOOKUP($C1146,Order!$C:$C,Order!$D:$D,"",0,1))</f>
        <v>MP302</v>
      </c>
      <c r="E1146" s="4" t="e" vm="310">
        <f>IF($C1146="","",_xlfn.XLOOKUP($C1146,Order!$C:$C,Order!$E:$E,"",0,1))</f>
        <v>#VALUE!</v>
      </c>
      <c r="F1146" s="4">
        <f>IF($C1146="","",_xlfn.XLOOKUP($C1146,Order!$C:$C,Order!$F:$F,"",0,1))</f>
        <v>6000</v>
      </c>
      <c r="G1146" s="4" t="str">
        <f>IF($C1146="","",_xlfn.XLOOKUP($C1146,Order!$C:$C,Order!$G:$G,"",0,1))</f>
        <v>6063T5</v>
      </c>
      <c r="H1146" s="4">
        <f>IF($C1146="","",_xlfn.XLOOKUP($C1146,Order!$C:$C,Order!$H:$H,"",0,1))</f>
        <v>0.34399999999999997</v>
      </c>
      <c r="I1146" s="36">
        <f>IF($C1146="","",_xlfn.XLOOKUP($C1146,Order!$C:$C,Order!$L:$L,"",0,1))</f>
        <v>0</v>
      </c>
      <c r="J1146" s="4" t="str">
        <f>IF(C1146="","",Order!$L$16)</f>
        <v>BRONZE ANODIZED (FAYP03)</v>
      </c>
      <c r="K1146" s="36">
        <f>IF($C1146="","",_xlfn.XLOOKUP($C1146,Order!$C:$C,Order!$P:$P,"",0,1))</f>
        <v>0</v>
      </c>
      <c r="L1146" s="4">
        <f t="shared" si="17"/>
        <v>0</v>
      </c>
    </row>
    <row r="1147" spans="2:12" ht="23.25" hidden="1" customHeight="1" x14ac:dyDescent="0.25">
      <c r="B1147" s="4">
        <v>1142</v>
      </c>
      <c r="C1147" s="36" t="str">
        <f>IF(Order!$C$123="","",Order!$C$123)</f>
        <v>MP309</v>
      </c>
      <c r="D1147" s="36" t="str">
        <f>IF($C1147="","",_xlfn.XLOOKUP($C1147,Order!$C:$C,Order!$D:$D,"",0,1))</f>
        <v>MP309</v>
      </c>
      <c r="E1147" s="4" t="e" vm="311">
        <f>IF($C1147="","",_xlfn.XLOOKUP($C1147,Order!$C:$C,Order!$E:$E,"",0,1))</f>
        <v>#VALUE!</v>
      </c>
      <c r="F1147" s="4">
        <f>IF($C1147="","",_xlfn.XLOOKUP($C1147,Order!$C:$C,Order!$F:$F,"",0,1))</f>
        <v>6000</v>
      </c>
      <c r="G1147" s="4" t="str">
        <f>IF($C1147="","",_xlfn.XLOOKUP($C1147,Order!$C:$C,Order!$G:$G,"",0,1))</f>
        <v>6063T5</v>
      </c>
      <c r="H1147" s="4">
        <f>IF($C1147="","",_xlfn.XLOOKUP($C1147,Order!$C:$C,Order!$H:$H,"",0,1))</f>
        <v>0.36499999999999999</v>
      </c>
      <c r="I1147" s="36">
        <f>IF($C1147="","",_xlfn.XLOOKUP($C1147,Order!$C:$C,Order!$L:$L,"",0,1))</f>
        <v>0</v>
      </c>
      <c r="J1147" s="4" t="str">
        <f>IF(C1147="","",Order!$L$16)</f>
        <v>BRONZE ANODIZED (FAYP03)</v>
      </c>
      <c r="K1147" s="36">
        <f>IF($C1147="","",_xlfn.XLOOKUP($C1147,Order!$C:$C,Order!$P:$P,"",0,1))</f>
        <v>0</v>
      </c>
      <c r="L1147" s="4">
        <f t="shared" si="17"/>
        <v>0</v>
      </c>
    </row>
    <row r="1148" spans="2:12" ht="23.25" hidden="1" customHeight="1" x14ac:dyDescent="0.25">
      <c r="B1148" s="4">
        <v>1143</v>
      </c>
      <c r="C1148" s="36" t="str">
        <f>IF(Order!$C$124="","",Order!$C$124)</f>
        <v>MP321</v>
      </c>
      <c r="D1148" s="36" t="str">
        <f>IF($C1148="","",_xlfn.XLOOKUP($C1148,Order!$C:$C,Order!$D:$D,"",0,1))</f>
        <v>MP321MP</v>
      </c>
      <c r="E1148" s="4" t="e" vm="312">
        <f>IF($C1148="","",_xlfn.XLOOKUP($C1148,Order!$C:$C,Order!$E:$E,"",0,1))</f>
        <v>#VALUE!</v>
      </c>
      <c r="F1148" s="4">
        <f>IF($C1148="","",_xlfn.XLOOKUP($C1148,Order!$C:$C,Order!$F:$F,"",0,1))</f>
        <v>6000</v>
      </c>
      <c r="G1148" s="4" t="str">
        <f>IF($C1148="","",_xlfn.XLOOKUP($C1148,Order!$C:$C,Order!$G:$G,"",0,1))</f>
        <v>6063T5</v>
      </c>
      <c r="H1148" s="4">
        <f>IF($C1148="","",_xlfn.XLOOKUP($C1148,Order!$C:$C,Order!$H:$H,"",0,1))</f>
        <v>0.33900000000000002</v>
      </c>
      <c r="I1148" s="36">
        <f>IF($C1148="","",_xlfn.XLOOKUP($C1148,Order!$C:$C,Order!$L:$L,"",0,1))</f>
        <v>0</v>
      </c>
      <c r="J1148" s="4" t="str">
        <f>IF(C1148="","",Order!$L$16)</f>
        <v>BRONZE ANODIZED (FAYP03)</v>
      </c>
      <c r="K1148" s="36">
        <f>IF($C1148="","",_xlfn.XLOOKUP($C1148,Order!$C:$C,Order!$P:$P,"",0,1))</f>
        <v>0</v>
      </c>
      <c r="L1148" s="4">
        <f t="shared" si="17"/>
        <v>0</v>
      </c>
    </row>
    <row r="1149" spans="2:12" ht="23.25" hidden="1" customHeight="1" x14ac:dyDescent="0.25">
      <c r="B1149" s="4">
        <v>1144</v>
      </c>
      <c r="C1149" s="36" t="str">
        <f>IF(Order!$C$125="","",Order!$C$125)</f>
        <v>MP332</v>
      </c>
      <c r="D1149" s="36" t="str">
        <f>IF($C1149="","",_xlfn.XLOOKUP($C1149,Order!$C:$C,Order!$D:$D,"",0,1))</f>
        <v>MP332</v>
      </c>
      <c r="E1149" s="4" t="e" vm="313">
        <f>IF($C1149="","",_xlfn.XLOOKUP($C1149,Order!$C:$C,Order!$E:$E,"",0,1))</f>
        <v>#VALUE!</v>
      </c>
      <c r="F1149" s="4">
        <f>IF($C1149="","",_xlfn.XLOOKUP($C1149,Order!$C:$C,Order!$F:$F,"",0,1))</f>
        <v>6000</v>
      </c>
      <c r="G1149" s="4" t="str">
        <f>IF($C1149="","",_xlfn.XLOOKUP($C1149,Order!$C:$C,Order!$G:$G,"",0,1))</f>
        <v>6063T5</v>
      </c>
      <c r="H1149" s="4">
        <f>IF($C1149="","",_xlfn.XLOOKUP($C1149,Order!$C:$C,Order!$H:$H,"",0,1))</f>
        <v>0.47599999999999998</v>
      </c>
      <c r="I1149" s="36">
        <f>IF($C1149="","",_xlfn.XLOOKUP($C1149,Order!$C:$C,Order!$L:$L,"",0,1))</f>
        <v>0</v>
      </c>
      <c r="J1149" s="4" t="str">
        <f>IF(C1149="","",Order!$L$16)</f>
        <v>BRONZE ANODIZED (FAYP03)</v>
      </c>
      <c r="K1149" s="36">
        <f>IF($C1149="","",_xlfn.XLOOKUP($C1149,Order!$C:$C,Order!$P:$P,"",0,1))</f>
        <v>0</v>
      </c>
      <c r="L1149" s="4">
        <f t="shared" si="17"/>
        <v>0</v>
      </c>
    </row>
    <row r="1150" spans="2:12" ht="23.25" hidden="1" customHeight="1" x14ac:dyDescent="0.25">
      <c r="B1150" s="4">
        <v>1145</v>
      </c>
      <c r="C1150" s="36" t="str">
        <f>IF(Order!$C$126="","",Order!$C$126)</f>
        <v>MP336</v>
      </c>
      <c r="D1150" s="36" t="str">
        <f>IF($C1150="","",_xlfn.XLOOKUP($C1150,Order!$C:$C,Order!$D:$D,"",0,1))</f>
        <v>MP336MP</v>
      </c>
      <c r="E1150" s="4" t="e" vm="314">
        <f>IF($C1150="","",_xlfn.XLOOKUP($C1150,Order!$C:$C,Order!$E:$E,"",0,1))</f>
        <v>#VALUE!</v>
      </c>
      <c r="F1150" s="4">
        <f>IF($C1150="","",_xlfn.XLOOKUP($C1150,Order!$C:$C,Order!$F:$F,"",0,1))</f>
        <v>0</v>
      </c>
      <c r="G1150" s="4" t="str">
        <f>IF($C1150="","",_xlfn.XLOOKUP($C1150,Order!$C:$C,Order!$G:$G,"",0,1))</f>
        <v>6063T5</v>
      </c>
      <c r="H1150" s="4">
        <f>IF($C1150="","",_xlfn.XLOOKUP($C1150,Order!$C:$C,Order!$H:$H,"",0,1))</f>
        <v>0.42299999999999999</v>
      </c>
      <c r="I1150" s="36">
        <f>IF($C1150="","",_xlfn.XLOOKUP($C1150,Order!$C:$C,Order!$L:$L,"",0,1))</f>
        <v>0</v>
      </c>
      <c r="J1150" s="4" t="str">
        <f>IF(C1150="","",Order!$L$16)</f>
        <v>BRONZE ANODIZED (FAYP03)</v>
      </c>
      <c r="K1150" s="36">
        <f>IF($C1150="","",_xlfn.XLOOKUP($C1150,Order!$C:$C,Order!$P:$P,"",0,1))</f>
        <v>0</v>
      </c>
      <c r="L1150" s="4">
        <f t="shared" si="17"/>
        <v>0</v>
      </c>
    </row>
    <row r="1151" spans="2:12" ht="23.25" hidden="1" customHeight="1" x14ac:dyDescent="0.25">
      <c r="B1151" s="4">
        <v>1146</v>
      </c>
      <c r="C1151" s="36" t="str">
        <f>IF(Order!$C$127="","",Order!$C$127)</f>
        <v>MP352</v>
      </c>
      <c r="D1151" s="36" t="str">
        <f>IF($C1151="","",_xlfn.XLOOKUP($C1151,Order!$C:$C,Order!$D:$D,"",0,1))</f>
        <v>MP352</v>
      </c>
      <c r="E1151" s="4" t="e" vm="315">
        <f>IF($C1151="","",_xlfn.XLOOKUP($C1151,Order!$C:$C,Order!$E:$E,"",0,1))</f>
        <v>#VALUE!</v>
      </c>
      <c r="F1151" s="4">
        <f>IF($C1151="","",_xlfn.XLOOKUP($C1151,Order!$C:$C,Order!$F:$F,"",0,1))</f>
        <v>6000</v>
      </c>
      <c r="G1151" s="4" t="str">
        <f>IF($C1151="","",_xlfn.XLOOKUP($C1151,Order!$C:$C,Order!$G:$G,"",0,1))</f>
        <v>6063T5</v>
      </c>
      <c r="H1151" s="4">
        <f>IF($C1151="","",_xlfn.XLOOKUP($C1151,Order!$C:$C,Order!$H:$H,"",0,1))</f>
        <v>0.159</v>
      </c>
      <c r="I1151" s="36">
        <f>IF($C1151="","",_xlfn.XLOOKUP($C1151,Order!$C:$C,Order!$L:$L,"",0,1))</f>
        <v>0</v>
      </c>
      <c r="J1151" s="4" t="str">
        <f>IF(C1151="","",Order!$L$16)</f>
        <v>BRONZE ANODIZED (FAYP03)</v>
      </c>
      <c r="K1151" s="36">
        <f>IF($C1151="","",_xlfn.XLOOKUP($C1151,Order!$C:$C,Order!$P:$P,"",0,1))</f>
        <v>0</v>
      </c>
      <c r="L1151" s="4">
        <f t="shared" si="17"/>
        <v>0</v>
      </c>
    </row>
    <row r="1152" spans="2:12" ht="23.25" hidden="1" customHeight="1" x14ac:dyDescent="0.25">
      <c r="B1152" s="4">
        <v>1147</v>
      </c>
      <c r="C1152" s="36" t="str">
        <f>IF(Order!$C$128="","",Order!$C$128)</f>
        <v>MP354</v>
      </c>
      <c r="D1152" s="36" t="str">
        <f>IF($C1152="","",_xlfn.XLOOKUP($C1152,Order!$C:$C,Order!$D:$D,"",0,1))</f>
        <v>MP354</v>
      </c>
      <c r="E1152" s="4" t="e" vm="316">
        <f>IF($C1152="","",_xlfn.XLOOKUP($C1152,Order!$C:$C,Order!$E:$E,"",0,1))</f>
        <v>#VALUE!</v>
      </c>
      <c r="F1152" s="4">
        <f>IF($C1152="","",_xlfn.XLOOKUP($C1152,Order!$C:$C,Order!$F:$F,"",0,1))</f>
        <v>6000</v>
      </c>
      <c r="G1152" s="4" t="str">
        <f>IF($C1152="","",_xlfn.XLOOKUP($C1152,Order!$C:$C,Order!$G:$G,"",0,1))</f>
        <v>6063T5</v>
      </c>
      <c r="H1152" s="4">
        <f>IF($C1152="","",_xlfn.XLOOKUP($C1152,Order!$C:$C,Order!$H:$H,"",0,1))</f>
        <v>0.78700000000000003</v>
      </c>
      <c r="I1152" s="36">
        <f>IF($C1152="","",_xlfn.XLOOKUP($C1152,Order!$C:$C,Order!$L:$L,"",0,1))</f>
        <v>0</v>
      </c>
      <c r="J1152" s="4" t="str">
        <f>IF(C1152="","",Order!$L$16)</f>
        <v>BRONZE ANODIZED (FAYP03)</v>
      </c>
      <c r="K1152" s="36">
        <f>IF($C1152="","",_xlfn.XLOOKUP($C1152,Order!$C:$C,Order!$P:$P,"",0,1))</f>
        <v>0</v>
      </c>
      <c r="L1152" s="4">
        <f t="shared" si="17"/>
        <v>0</v>
      </c>
    </row>
    <row r="1153" spans="2:12" ht="23.25" hidden="1" customHeight="1" x14ac:dyDescent="0.25">
      <c r="B1153" s="4">
        <v>1148</v>
      </c>
      <c r="C1153" s="36" t="str">
        <f>IF(Order!$C$129="","",Order!$C$129)</f>
        <v>MP357</v>
      </c>
      <c r="D1153" s="36" t="str">
        <f>IF($C1153="","",_xlfn.XLOOKUP($C1153,Order!$C:$C,Order!$D:$D,"",0,1))</f>
        <v>MP357</v>
      </c>
      <c r="E1153" s="4" t="e" vm="317">
        <f>IF($C1153="","",_xlfn.XLOOKUP($C1153,Order!$C:$C,Order!$E:$E,"",0,1))</f>
        <v>#VALUE!</v>
      </c>
      <c r="F1153" s="4">
        <f>IF($C1153="","",_xlfn.XLOOKUP($C1153,Order!$C:$C,Order!$F:$F,"",0,1))</f>
        <v>6000</v>
      </c>
      <c r="G1153" s="4" t="str">
        <f>IF($C1153="","",_xlfn.XLOOKUP($C1153,Order!$C:$C,Order!$G:$G,"",0,1))</f>
        <v>6063T5</v>
      </c>
      <c r="H1153" s="4">
        <f>IF($C1153="","",_xlfn.XLOOKUP($C1153,Order!$C:$C,Order!$H:$H,"",0,1))</f>
        <v>0.46200000000000002</v>
      </c>
      <c r="I1153" s="36">
        <f>IF($C1153="","",_xlfn.XLOOKUP($C1153,Order!$C:$C,Order!$L:$L,"",0,1))</f>
        <v>0</v>
      </c>
      <c r="J1153" s="4" t="str">
        <f>IF(C1153="","",Order!$L$16)</f>
        <v>BRONZE ANODIZED (FAYP03)</v>
      </c>
      <c r="K1153" s="36">
        <f>IF($C1153="","",_xlfn.XLOOKUP($C1153,Order!$C:$C,Order!$P:$P,"",0,1))</f>
        <v>0</v>
      </c>
      <c r="L1153" s="4">
        <f t="shared" si="17"/>
        <v>0</v>
      </c>
    </row>
    <row r="1154" spans="2:12" ht="23.25" hidden="1" customHeight="1" x14ac:dyDescent="0.25">
      <c r="B1154" s="4">
        <v>1149</v>
      </c>
      <c r="C1154" s="36" t="str">
        <f>IF(Order!$C$130="","",Order!$C$130)</f>
        <v>MP358</v>
      </c>
      <c r="D1154" s="36" t="str">
        <f>IF($C1154="","",_xlfn.XLOOKUP($C1154,Order!$C:$C,Order!$D:$D,"",0,1))</f>
        <v>MP358</v>
      </c>
      <c r="E1154" s="4" t="e" vm="318">
        <f>IF($C1154="","",_xlfn.XLOOKUP($C1154,Order!$C:$C,Order!$E:$E,"",0,1))</f>
        <v>#VALUE!</v>
      </c>
      <c r="F1154" s="4">
        <f>IF($C1154="","",_xlfn.XLOOKUP($C1154,Order!$C:$C,Order!$F:$F,"",0,1))</f>
        <v>6000</v>
      </c>
      <c r="G1154" s="4" t="str">
        <f>IF($C1154="","",_xlfn.XLOOKUP($C1154,Order!$C:$C,Order!$G:$G,"",0,1))</f>
        <v>6063T5</v>
      </c>
      <c r="H1154" s="4">
        <f>IF($C1154="","",_xlfn.XLOOKUP($C1154,Order!$C:$C,Order!$H:$H,"",0,1))</f>
        <v>0.42799999999999999</v>
      </c>
      <c r="I1154" s="36">
        <f>IF($C1154="","",_xlfn.XLOOKUP($C1154,Order!$C:$C,Order!$L:$L,"",0,1))</f>
        <v>0</v>
      </c>
      <c r="J1154" s="4" t="str">
        <f>IF(C1154="","",Order!$L$16)</f>
        <v>BRONZE ANODIZED (FAYP03)</v>
      </c>
      <c r="K1154" s="36">
        <f>IF($C1154="","",_xlfn.XLOOKUP($C1154,Order!$C:$C,Order!$P:$P,"",0,1))</f>
        <v>0</v>
      </c>
      <c r="L1154" s="4">
        <f t="shared" si="17"/>
        <v>0</v>
      </c>
    </row>
    <row r="1155" spans="2:12" ht="23.25" hidden="1" customHeight="1" x14ac:dyDescent="0.25">
      <c r="B1155" s="4">
        <v>1150</v>
      </c>
      <c r="C1155" s="36" t="str">
        <f>IF(Order!$C$131="","",Order!$C$131)</f>
        <v>MP359</v>
      </c>
      <c r="D1155" s="36" t="str">
        <f>IF($C1155="","",_xlfn.XLOOKUP($C1155,Order!$C:$C,Order!$D:$D,"",0,1))</f>
        <v>MP359</v>
      </c>
      <c r="E1155" s="4" t="e" vm="319">
        <f>IF($C1155="","",_xlfn.XLOOKUP($C1155,Order!$C:$C,Order!$E:$E,"",0,1))</f>
        <v>#VALUE!</v>
      </c>
      <c r="F1155" s="4">
        <f>IF($C1155="","",_xlfn.XLOOKUP($C1155,Order!$C:$C,Order!$F:$F,"",0,1))</f>
        <v>6000</v>
      </c>
      <c r="G1155" s="4" t="str">
        <f>IF($C1155="","",_xlfn.XLOOKUP($C1155,Order!$C:$C,Order!$G:$G,"",0,1))</f>
        <v>6063T5</v>
      </c>
      <c r="H1155" s="4">
        <f>IF($C1155="","",_xlfn.XLOOKUP($C1155,Order!$C:$C,Order!$H:$H,"",0,1))</f>
        <v>0.38200000000000001</v>
      </c>
      <c r="I1155" s="36">
        <f>IF($C1155="","",_xlfn.XLOOKUP($C1155,Order!$C:$C,Order!$L:$L,"",0,1))</f>
        <v>0</v>
      </c>
      <c r="J1155" s="4" t="str">
        <f>IF(C1155="","",Order!$L$16)</f>
        <v>BRONZE ANODIZED (FAYP03)</v>
      </c>
      <c r="K1155" s="36">
        <f>IF($C1155="","",_xlfn.XLOOKUP($C1155,Order!$C:$C,Order!$P:$P,"",0,1))</f>
        <v>0</v>
      </c>
      <c r="L1155" s="4">
        <f t="shared" si="17"/>
        <v>0</v>
      </c>
    </row>
    <row r="1156" spans="2:12" ht="23.25" hidden="1" customHeight="1" x14ac:dyDescent="0.25">
      <c r="B1156" s="4">
        <v>1151</v>
      </c>
      <c r="C1156" s="36" t="str">
        <f>IF(Order!$C$132="","",Order!$C$132)</f>
        <v>MP360</v>
      </c>
      <c r="D1156" s="36" t="str">
        <f>IF($C1156="","",_xlfn.XLOOKUP($C1156,Order!$C:$C,Order!$D:$D,"",0,1))</f>
        <v>MP360</v>
      </c>
      <c r="E1156" s="4" t="e" vm="320">
        <f>IF($C1156="","",_xlfn.XLOOKUP($C1156,Order!$C:$C,Order!$E:$E,"",0,1))</f>
        <v>#VALUE!</v>
      </c>
      <c r="F1156" s="4">
        <f>IF($C1156="","",_xlfn.XLOOKUP($C1156,Order!$C:$C,Order!$F:$F,"",0,1))</f>
        <v>6000</v>
      </c>
      <c r="G1156" s="4" t="str">
        <f>IF($C1156="","",_xlfn.XLOOKUP($C1156,Order!$C:$C,Order!$G:$G,"",0,1))</f>
        <v>6063T5</v>
      </c>
      <c r="H1156" s="4">
        <f>IF($C1156="","",_xlfn.XLOOKUP($C1156,Order!$C:$C,Order!$H:$H,"",0,1))</f>
        <v>0.313</v>
      </c>
      <c r="I1156" s="36">
        <f>IF($C1156="","",_xlfn.XLOOKUP($C1156,Order!$C:$C,Order!$L:$L,"",0,1))</f>
        <v>0</v>
      </c>
      <c r="J1156" s="4" t="str">
        <f>IF(C1156="","",Order!$L$16)</f>
        <v>BRONZE ANODIZED (FAYP03)</v>
      </c>
      <c r="K1156" s="36">
        <f>IF($C1156="","",_xlfn.XLOOKUP($C1156,Order!$C:$C,Order!$P:$P,"",0,1))</f>
        <v>0</v>
      </c>
      <c r="L1156" s="4">
        <f t="shared" si="17"/>
        <v>0</v>
      </c>
    </row>
    <row r="1157" spans="2:12" ht="23.25" hidden="1" customHeight="1" x14ac:dyDescent="0.25">
      <c r="B1157" s="4">
        <v>1152</v>
      </c>
      <c r="C1157" s="36" t="str">
        <f>IF(Order!$C$133="","",Order!$C$133)</f>
        <v>MP361</v>
      </c>
      <c r="D1157" s="36" t="str">
        <f>IF($C1157="","",_xlfn.XLOOKUP($C1157,Order!$C:$C,Order!$D:$D,"",0,1))</f>
        <v>MP361</v>
      </c>
      <c r="E1157" s="4" t="e" vm="321">
        <f>IF($C1157="","",_xlfn.XLOOKUP($C1157,Order!$C:$C,Order!$E:$E,"",0,1))</f>
        <v>#VALUE!</v>
      </c>
      <c r="F1157" s="4">
        <f>IF($C1157="","",_xlfn.XLOOKUP($C1157,Order!$C:$C,Order!$F:$F,"",0,1))</f>
        <v>6000</v>
      </c>
      <c r="G1157" s="4" t="str">
        <f>IF($C1157="","",_xlfn.XLOOKUP($C1157,Order!$C:$C,Order!$G:$G,"",0,1))</f>
        <v>6063T5</v>
      </c>
      <c r="H1157" s="4">
        <f>IF($C1157="","",_xlfn.XLOOKUP($C1157,Order!$C:$C,Order!$H:$H,"",0,1))</f>
        <v>1.06</v>
      </c>
      <c r="I1157" s="36">
        <f>IF($C1157="","",_xlfn.XLOOKUP($C1157,Order!$C:$C,Order!$L:$L,"",0,1))</f>
        <v>0</v>
      </c>
      <c r="J1157" s="4" t="str">
        <f>IF(C1157="","",Order!$L$16)</f>
        <v>BRONZE ANODIZED (FAYP03)</v>
      </c>
      <c r="K1157" s="36">
        <f>IF($C1157="","",_xlfn.XLOOKUP($C1157,Order!$C:$C,Order!$P:$P,"",0,1))</f>
        <v>0</v>
      </c>
      <c r="L1157" s="4">
        <f t="shared" si="17"/>
        <v>0</v>
      </c>
    </row>
    <row r="1158" spans="2:12" ht="23.25" hidden="1" customHeight="1" x14ac:dyDescent="0.25">
      <c r="B1158" s="4">
        <v>1153</v>
      </c>
      <c r="C1158" s="36" t="str">
        <f>IF(Order!$C$134="","",Order!$C$134)</f>
        <v>MP362</v>
      </c>
      <c r="D1158" s="36" t="str">
        <f>IF($C1158="","",_xlfn.XLOOKUP($C1158,Order!$C:$C,Order!$D:$D,"",0,1))</f>
        <v>MP362</v>
      </c>
      <c r="E1158" s="4" t="e" vm="322">
        <f>IF($C1158="","",_xlfn.XLOOKUP($C1158,Order!$C:$C,Order!$E:$E,"",0,1))</f>
        <v>#VALUE!</v>
      </c>
      <c r="F1158" s="4">
        <f>IF($C1158="","",_xlfn.XLOOKUP($C1158,Order!$C:$C,Order!$F:$F,"",0,1))</f>
        <v>6000</v>
      </c>
      <c r="G1158" s="4" t="str">
        <f>IF($C1158="","",_xlfn.XLOOKUP($C1158,Order!$C:$C,Order!$G:$G,"",0,1))</f>
        <v>6063T5</v>
      </c>
      <c r="H1158" s="4">
        <f>IF($C1158="","",_xlfn.XLOOKUP($C1158,Order!$C:$C,Order!$H:$H,"",0,1))</f>
        <v>0.98199999999999998</v>
      </c>
      <c r="I1158" s="36">
        <f>IF($C1158="","",_xlfn.XLOOKUP($C1158,Order!$C:$C,Order!$L:$L,"",0,1))</f>
        <v>0</v>
      </c>
      <c r="J1158" s="4" t="str">
        <f>IF(C1158="","",Order!$L$16)</f>
        <v>BRONZE ANODIZED (FAYP03)</v>
      </c>
      <c r="K1158" s="36">
        <f>IF($C1158="","",_xlfn.XLOOKUP($C1158,Order!$C:$C,Order!$P:$P,"",0,1))</f>
        <v>0</v>
      </c>
      <c r="L1158" s="4">
        <f t="shared" si="17"/>
        <v>0</v>
      </c>
    </row>
    <row r="1159" spans="2:12" ht="23.25" hidden="1" customHeight="1" x14ac:dyDescent="0.25">
      <c r="B1159" s="4">
        <v>1154</v>
      </c>
      <c r="C1159" s="36" t="str">
        <f>IF(Order!$C$135="","",Order!$C$135)</f>
        <v>MP363</v>
      </c>
      <c r="D1159" s="36" t="str">
        <f>IF($C1159="","",_xlfn.XLOOKUP($C1159,Order!$C:$C,Order!$D:$D,"",0,1))</f>
        <v>MP363</v>
      </c>
      <c r="E1159" s="4" t="e" vm="323">
        <f>IF($C1159="","",_xlfn.XLOOKUP($C1159,Order!$C:$C,Order!$E:$E,"",0,1))</f>
        <v>#VALUE!</v>
      </c>
      <c r="F1159" s="4">
        <f>IF($C1159="","",_xlfn.XLOOKUP($C1159,Order!$C:$C,Order!$F:$F,"",0,1))</f>
        <v>6000</v>
      </c>
      <c r="G1159" s="4" t="str">
        <f>IF($C1159="","",_xlfn.XLOOKUP($C1159,Order!$C:$C,Order!$G:$G,"",0,1))</f>
        <v>6063T5</v>
      </c>
      <c r="H1159" s="4">
        <f>IF($C1159="","",_xlfn.XLOOKUP($C1159,Order!$C:$C,Order!$H:$H,"",0,1))</f>
        <v>0.49</v>
      </c>
      <c r="I1159" s="36">
        <f>IF($C1159="","",_xlfn.XLOOKUP($C1159,Order!$C:$C,Order!$L:$L,"",0,1))</f>
        <v>0</v>
      </c>
      <c r="J1159" s="4" t="str">
        <f>IF(C1159="","",Order!$L$16)</f>
        <v>BRONZE ANODIZED (FAYP03)</v>
      </c>
      <c r="K1159" s="36">
        <f>IF($C1159="","",_xlfn.XLOOKUP($C1159,Order!$C:$C,Order!$P:$P,"",0,1))</f>
        <v>0</v>
      </c>
      <c r="L1159" s="4">
        <f t="shared" ref="L1159:L1222" si="18">IF(C1159="","",F1159/1000*H1159*I1159)</f>
        <v>0</v>
      </c>
    </row>
    <row r="1160" spans="2:12" ht="23.25" hidden="1" customHeight="1" x14ac:dyDescent="0.25">
      <c r="B1160" s="4">
        <v>1155</v>
      </c>
      <c r="C1160" s="36" t="str">
        <f>IF(Order!$C$136="","",Order!$C$136)</f>
        <v>MP370</v>
      </c>
      <c r="D1160" s="36" t="str">
        <f>IF($C1160="","",_xlfn.XLOOKUP($C1160,Order!$C:$C,Order!$D:$D,"",0,1))</f>
        <v>MP370</v>
      </c>
      <c r="E1160" s="4" t="e" vm="324">
        <f>IF($C1160="","",_xlfn.XLOOKUP($C1160,Order!$C:$C,Order!$E:$E,"",0,1))</f>
        <v>#VALUE!</v>
      </c>
      <c r="F1160" s="4">
        <f>IF($C1160="","",_xlfn.XLOOKUP($C1160,Order!$C:$C,Order!$F:$F,"",0,1))</f>
        <v>6000</v>
      </c>
      <c r="G1160" s="4" t="str">
        <f>IF($C1160="","",_xlfn.XLOOKUP($C1160,Order!$C:$C,Order!$G:$G,"",0,1))</f>
        <v>6063T5</v>
      </c>
      <c r="H1160" s="4">
        <f>IF($C1160="","",_xlfn.XLOOKUP($C1160,Order!$C:$C,Order!$H:$H,"",0,1))</f>
        <v>0.58099999999999996</v>
      </c>
      <c r="I1160" s="36">
        <f>IF($C1160="","",_xlfn.XLOOKUP($C1160,Order!$C:$C,Order!$L:$L,"",0,1))</f>
        <v>0</v>
      </c>
      <c r="J1160" s="4" t="str">
        <f>IF(C1160="","",Order!$L$16)</f>
        <v>BRONZE ANODIZED (FAYP03)</v>
      </c>
      <c r="K1160" s="36">
        <f>IF($C1160="","",_xlfn.XLOOKUP($C1160,Order!$C:$C,Order!$P:$P,"",0,1))</f>
        <v>0</v>
      </c>
      <c r="L1160" s="4">
        <f t="shared" si="18"/>
        <v>0</v>
      </c>
    </row>
    <row r="1161" spans="2:12" ht="23.25" hidden="1" customHeight="1" x14ac:dyDescent="0.25">
      <c r="B1161" s="4">
        <v>1156</v>
      </c>
      <c r="C1161" s="36" t="str">
        <f>IF(Order!$C$137="","",Order!$C$137)</f>
        <v>BG001</v>
      </c>
      <c r="D1161" s="36" t="str">
        <f>IF($C1161="","",_xlfn.XLOOKUP($C1161,Order!$C:$C,Order!$D:$D,"",0,1))</f>
        <v>BG001</v>
      </c>
      <c r="E1161" s="4" t="e" vm="325">
        <f>IF($C1161="","",_xlfn.XLOOKUP($C1161,Order!$C:$C,Order!$E:$E,"",0,1))</f>
        <v>#VALUE!</v>
      </c>
      <c r="F1161" s="4">
        <f>IF($C1161="","",_xlfn.XLOOKUP($C1161,Order!$C:$C,Order!$F:$F,"",0,1))</f>
        <v>6000</v>
      </c>
      <c r="G1161" s="4" t="str">
        <f>IF($C1161="","",_xlfn.XLOOKUP($C1161,Order!$C:$C,Order!$G:$G,"",0,1))</f>
        <v>6063T5</v>
      </c>
      <c r="H1161" s="4">
        <f>IF($C1161="","",_xlfn.XLOOKUP($C1161,Order!$C:$C,Order!$H:$H,"",0,1))</f>
        <v>0.10299999999999999</v>
      </c>
      <c r="I1161" s="36">
        <f>IF($C1161="","",_xlfn.XLOOKUP($C1161,Order!$C:$C,Order!$L:$L,"",0,1))</f>
        <v>0</v>
      </c>
      <c r="J1161" s="4" t="str">
        <f>IF(C1161="","",Order!$L$16)</f>
        <v>BRONZE ANODIZED (FAYP03)</v>
      </c>
      <c r="K1161" s="36">
        <f>IF($C1161="","",_xlfn.XLOOKUP($C1161,Order!$C:$C,Order!$P:$P,"",0,1))</f>
        <v>0</v>
      </c>
      <c r="L1161" s="4">
        <f t="shared" si="18"/>
        <v>0</v>
      </c>
    </row>
    <row r="1162" spans="2:12" ht="23.25" hidden="1" customHeight="1" x14ac:dyDescent="0.25">
      <c r="B1162" s="4">
        <v>1157</v>
      </c>
      <c r="C1162" s="36" t="str">
        <f>IF(Order!$C$138="","",Order!$C$138)</f>
        <v>BG035</v>
      </c>
      <c r="D1162" s="36" t="str">
        <f>IF($C1162="","",_xlfn.XLOOKUP($C1162,Order!$C:$C,Order!$D:$D,"",0,1))</f>
        <v>BG035</v>
      </c>
      <c r="E1162" s="4" t="e" vm="326">
        <f>IF($C1162="","",_xlfn.XLOOKUP($C1162,Order!$C:$C,Order!$E:$E,"",0,1))</f>
        <v>#VALUE!</v>
      </c>
      <c r="F1162" s="4">
        <f>IF($C1162="","",_xlfn.XLOOKUP($C1162,Order!$C:$C,Order!$F:$F,"",0,1))</f>
        <v>6000</v>
      </c>
      <c r="G1162" s="4" t="str">
        <f>IF($C1162="","",_xlfn.XLOOKUP($C1162,Order!$C:$C,Order!$G:$G,"",0,1))</f>
        <v>6063T5</v>
      </c>
      <c r="H1162" s="4">
        <f>IF($C1162="","",_xlfn.XLOOKUP($C1162,Order!$C:$C,Order!$H:$H,"",0,1))</f>
        <v>0.108</v>
      </c>
      <c r="I1162" s="36">
        <f>IF($C1162="","",_xlfn.XLOOKUP($C1162,Order!$C:$C,Order!$L:$L,"",0,1))</f>
        <v>0</v>
      </c>
      <c r="J1162" s="4" t="str">
        <f>IF(C1162="","",Order!$L$16)</f>
        <v>BRONZE ANODIZED (FAYP03)</v>
      </c>
      <c r="K1162" s="36">
        <f>IF($C1162="","",_xlfn.XLOOKUP($C1162,Order!$C:$C,Order!$P:$P,"",0,1))</f>
        <v>0</v>
      </c>
      <c r="L1162" s="4">
        <f t="shared" si="18"/>
        <v>0</v>
      </c>
    </row>
    <row r="1163" spans="2:12" ht="23.25" hidden="1" customHeight="1" x14ac:dyDescent="0.25">
      <c r="B1163" s="4">
        <v>1158</v>
      </c>
      <c r="C1163" s="36" t="str">
        <f>IF(Order!$C$139="","",Order!$C$139)</f>
        <v>ME056</v>
      </c>
      <c r="D1163" s="36" t="str">
        <f>IF($C1163="","",_xlfn.XLOOKUP($C1163,Order!$C:$C,Order!$D:$D,"",0,1))</f>
        <v>ME056</v>
      </c>
      <c r="E1163" s="4" t="e" vm="327">
        <f>IF($C1163="","",_xlfn.XLOOKUP($C1163,Order!$C:$C,Order!$E:$E,"",0,1))</f>
        <v>#VALUE!</v>
      </c>
      <c r="F1163" s="4">
        <f>IF($C1163="","",_xlfn.XLOOKUP($C1163,Order!$C:$C,Order!$F:$F,"",0,1))</f>
        <v>6000</v>
      </c>
      <c r="G1163" s="4" t="str">
        <f>IF($C1163="","",_xlfn.XLOOKUP($C1163,Order!$C:$C,Order!$G:$G,"",0,1))</f>
        <v>6063T5</v>
      </c>
      <c r="H1163" s="4">
        <f>IF($C1163="","",_xlfn.XLOOKUP($C1163,Order!$C:$C,Order!$H:$H,"",0,1))</f>
        <v>0.16900000000000001</v>
      </c>
      <c r="I1163" s="36">
        <f>IF($C1163="","",_xlfn.XLOOKUP($C1163,Order!$C:$C,Order!$L:$L,"",0,1))</f>
        <v>0</v>
      </c>
      <c r="J1163" s="4" t="str">
        <f>IF(C1163="","",Order!$L$16)</f>
        <v>BRONZE ANODIZED (FAYP03)</v>
      </c>
      <c r="K1163" s="36">
        <f>IF($C1163="","",_xlfn.XLOOKUP($C1163,Order!$C:$C,Order!$P:$P,"",0,1))</f>
        <v>0</v>
      </c>
      <c r="L1163" s="4">
        <f t="shared" si="18"/>
        <v>0</v>
      </c>
    </row>
    <row r="1164" spans="2:12" ht="23.25" hidden="1" customHeight="1" x14ac:dyDescent="0.25">
      <c r="B1164" s="4">
        <v>1159</v>
      </c>
      <c r="C1164" s="36">
        <f>IF(Order!$C$140="","",Order!$C$140)</f>
        <v>25001</v>
      </c>
      <c r="D1164" s="36">
        <f>IF($C1164="","",_xlfn.XLOOKUP($C1164,Order!$C:$C,Order!$D:$D,"",0,1))</f>
        <v>25001</v>
      </c>
      <c r="E1164" s="4" t="e" vm="328">
        <f>IF($C1164="","",_xlfn.XLOOKUP($C1164,Order!$C:$C,Order!$E:$E,"",0,1))</f>
        <v>#VALUE!</v>
      </c>
      <c r="F1164" s="4">
        <f>IF($C1164="","",_xlfn.XLOOKUP($C1164,Order!$C:$C,Order!$F:$F,"",0,1))</f>
        <v>6000</v>
      </c>
      <c r="G1164" s="4" t="str">
        <f>IF($C1164="","",_xlfn.XLOOKUP($C1164,Order!$C:$C,Order!$G:$G,"",0,1))</f>
        <v>6063T5</v>
      </c>
      <c r="H1164" s="4">
        <f>IF($C1164="","",_xlfn.XLOOKUP($C1164,Order!$C:$C,Order!$H:$H,"",0,1))</f>
        <v>0.28599999999999998</v>
      </c>
      <c r="I1164" s="36">
        <f>IF($C1164="","",_xlfn.XLOOKUP($C1164,Order!$C:$C,Order!$L:$L,"",0,1))</f>
        <v>0</v>
      </c>
      <c r="J1164" s="4" t="str">
        <f>IF(C1164="","",Order!$L$16)</f>
        <v>BRONZE ANODIZED (FAYP03)</v>
      </c>
      <c r="K1164" s="36">
        <f>IF($C1164="","",_xlfn.XLOOKUP($C1164,Order!$C:$C,Order!$P:$P,"",0,1))</f>
        <v>0</v>
      </c>
      <c r="L1164" s="4">
        <f t="shared" si="18"/>
        <v>0</v>
      </c>
    </row>
    <row r="1165" spans="2:12" ht="23.25" hidden="1" customHeight="1" x14ac:dyDescent="0.25">
      <c r="B1165" s="4">
        <v>1160</v>
      </c>
      <c r="C1165" s="36" t="str">
        <f>IF(Order!$C$141="","",Order!$C$141)</f>
        <v>25002L</v>
      </c>
      <c r="D1165" s="36" t="str">
        <f>IF($C1165="","",_xlfn.XLOOKUP($C1165,Order!$C:$C,Order!$D:$D,"",0,1))</f>
        <v>25002L</v>
      </c>
      <c r="E1165" s="4" t="e" vm="329">
        <f>IF($C1165="","",_xlfn.XLOOKUP($C1165,Order!$C:$C,Order!$E:$E,"",0,1))</f>
        <v>#VALUE!</v>
      </c>
      <c r="F1165" s="4">
        <f>IF($C1165="","",_xlfn.XLOOKUP($C1165,Order!$C:$C,Order!$F:$F,"",0,1))</f>
        <v>6000</v>
      </c>
      <c r="G1165" s="4" t="str">
        <f>IF($C1165="","",_xlfn.XLOOKUP($C1165,Order!$C:$C,Order!$G:$G,"",0,1))</f>
        <v>6063T5</v>
      </c>
      <c r="H1165" s="4">
        <f>IF($C1165="","",_xlfn.XLOOKUP($C1165,Order!$C:$C,Order!$H:$H,"",0,1))</f>
        <v>0.24399999999999999</v>
      </c>
      <c r="I1165" s="36">
        <f>IF($C1165="","",_xlfn.XLOOKUP($C1165,Order!$C:$C,Order!$L:$L,"",0,1))</f>
        <v>0</v>
      </c>
      <c r="J1165" s="4" t="str">
        <f>IF(C1165="","",Order!$L$16)</f>
        <v>BRONZE ANODIZED (FAYP03)</v>
      </c>
      <c r="K1165" s="36">
        <f>IF($C1165="","",_xlfn.XLOOKUP($C1165,Order!$C:$C,Order!$P:$P,"",0,1))</f>
        <v>0</v>
      </c>
      <c r="L1165" s="4">
        <f t="shared" si="18"/>
        <v>0</v>
      </c>
    </row>
    <row r="1166" spans="2:12" ht="23.25" hidden="1" customHeight="1" x14ac:dyDescent="0.25">
      <c r="B1166" s="4">
        <v>1161</v>
      </c>
      <c r="C1166" s="36">
        <f>IF(Order!$C$142="","",Order!$C$142)</f>
        <v>25016</v>
      </c>
      <c r="D1166" s="36">
        <f>IF($C1166="","",_xlfn.XLOOKUP($C1166,Order!$C:$C,Order!$D:$D,"",0,1))</f>
        <v>25016</v>
      </c>
      <c r="E1166" s="4" t="e" vm="330">
        <f>IF($C1166="","",_xlfn.XLOOKUP($C1166,Order!$C:$C,Order!$E:$E,"",0,1))</f>
        <v>#VALUE!</v>
      </c>
      <c r="F1166" s="4">
        <f>IF($C1166="","",_xlfn.XLOOKUP($C1166,Order!$C:$C,Order!$F:$F,"",0,1))</f>
        <v>6000</v>
      </c>
      <c r="G1166" s="4" t="str">
        <f>IF($C1166="","",_xlfn.XLOOKUP($C1166,Order!$C:$C,Order!$G:$G,"",0,1))</f>
        <v>6063T5</v>
      </c>
      <c r="H1166" s="4">
        <f>IF($C1166="","",_xlfn.XLOOKUP($C1166,Order!$C:$C,Order!$H:$H,"",0,1))</f>
        <v>0.32300000000000001</v>
      </c>
      <c r="I1166" s="36">
        <f>IF($C1166="","",_xlfn.XLOOKUP($C1166,Order!$C:$C,Order!$L:$L,"",0,1))</f>
        <v>0</v>
      </c>
      <c r="J1166" s="4" t="str">
        <f>IF(C1166="","",Order!$L$16)</f>
        <v>BRONZE ANODIZED (FAYP03)</v>
      </c>
      <c r="K1166" s="36">
        <f>IF($C1166="","",_xlfn.XLOOKUP($C1166,Order!$C:$C,Order!$P:$P,"",0,1))</f>
        <v>0</v>
      </c>
      <c r="L1166" s="4">
        <f t="shared" si="18"/>
        <v>0</v>
      </c>
    </row>
    <row r="1167" spans="2:12" ht="23.25" hidden="1" customHeight="1" x14ac:dyDescent="0.25">
      <c r="B1167" s="4">
        <v>1162</v>
      </c>
      <c r="C1167" s="36">
        <f>IF(Order!$C$143="","",Order!$C$143)</f>
        <v>25021</v>
      </c>
      <c r="D1167" s="36">
        <f>IF($C1167="","",_xlfn.XLOOKUP($C1167,Order!$C:$C,Order!$D:$D,"",0,1))</f>
        <v>25021</v>
      </c>
      <c r="E1167" s="4" t="e" vm="331">
        <f>IF($C1167="","",_xlfn.XLOOKUP($C1167,Order!$C:$C,Order!$E:$E,"",0,1))</f>
        <v>#VALUE!</v>
      </c>
      <c r="F1167" s="4">
        <f>IF($C1167="","",_xlfn.XLOOKUP($C1167,Order!$C:$C,Order!$F:$F,"",0,1))</f>
        <v>6000</v>
      </c>
      <c r="G1167" s="4" t="str">
        <f>IF($C1167="","",_xlfn.XLOOKUP($C1167,Order!$C:$C,Order!$G:$G,"",0,1))</f>
        <v>6063T5</v>
      </c>
      <c r="H1167" s="4">
        <f>IF($C1167="","",_xlfn.XLOOKUP($C1167,Order!$C:$C,Order!$H:$H,"",0,1))</f>
        <v>0.21299999999999999</v>
      </c>
      <c r="I1167" s="36">
        <f>IF($C1167="","",_xlfn.XLOOKUP($C1167,Order!$C:$C,Order!$L:$L,"",0,1))</f>
        <v>0</v>
      </c>
      <c r="J1167" s="4" t="str">
        <f>IF(C1167="","",Order!$L$16)</f>
        <v>BRONZE ANODIZED (FAYP03)</v>
      </c>
      <c r="K1167" s="36">
        <f>IF($C1167="","",_xlfn.XLOOKUP($C1167,Order!$C:$C,Order!$P:$P,"",0,1))</f>
        <v>0</v>
      </c>
      <c r="L1167" s="4">
        <f t="shared" si="18"/>
        <v>0</v>
      </c>
    </row>
    <row r="1168" spans="2:12" ht="23.25" hidden="1" customHeight="1" x14ac:dyDescent="0.25">
      <c r="B1168" s="4">
        <v>1163</v>
      </c>
      <c r="C1168" s="36">
        <f>IF(Order!$C$144="","",Order!$C$144)</f>
        <v>25026</v>
      </c>
      <c r="D1168" s="36">
        <f>IF($C1168="","",_xlfn.XLOOKUP($C1168,Order!$C:$C,Order!$D:$D,"",0,1))</f>
        <v>25026</v>
      </c>
      <c r="E1168" s="4" t="e" vm="332">
        <f>IF($C1168="","",_xlfn.XLOOKUP($C1168,Order!$C:$C,Order!$E:$E,"",0,1))</f>
        <v>#VALUE!</v>
      </c>
      <c r="F1168" s="4">
        <f>IF($C1168="","",_xlfn.XLOOKUP($C1168,Order!$C:$C,Order!$F:$F,"",0,1))</f>
        <v>6000</v>
      </c>
      <c r="G1168" s="4" t="str">
        <f>IF($C1168="","",_xlfn.XLOOKUP($C1168,Order!$C:$C,Order!$G:$G,"",0,1))</f>
        <v>6063T5</v>
      </c>
      <c r="H1168" s="4">
        <f>IF($C1168="","",_xlfn.XLOOKUP($C1168,Order!$C:$C,Order!$H:$H,"",0,1))</f>
        <v>0.47599999999999998</v>
      </c>
      <c r="I1168" s="36">
        <f>IF($C1168="","",_xlfn.XLOOKUP($C1168,Order!$C:$C,Order!$L:$L,"",0,1))</f>
        <v>0</v>
      </c>
      <c r="J1168" s="4" t="str">
        <f>IF(C1168="","",Order!$L$16)</f>
        <v>BRONZE ANODIZED (FAYP03)</v>
      </c>
      <c r="K1168" s="36">
        <f>IF($C1168="","",_xlfn.XLOOKUP($C1168,Order!$C:$C,Order!$P:$P,"",0,1))</f>
        <v>0</v>
      </c>
      <c r="L1168" s="4">
        <f t="shared" si="18"/>
        <v>0</v>
      </c>
    </row>
    <row r="1169" spans="2:12" ht="23.25" hidden="1" customHeight="1" x14ac:dyDescent="0.25">
      <c r="B1169" s="4">
        <v>1164</v>
      </c>
      <c r="C1169" s="36" t="str">
        <f>IF(Order!$C$145="","",Order!$C$145)</f>
        <v>25048 (MM-376)</v>
      </c>
      <c r="D1169" s="36">
        <f>IF($C1169="","",_xlfn.XLOOKUP($C1169,Order!$C:$C,Order!$D:$D,"",0,1))</f>
        <v>25048</v>
      </c>
      <c r="E1169" s="4" t="e" vm="333">
        <f>IF($C1169="","",_xlfn.XLOOKUP($C1169,Order!$C:$C,Order!$E:$E,"",0,1))</f>
        <v>#VALUE!</v>
      </c>
      <c r="F1169" s="4">
        <f>IF($C1169="","",_xlfn.XLOOKUP($C1169,Order!$C:$C,Order!$F:$F,"",0,1))</f>
        <v>6000</v>
      </c>
      <c r="G1169" s="4" t="str">
        <f>IF($C1169="","",_xlfn.XLOOKUP($C1169,Order!$C:$C,Order!$G:$G,"",0,1))</f>
        <v>6063T5</v>
      </c>
      <c r="H1169" s="4">
        <f>IF($C1169="","",_xlfn.XLOOKUP($C1169,Order!$C:$C,Order!$H:$H,"",0,1))</f>
        <v>0.436</v>
      </c>
      <c r="I1169" s="36">
        <f>IF($C1169="","",_xlfn.XLOOKUP($C1169,Order!$C:$C,Order!$L:$L,"",0,1))</f>
        <v>0</v>
      </c>
      <c r="J1169" s="4" t="str">
        <f>IF(C1169="","",Order!$L$16)</f>
        <v>BRONZE ANODIZED (FAYP03)</v>
      </c>
      <c r="K1169" s="36">
        <f>IF($C1169="","",_xlfn.XLOOKUP($C1169,Order!$C:$C,Order!$P:$P,"",0,1))</f>
        <v>0</v>
      </c>
      <c r="L1169" s="4">
        <f t="shared" si="18"/>
        <v>0</v>
      </c>
    </row>
    <row r="1170" spans="2:12" ht="23.25" hidden="1" customHeight="1" x14ac:dyDescent="0.25">
      <c r="B1170" s="4">
        <v>1165</v>
      </c>
      <c r="C1170" s="36" t="str">
        <f>IF(Order!$C$146="","",Order!$C$146)</f>
        <v>25052 (MM-375)</v>
      </c>
      <c r="D1170" s="36">
        <f>IF($C1170="","",_xlfn.XLOOKUP($C1170,Order!$C:$C,Order!$D:$D,"",0,1))</f>
        <v>25052</v>
      </c>
      <c r="E1170" s="4" t="e" vm="334">
        <f>IF($C1170="","",_xlfn.XLOOKUP($C1170,Order!$C:$C,Order!$E:$E,"",0,1))</f>
        <v>#VALUE!</v>
      </c>
      <c r="F1170" s="4">
        <f>IF($C1170="","",_xlfn.XLOOKUP($C1170,Order!$C:$C,Order!$F:$F,"",0,1))</f>
        <v>6000</v>
      </c>
      <c r="G1170" s="4" t="str">
        <f>IF($C1170="","",_xlfn.XLOOKUP($C1170,Order!$C:$C,Order!$G:$G,"",0,1))</f>
        <v>6063T5</v>
      </c>
      <c r="H1170" s="4">
        <f>IF($C1170="","",_xlfn.XLOOKUP($C1170,Order!$C:$C,Order!$H:$H,"",0,1))</f>
        <v>0.33</v>
      </c>
      <c r="I1170" s="36">
        <f>IF($C1170="","",_xlfn.XLOOKUP($C1170,Order!$C:$C,Order!$L:$L,"",0,1))</f>
        <v>0</v>
      </c>
      <c r="J1170" s="4" t="str">
        <f>IF(C1170="","",Order!$L$16)</f>
        <v>BRONZE ANODIZED (FAYP03)</v>
      </c>
      <c r="K1170" s="36">
        <f>IF($C1170="","",_xlfn.XLOOKUP($C1170,Order!$C:$C,Order!$P:$P,"",0,1))</f>
        <v>0</v>
      </c>
      <c r="L1170" s="4">
        <f t="shared" si="18"/>
        <v>0</v>
      </c>
    </row>
    <row r="1171" spans="2:12" ht="23.25" hidden="1" customHeight="1" x14ac:dyDescent="0.25">
      <c r="B1171" s="4">
        <v>1166</v>
      </c>
      <c r="C1171" s="36">
        <f>IF(Order!$C$147="","",Order!$C$147)</f>
        <v>25301</v>
      </c>
      <c r="D1171" s="36">
        <f>IF($C1171="","",_xlfn.XLOOKUP($C1171,Order!$C:$C,Order!$D:$D,"",0,1))</f>
        <v>25301</v>
      </c>
      <c r="E1171" s="4" t="e" vm="335">
        <f>IF($C1171="","",_xlfn.XLOOKUP($C1171,Order!$C:$C,Order!$E:$E,"",0,1))</f>
        <v>#VALUE!</v>
      </c>
      <c r="F1171" s="4">
        <f>IF($C1171="","",_xlfn.XLOOKUP($C1171,Order!$C:$C,Order!$F:$F,"",0,1))</f>
        <v>6000</v>
      </c>
      <c r="G1171" s="4" t="str">
        <f>IF($C1171="","",_xlfn.XLOOKUP($C1171,Order!$C:$C,Order!$G:$G,"",0,1))</f>
        <v>6063T5</v>
      </c>
      <c r="H1171" s="4">
        <f>IF($C1171="","",_xlfn.XLOOKUP($C1171,Order!$C:$C,Order!$H:$H,"",0,1))</f>
        <v>0.29299999999999998</v>
      </c>
      <c r="I1171" s="36">
        <f>IF($C1171="","",_xlfn.XLOOKUP($C1171,Order!$C:$C,Order!$L:$L,"",0,1))</f>
        <v>0</v>
      </c>
      <c r="J1171" s="4" t="str">
        <f>IF(C1171="","",Order!$L$16)</f>
        <v>BRONZE ANODIZED (FAYP03)</v>
      </c>
      <c r="K1171" s="36">
        <f>IF($C1171="","",_xlfn.XLOOKUP($C1171,Order!$C:$C,Order!$P:$P,"",0,1))</f>
        <v>0</v>
      </c>
      <c r="L1171" s="4">
        <f t="shared" si="18"/>
        <v>0</v>
      </c>
    </row>
    <row r="1172" spans="2:12" ht="23.25" hidden="1" customHeight="1" x14ac:dyDescent="0.25">
      <c r="B1172" s="4">
        <v>1167</v>
      </c>
      <c r="C1172" s="36">
        <f>IF(Order!$C$148="","",Order!$C$148)</f>
        <v>25311</v>
      </c>
      <c r="D1172" s="36">
        <f>IF($C1172="","",_xlfn.XLOOKUP($C1172,Order!$C:$C,Order!$D:$D,"",0,1))</f>
        <v>25311</v>
      </c>
      <c r="E1172" s="4" t="e" vm="336">
        <f>IF($C1172="","",_xlfn.XLOOKUP($C1172,Order!$C:$C,Order!$E:$E,"",0,1))</f>
        <v>#VALUE!</v>
      </c>
      <c r="F1172" s="4">
        <f>IF($C1172="","",_xlfn.XLOOKUP($C1172,Order!$C:$C,Order!$F:$F,"",0,1))</f>
        <v>6000</v>
      </c>
      <c r="G1172" s="4" t="str">
        <f>IF($C1172="","",_xlfn.XLOOKUP($C1172,Order!$C:$C,Order!$G:$G,"",0,1))</f>
        <v>6063T5</v>
      </c>
      <c r="H1172" s="4">
        <f>IF($C1172="","",_xlfn.XLOOKUP($C1172,Order!$C:$C,Order!$H:$H,"",0,1))</f>
        <v>0.28899999999999998</v>
      </c>
      <c r="I1172" s="36">
        <f>IF($C1172="","",_xlfn.XLOOKUP($C1172,Order!$C:$C,Order!$L:$L,"",0,1))</f>
        <v>0</v>
      </c>
      <c r="J1172" s="4" t="str">
        <f>IF(C1172="","",Order!$L$16)</f>
        <v>BRONZE ANODIZED (FAYP03)</v>
      </c>
      <c r="K1172" s="36">
        <f>IF($C1172="","",_xlfn.XLOOKUP($C1172,Order!$C:$C,Order!$P:$P,"",0,1))</f>
        <v>0</v>
      </c>
      <c r="L1172" s="4">
        <f t="shared" si="18"/>
        <v>0</v>
      </c>
    </row>
    <row r="1173" spans="2:12" ht="23.25" hidden="1" customHeight="1" x14ac:dyDescent="0.25">
      <c r="B1173" s="4">
        <v>1168</v>
      </c>
      <c r="C1173" s="36" t="str">
        <f>IF(Order!$C$149="","",Order!$C$149)</f>
        <v>25312(25046)</v>
      </c>
      <c r="D1173" s="36">
        <f>IF($C1173="","",_xlfn.XLOOKUP($C1173,Order!$C:$C,Order!$D:$D,"",0,1))</f>
        <v>25312</v>
      </c>
      <c r="E1173" s="4" t="e" vm="337">
        <f>IF($C1173="","",_xlfn.XLOOKUP($C1173,Order!$C:$C,Order!$E:$E,"",0,1))</f>
        <v>#VALUE!</v>
      </c>
      <c r="F1173" s="4">
        <f>IF($C1173="","",_xlfn.XLOOKUP($C1173,Order!$C:$C,Order!$F:$F,"",0,1))</f>
        <v>6000</v>
      </c>
      <c r="G1173" s="4" t="str">
        <f>IF($C1173="","",_xlfn.XLOOKUP($C1173,Order!$C:$C,Order!$G:$G,"",0,1))</f>
        <v>6063T5</v>
      </c>
      <c r="H1173" s="4">
        <f>IF($C1173="","",_xlfn.XLOOKUP($C1173,Order!$C:$C,Order!$H:$H,"",0,1))</f>
        <v>0.316</v>
      </c>
      <c r="I1173" s="36">
        <f>IF($C1173="","",_xlfn.XLOOKUP($C1173,Order!$C:$C,Order!$L:$L,"",0,1))</f>
        <v>0</v>
      </c>
      <c r="J1173" s="4" t="str">
        <f>IF(C1173="","",Order!$L$16)</f>
        <v>BRONZE ANODIZED (FAYP03)</v>
      </c>
      <c r="K1173" s="36">
        <f>IF($C1173="","",_xlfn.XLOOKUP($C1173,Order!$C:$C,Order!$P:$P,"",0,1))</f>
        <v>0</v>
      </c>
      <c r="L1173" s="4">
        <f t="shared" si="18"/>
        <v>0</v>
      </c>
    </row>
    <row r="1174" spans="2:12" ht="23.25" hidden="1" customHeight="1" x14ac:dyDescent="0.25">
      <c r="B1174" s="4">
        <v>1169</v>
      </c>
      <c r="C1174" s="36" t="str">
        <f>IF(Order!$C$150="","",Order!$C$150)</f>
        <v>25504L</v>
      </c>
      <c r="D1174" s="36" t="str">
        <f>IF($C1174="","",_xlfn.XLOOKUP($C1174,Order!$C:$C,Order!$D:$D,"",0,1))</f>
        <v>25504L</v>
      </c>
      <c r="E1174" s="4" t="e" vm="338">
        <f>IF($C1174="","",_xlfn.XLOOKUP($C1174,Order!$C:$C,Order!$E:$E,"",0,1))</f>
        <v>#VALUE!</v>
      </c>
      <c r="F1174" s="4">
        <f>IF($C1174="","",_xlfn.XLOOKUP($C1174,Order!$C:$C,Order!$F:$F,"",0,1))</f>
        <v>6000</v>
      </c>
      <c r="G1174" s="4" t="str">
        <f>IF($C1174="","",_xlfn.XLOOKUP($C1174,Order!$C:$C,Order!$G:$G,"",0,1))</f>
        <v>6063T5</v>
      </c>
      <c r="H1174" s="4">
        <f>IF($C1174="","",_xlfn.XLOOKUP($C1174,Order!$C:$C,Order!$H:$H,"",0,1))</f>
        <v>0.39200000000000002</v>
      </c>
      <c r="I1174" s="36">
        <f>IF($C1174="","",_xlfn.XLOOKUP($C1174,Order!$C:$C,Order!$L:$L,"",0,1))</f>
        <v>0</v>
      </c>
      <c r="J1174" s="4" t="str">
        <f>IF(C1174="","",Order!$L$16)</f>
        <v>BRONZE ANODIZED (FAYP03)</v>
      </c>
      <c r="K1174" s="36">
        <f>IF($C1174="","",_xlfn.XLOOKUP($C1174,Order!$C:$C,Order!$P:$P,"",0,1))</f>
        <v>0</v>
      </c>
      <c r="L1174" s="4">
        <f t="shared" si="18"/>
        <v>0</v>
      </c>
    </row>
    <row r="1175" spans="2:12" ht="23.25" hidden="1" customHeight="1" x14ac:dyDescent="0.25">
      <c r="B1175" s="4">
        <v>1170</v>
      </c>
      <c r="C1175" s="36">
        <f>IF(Order!$C$151="","",Order!$C$151)</f>
        <v>25508</v>
      </c>
      <c r="D1175" s="36">
        <f>IF($C1175="","",_xlfn.XLOOKUP($C1175,Order!$C:$C,Order!$D:$D,"",0,1))</f>
        <v>25508</v>
      </c>
      <c r="E1175" s="4" t="e" vm="339">
        <f>IF($C1175="","",_xlfn.XLOOKUP($C1175,Order!$C:$C,Order!$E:$E,"",0,1))</f>
        <v>#VALUE!</v>
      </c>
      <c r="F1175" s="4">
        <f>IF($C1175="","",_xlfn.XLOOKUP($C1175,Order!$C:$C,Order!$F:$F,"",0,1))</f>
        <v>6000</v>
      </c>
      <c r="G1175" s="4" t="str">
        <f>IF($C1175="","",_xlfn.XLOOKUP($C1175,Order!$C:$C,Order!$G:$G,"",0,1))</f>
        <v>6063T5</v>
      </c>
      <c r="H1175" s="4">
        <f>IF($C1175="","",_xlfn.XLOOKUP($C1175,Order!$C:$C,Order!$H:$H,"",0,1))</f>
        <v>0.53300000000000003</v>
      </c>
      <c r="I1175" s="36">
        <f>IF($C1175="","",_xlfn.XLOOKUP($C1175,Order!$C:$C,Order!$L:$L,"",0,1))</f>
        <v>0</v>
      </c>
      <c r="J1175" s="4" t="str">
        <f>IF(C1175="","",Order!$L$16)</f>
        <v>BRONZE ANODIZED (FAYP03)</v>
      </c>
      <c r="K1175" s="36">
        <f>IF($C1175="","",_xlfn.XLOOKUP($C1175,Order!$C:$C,Order!$P:$P,"",0,1))</f>
        <v>0</v>
      </c>
      <c r="L1175" s="4">
        <f t="shared" si="18"/>
        <v>0</v>
      </c>
    </row>
    <row r="1176" spans="2:12" ht="23.25" hidden="1" customHeight="1" x14ac:dyDescent="0.25">
      <c r="B1176" s="4">
        <v>1171</v>
      </c>
      <c r="C1176" s="36">
        <f>IF(Order!$C$152="","",Order!$C$152)</f>
        <v>25515</v>
      </c>
      <c r="D1176" s="36">
        <f>IF($C1176="","",_xlfn.XLOOKUP($C1176,Order!$C:$C,Order!$D:$D,"",0,1))</f>
        <v>25515</v>
      </c>
      <c r="E1176" s="4" t="e" vm="340">
        <f>IF($C1176="","",_xlfn.XLOOKUP($C1176,Order!$C:$C,Order!$E:$E,"",0,1))</f>
        <v>#VALUE!</v>
      </c>
      <c r="F1176" s="4">
        <f>IF($C1176="","",_xlfn.XLOOKUP($C1176,Order!$C:$C,Order!$F:$F,"",0,1))</f>
        <v>6000</v>
      </c>
      <c r="G1176" s="4" t="str">
        <f>IF($C1176="","",_xlfn.XLOOKUP($C1176,Order!$C:$C,Order!$G:$G,"",0,1))</f>
        <v>6063T5</v>
      </c>
      <c r="H1176" s="4">
        <f>IF($C1176="","",_xlfn.XLOOKUP($C1176,Order!$C:$C,Order!$H:$H,"",0,1))</f>
        <v>0.48399999999999999</v>
      </c>
      <c r="I1176" s="36">
        <f>IF($C1176="","",_xlfn.XLOOKUP($C1176,Order!$C:$C,Order!$L:$L,"",0,1))</f>
        <v>0</v>
      </c>
      <c r="J1176" s="4" t="str">
        <f>IF(C1176="","",Order!$L$16)</f>
        <v>BRONZE ANODIZED (FAYP03)</v>
      </c>
      <c r="K1176" s="36">
        <f>IF($C1176="","",_xlfn.XLOOKUP($C1176,Order!$C:$C,Order!$P:$P,"",0,1))</f>
        <v>0</v>
      </c>
      <c r="L1176" s="4">
        <f t="shared" si="18"/>
        <v>0</v>
      </c>
    </row>
    <row r="1177" spans="2:12" ht="23.25" hidden="1" customHeight="1" x14ac:dyDescent="0.25">
      <c r="B1177" s="4">
        <v>1172</v>
      </c>
      <c r="C1177" s="36">
        <f>IF(Order!$C$153="","",Order!$C$153)</f>
        <v>25516</v>
      </c>
      <c r="D1177" s="36">
        <f>IF($C1177="","",_xlfn.XLOOKUP($C1177,Order!$C:$C,Order!$D:$D,"",0,1))</f>
        <v>25516</v>
      </c>
      <c r="E1177" s="4" t="e" vm="341">
        <f>IF($C1177="","",_xlfn.XLOOKUP($C1177,Order!$C:$C,Order!$E:$E,"",0,1))</f>
        <v>#VALUE!</v>
      </c>
      <c r="F1177" s="4">
        <f>IF($C1177="","",_xlfn.XLOOKUP($C1177,Order!$C:$C,Order!$F:$F,"",0,1))</f>
        <v>6000</v>
      </c>
      <c r="G1177" s="4" t="str">
        <f>IF($C1177="","",_xlfn.XLOOKUP($C1177,Order!$C:$C,Order!$G:$G,"",0,1))</f>
        <v>6063T5</v>
      </c>
      <c r="H1177" s="4">
        <f>IF($C1177="","",_xlfn.XLOOKUP($C1177,Order!$C:$C,Order!$H:$H,"",0,1))</f>
        <v>0.56000000000000005</v>
      </c>
      <c r="I1177" s="36">
        <f>IF($C1177="","",_xlfn.XLOOKUP($C1177,Order!$C:$C,Order!$L:$L,"",0,1))</f>
        <v>0</v>
      </c>
      <c r="J1177" s="4" t="str">
        <f>IF(C1177="","",Order!$L$16)</f>
        <v>BRONZE ANODIZED (FAYP03)</v>
      </c>
      <c r="K1177" s="36">
        <f>IF($C1177="","",_xlfn.XLOOKUP($C1177,Order!$C:$C,Order!$P:$P,"",0,1))</f>
        <v>0</v>
      </c>
      <c r="L1177" s="4">
        <f t="shared" si="18"/>
        <v>0</v>
      </c>
    </row>
    <row r="1178" spans="2:12" ht="23.25" hidden="1" customHeight="1" x14ac:dyDescent="0.25">
      <c r="B1178" s="4">
        <v>1173</v>
      </c>
      <c r="C1178" s="36">
        <f>IF(Order!$C$154="","",Order!$C$154)</f>
        <v>25540</v>
      </c>
      <c r="D1178" s="36">
        <f>IF($C1178="","",_xlfn.XLOOKUP($C1178,Order!$C:$C,Order!$D:$D,"",0,1))</f>
        <v>25540</v>
      </c>
      <c r="E1178" s="4" t="e" vm="342">
        <f>IF($C1178="","",_xlfn.XLOOKUP($C1178,Order!$C:$C,Order!$E:$E,"",0,1))</f>
        <v>#VALUE!</v>
      </c>
      <c r="F1178" s="4">
        <f>IF($C1178="","",_xlfn.XLOOKUP($C1178,Order!$C:$C,Order!$F:$F,"",0,1))</f>
        <v>6000</v>
      </c>
      <c r="G1178" s="4" t="str">
        <f>IF($C1178="","",_xlfn.XLOOKUP($C1178,Order!$C:$C,Order!$G:$G,"",0,1))</f>
        <v>6063T5</v>
      </c>
      <c r="H1178" s="4">
        <f>IF($C1178="","",_xlfn.XLOOKUP($C1178,Order!$C:$C,Order!$H:$H,"",0,1))</f>
        <v>0.45</v>
      </c>
      <c r="I1178" s="36">
        <f>IF($C1178="","",_xlfn.XLOOKUP($C1178,Order!$C:$C,Order!$L:$L,"",0,1))</f>
        <v>0</v>
      </c>
      <c r="J1178" s="4" t="str">
        <f>IF(C1178="","",Order!$L$16)</f>
        <v>BRONZE ANODIZED (FAYP03)</v>
      </c>
      <c r="K1178" s="36">
        <f>IF($C1178="","",_xlfn.XLOOKUP($C1178,Order!$C:$C,Order!$P:$P,"",0,1))</f>
        <v>0</v>
      </c>
      <c r="L1178" s="4">
        <f t="shared" si="18"/>
        <v>0</v>
      </c>
    </row>
    <row r="1179" spans="2:12" ht="23.25" hidden="1" customHeight="1" x14ac:dyDescent="0.25">
      <c r="B1179" s="4">
        <v>1174</v>
      </c>
      <c r="C1179" s="36">
        <f>IF(Order!$C$155="","",Order!$C$155)</f>
        <v>25542</v>
      </c>
      <c r="D1179" s="36">
        <f>IF($C1179="","",_xlfn.XLOOKUP($C1179,Order!$C:$C,Order!$D:$D,"",0,1))</f>
        <v>25542</v>
      </c>
      <c r="E1179" s="4" t="e" vm="343">
        <f>IF($C1179="","",_xlfn.XLOOKUP($C1179,Order!$C:$C,Order!$E:$E,"",0,1))</f>
        <v>#VALUE!</v>
      </c>
      <c r="F1179" s="4">
        <f>IF($C1179="","",_xlfn.XLOOKUP($C1179,Order!$C:$C,Order!$F:$F,"",0,1))</f>
        <v>6000</v>
      </c>
      <c r="G1179" s="4" t="str">
        <f>IF($C1179="","",_xlfn.XLOOKUP($C1179,Order!$C:$C,Order!$G:$G,"",0,1))</f>
        <v>6063T5</v>
      </c>
      <c r="H1179" s="4">
        <f>IF($C1179="","",_xlfn.XLOOKUP($C1179,Order!$C:$C,Order!$H:$H,"",0,1))</f>
        <v>0.54200000000000004</v>
      </c>
      <c r="I1179" s="36">
        <f>IF($C1179="","",_xlfn.XLOOKUP($C1179,Order!$C:$C,Order!$L:$L,"",0,1))</f>
        <v>0</v>
      </c>
      <c r="J1179" s="4" t="str">
        <f>IF(C1179="","",Order!$L$16)</f>
        <v>BRONZE ANODIZED (FAYP03)</v>
      </c>
      <c r="K1179" s="36">
        <f>IF($C1179="","",_xlfn.XLOOKUP($C1179,Order!$C:$C,Order!$P:$P,"",0,1))</f>
        <v>0</v>
      </c>
      <c r="L1179" s="4">
        <f t="shared" si="18"/>
        <v>0</v>
      </c>
    </row>
    <row r="1180" spans="2:12" ht="23.25" hidden="1" customHeight="1" x14ac:dyDescent="0.25">
      <c r="B1180" s="4">
        <v>1175</v>
      </c>
      <c r="C1180" s="36" t="str">
        <f>IF(Order!$C$156="","",Order!$C$156)</f>
        <v>VZ024L</v>
      </c>
      <c r="D1180" s="36" t="str">
        <f>IF($C1180="","",_xlfn.XLOOKUP($C1180,Order!$C:$C,Order!$D:$D,"",0,1))</f>
        <v>VZ024L</v>
      </c>
      <c r="E1180" s="4" t="e" vm="344">
        <f>IF($C1180="","",_xlfn.XLOOKUP($C1180,Order!$C:$C,Order!$E:$E,"",0,1))</f>
        <v>#VALUE!</v>
      </c>
      <c r="F1180" s="4">
        <f>IF($C1180="","",_xlfn.XLOOKUP($C1180,Order!$C:$C,Order!$F:$F,"",0,1))</f>
        <v>6000</v>
      </c>
      <c r="G1180" s="4" t="str">
        <f>IF($C1180="","",_xlfn.XLOOKUP($C1180,Order!$C:$C,Order!$G:$G,"",0,1))</f>
        <v>6063T5</v>
      </c>
      <c r="H1180" s="4">
        <f>IF($C1180="","",_xlfn.XLOOKUP($C1180,Order!$C:$C,Order!$H:$H,"",0,1))</f>
        <v>0.19800000000000001</v>
      </c>
      <c r="I1180" s="36">
        <f>IF($C1180="","",_xlfn.XLOOKUP($C1180,Order!$C:$C,Order!$L:$L,"",0,1))</f>
        <v>0</v>
      </c>
      <c r="J1180" s="4" t="str">
        <f>IF(C1180="","",Order!$L$16)</f>
        <v>BRONZE ANODIZED (FAYP03)</v>
      </c>
      <c r="K1180" s="36">
        <f>IF($C1180="","",_xlfn.XLOOKUP($C1180,Order!$C:$C,Order!$P:$P,"",0,1))</f>
        <v>0</v>
      </c>
      <c r="L1180" s="4">
        <f t="shared" si="18"/>
        <v>0</v>
      </c>
    </row>
    <row r="1181" spans="2:12" ht="23.25" hidden="1" customHeight="1" x14ac:dyDescent="0.25">
      <c r="B1181" s="4">
        <v>1176</v>
      </c>
      <c r="C1181" s="36" t="str">
        <f>IF(Order!$C$157="","",Order!$C$157)</f>
        <v/>
      </c>
      <c r="D1181" s="36" t="str">
        <f>IF($C1181="","",_xlfn.XLOOKUP($C1181,Order!$C:$C,Order!$D:$D,"",0,1))</f>
        <v/>
      </c>
      <c r="E1181" s="4" t="str">
        <f>IF($C1181="","",_xlfn.XLOOKUP($C1181,Order!$C:$C,Order!$E:$E,"",0,1))</f>
        <v/>
      </c>
      <c r="F1181" s="4" t="str">
        <f>IF($C1181="","",_xlfn.XLOOKUP($C1181,Order!$C:$C,Order!$F:$F,"",0,1))</f>
        <v/>
      </c>
      <c r="G1181" s="4" t="str">
        <f>IF($C1181="","",_xlfn.XLOOKUP($C1181,Order!$C:$C,Order!$G:$G,"",0,1))</f>
        <v/>
      </c>
      <c r="H1181" s="4" t="str">
        <f>IF($C1181="","",_xlfn.XLOOKUP($C1181,Order!$C:$C,Order!$H:$H,"",0,1))</f>
        <v/>
      </c>
      <c r="I1181" s="36" t="str">
        <f>IF($C1181="","",_xlfn.XLOOKUP($C1181,Order!$C:$C,Order!$L:$L,"",0,1))</f>
        <v/>
      </c>
      <c r="J1181" s="4" t="str">
        <f>IF(C1181="","",Order!$L$16)</f>
        <v/>
      </c>
      <c r="K1181" s="36" t="str">
        <f>IF($C1181="","",_xlfn.XLOOKUP($C1181,Order!$C:$C,Order!$P:$P,"",0,1))</f>
        <v/>
      </c>
      <c r="L1181" s="4" t="str">
        <f t="shared" si="18"/>
        <v/>
      </c>
    </row>
    <row r="1182" spans="2:12" ht="23.25" hidden="1" customHeight="1" x14ac:dyDescent="0.25">
      <c r="B1182" s="4">
        <v>1177</v>
      </c>
      <c r="C1182" s="36" t="str">
        <f>IF(Order!$C$158="","",Order!$C$158)</f>
        <v>VZ060L</v>
      </c>
      <c r="D1182" s="36" t="str">
        <f>IF($C1182="","",_xlfn.XLOOKUP($C1182,Order!$C:$C,Order!$D:$D,"",0,1))</f>
        <v>VZ060L</v>
      </c>
      <c r="E1182" s="4" t="e" vm="345">
        <f>IF($C1182="","",_xlfn.XLOOKUP($C1182,Order!$C:$C,Order!$E:$E,"",0,1))</f>
        <v>#VALUE!</v>
      </c>
      <c r="F1182" s="4">
        <f>IF($C1182="","",_xlfn.XLOOKUP($C1182,Order!$C:$C,Order!$F:$F,"",0,1))</f>
        <v>6000</v>
      </c>
      <c r="G1182" s="4" t="str">
        <f>IF($C1182="","",_xlfn.XLOOKUP($C1182,Order!$C:$C,Order!$G:$G,"",0,1))</f>
        <v>6063T5</v>
      </c>
      <c r="H1182" s="4">
        <f>IF($C1182="","",_xlfn.XLOOKUP($C1182,Order!$C:$C,Order!$H:$H,"",0,1))</f>
        <v>0.28799999999999998</v>
      </c>
      <c r="I1182" s="36">
        <f>IF($C1182="","",_xlfn.XLOOKUP($C1182,Order!$C:$C,Order!$L:$L,"",0,1))</f>
        <v>0</v>
      </c>
      <c r="J1182" s="4" t="str">
        <f>IF(C1182="","",Order!$L$16)</f>
        <v>BRONZE ANODIZED (FAYP03)</v>
      </c>
      <c r="K1182" s="36">
        <f>IF($C1182="","",_xlfn.XLOOKUP($C1182,Order!$C:$C,Order!$P:$P,"",0,1))</f>
        <v>0</v>
      </c>
      <c r="L1182" s="4">
        <f t="shared" si="18"/>
        <v>0</v>
      </c>
    </row>
    <row r="1183" spans="2:12" ht="23.25" hidden="1" customHeight="1" x14ac:dyDescent="0.25">
      <c r="B1183" s="4">
        <v>1178</v>
      </c>
      <c r="C1183" s="36" t="str">
        <f>IF(Order!$C$159="","",Order!$C$159)</f>
        <v>VZ201</v>
      </c>
      <c r="D1183" s="36" t="str">
        <f>IF($C1183="","",_xlfn.XLOOKUP($C1183,Order!$C:$C,Order!$D:$D,"",0,1))</f>
        <v>VZ201</v>
      </c>
      <c r="E1183" s="4" t="e" vm="346">
        <f>IF($C1183="","",_xlfn.XLOOKUP($C1183,Order!$C:$C,Order!$E:$E,"",0,1))</f>
        <v>#VALUE!</v>
      </c>
      <c r="F1183" s="4">
        <f>IF($C1183="","",_xlfn.XLOOKUP($C1183,Order!$C:$C,Order!$F:$F,"",0,1))</f>
        <v>6000</v>
      </c>
      <c r="G1183" s="4" t="str">
        <f>IF($C1183="","",_xlfn.XLOOKUP($C1183,Order!$C:$C,Order!$G:$G,"",0,1))</f>
        <v>6063T5</v>
      </c>
      <c r="H1183" s="4">
        <f>IF($C1183="","",_xlfn.XLOOKUP($C1183,Order!$C:$C,Order!$H:$H,"",0,1))</f>
        <v>0.21</v>
      </c>
      <c r="I1183" s="36">
        <f>IF($C1183="","",_xlfn.XLOOKUP($C1183,Order!$C:$C,Order!$L:$L,"",0,1))</f>
        <v>0</v>
      </c>
      <c r="J1183" s="4" t="str">
        <f>IF(C1183="","",Order!$L$16)</f>
        <v>BRONZE ANODIZED (FAYP03)</v>
      </c>
      <c r="K1183" s="36">
        <f>IF($C1183="","",_xlfn.XLOOKUP($C1183,Order!$C:$C,Order!$P:$P,"",0,1))</f>
        <v>0</v>
      </c>
      <c r="L1183" s="4">
        <f t="shared" si="18"/>
        <v>0</v>
      </c>
    </row>
    <row r="1184" spans="2:12" ht="23.25" hidden="1" customHeight="1" x14ac:dyDescent="0.25">
      <c r="B1184" s="4">
        <v>1179</v>
      </c>
      <c r="C1184" s="36" t="str">
        <f>IF(Order!$C$160="","",Order!$C$160)</f>
        <v/>
      </c>
      <c r="D1184" s="36" t="str">
        <f>IF($C1184="","",_xlfn.XLOOKUP($C1184,Order!$C:$C,Order!$D:$D,"",0,1))</f>
        <v/>
      </c>
      <c r="E1184" s="4" t="str">
        <f>IF($C1184="","",_xlfn.XLOOKUP($C1184,Order!$C:$C,Order!$E:$E,"",0,1))</f>
        <v/>
      </c>
      <c r="F1184" s="4" t="str">
        <f>IF($C1184="","",_xlfn.XLOOKUP($C1184,Order!$C:$C,Order!$F:$F,"",0,1))</f>
        <v/>
      </c>
      <c r="G1184" s="4" t="str">
        <f>IF($C1184="","",_xlfn.XLOOKUP($C1184,Order!$C:$C,Order!$G:$G,"",0,1))</f>
        <v/>
      </c>
      <c r="H1184" s="4" t="str">
        <f>IF($C1184="","",_xlfn.XLOOKUP($C1184,Order!$C:$C,Order!$H:$H,"",0,1))</f>
        <v/>
      </c>
      <c r="I1184" s="36" t="str">
        <f>IF($C1184="","",_xlfn.XLOOKUP($C1184,Order!$C:$C,Order!$L:$L,"",0,1))</f>
        <v/>
      </c>
      <c r="J1184" s="4" t="str">
        <f>IF(C1184="","",Order!$L$16)</f>
        <v/>
      </c>
      <c r="K1184" s="36" t="str">
        <f>IF($C1184="","",_xlfn.XLOOKUP($C1184,Order!$C:$C,Order!$P:$P,"",0,1))</f>
        <v/>
      </c>
      <c r="L1184" s="4" t="str">
        <f t="shared" si="18"/>
        <v/>
      </c>
    </row>
    <row r="1185" spans="2:12" ht="23.25" hidden="1" customHeight="1" x14ac:dyDescent="0.25">
      <c r="B1185" s="4">
        <v>1180</v>
      </c>
      <c r="C1185" s="36" t="str">
        <f>IF(Order!$C$161="","",Order!$C$161)</f>
        <v xml:space="preserve">BX828 </v>
      </c>
      <c r="D1185" s="36" t="str">
        <f>IF($C1185="","",_xlfn.XLOOKUP($C1185,Order!$C:$C,Order!$D:$D,"",0,1))</f>
        <v>BX828</v>
      </c>
      <c r="E1185" s="4" t="e" vm="347">
        <f>IF($C1185="","",_xlfn.XLOOKUP($C1185,Order!$C:$C,Order!$E:$E,"",0,1))</f>
        <v>#VALUE!</v>
      </c>
      <c r="F1185" s="4">
        <f>IF($C1185="","",_xlfn.XLOOKUP($C1185,Order!$C:$C,Order!$F:$F,"",0,1))</f>
        <v>6000</v>
      </c>
      <c r="G1185" s="4" t="str">
        <f>IF($C1185="","",_xlfn.XLOOKUP($C1185,Order!$C:$C,Order!$G:$G,"",0,1))</f>
        <v>6063T5</v>
      </c>
      <c r="H1185" s="4">
        <f>IF($C1185="","",_xlfn.XLOOKUP($C1185,Order!$C:$C,Order!$H:$H,"",0,1))</f>
        <v>0</v>
      </c>
      <c r="I1185" s="36">
        <f>IF($C1185="","",_xlfn.XLOOKUP($C1185,Order!$C:$C,Order!$L:$L,"",0,1))</f>
        <v>0</v>
      </c>
      <c r="J1185" s="4" t="str">
        <f>IF(C1185="","",Order!$L$16)</f>
        <v>BRONZE ANODIZED (FAYP03)</v>
      </c>
      <c r="K1185" s="36">
        <f>IF($C1185="","",_xlfn.XLOOKUP($C1185,Order!$C:$C,Order!$P:$P,"",0,1))</f>
        <v>0</v>
      </c>
      <c r="L1185" s="4">
        <f t="shared" si="18"/>
        <v>0</v>
      </c>
    </row>
    <row r="1186" spans="2:12" ht="23.25" hidden="1" customHeight="1" x14ac:dyDescent="0.25">
      <c r="B1186" s="4">
        <v>1181</v>
      </c>
      <c r="C1186" s="36">
        <f>IF(Order!$C$162="","",Order!$C$162)</f>
        <v>30044</v>
      </c>
      <c r="D1186" s="36">
        <f>IF($C1186="","",_xlfn.XLOOKUP($C1186,Order!$C:$C,Order!$D:$D,"",0,1))</f>
        <v>30044</v>
      </c>
      <c r="E1186" s="4" t="e" vm="348">
        <f>IF($C1186="","",_xlfn.XLOOKUP($C1186,Order!$C:$C,Order!$E:$E,"",0,1))</f>
        <v>#VALUE!</v>
      </c>
      <c r="F1186" s="4">
        <f>IF($C1186="","",_xlfn.XLOOKUP($C1186,Order!$C:$C,Order!$F:$F,"",0,1))</f>
        <v>6000</v>
      </c>
      <c r="G1186" s="4" t="str">
        <f>IF($C1186="","",_xlfn.XLOOKUP($C1186,Order!$C:$C,Order!$G:$G,"",0,1))</f>
        <v>6063T5</v>
      </c>
      <c r="H1186" s="4">
        <f>IF($C1186="","",_xlfn.XLOOKUP($C1186,Order!$C:$C,Order!$H:$H,"",0,1))</f>
        <v>0.22600000000000001</v>
      </c>
      <c r="I1186" s="36">
        <f>IF($C1186="","",_xlfn.XLOOKUP($C1186,Order!$C:$C,Order!$L:$L,"",0,1))</f>
        <v>0</v>
      </c>
      <c r="J1186" s="4" t="str">
        <f>IF(C1186="","",Order!$L$16)</f>
        <v>BRONZE ANODIZED (FAYP03)</v>
      </c>
      <c r="K1186" s="36">
        <f>IF($C1186="","",_xlfn.XLOOKUP($C1186,Order!$C:$C,Order!$P:$P,"",0,1))</f>
        <v>0</v>
      </c>
      <c r="L1186" s="4">
        <f t="shared" si="18"/>
        <v>0</v>
      </c>
    </row>
    <row r="1187" spans="2:12" ht="23.25" hidden="1" customHeight="1" x14ac:dyDescent="0.25">
      <c r="B1187" s="4">
        <v>1182</v>
      </c>
      <c r="C1187" s="36" t="str">
        <f>IF(Order!$C$163="","",Order!$C$163)</f>
        <v>AF180U</v>
      </c>
      <c r="D1187" s="36" t="str">
        <f>IF($C1187="","",_xlfn.XLOOKUP($C1187,Order!$C:$C,Order!$D:$D,"",0,1))</f>
        <v>AF180U</v>
      </c>
      <c r="E1187" s="4" t="e" vm="349">
        <f>IF($C1187="","",_xlfn.XLOOKUP($C1187,Order!$C:$C,Order!$E:$E,"",0,1))</f>
        <v>#VALUE!</v>
      </c>
      <c r="F1187" s="4">
        <f>IF($C1187="","",_xlfn.XLOOKUP($C1187,Order!$C:$C,Order!$F:$F,"",0,1))</f>
        <v>6000</v>
      </c>
      <c r="G1187" s="4" t="str">
        <f>IF($C1187="","",_xlfn.XLOOKUP($C1187,Order!$C:$C,Order!$G:$G,"",0,1))</f>
        <v>6063T5</v>
      </c>
      <c r="H1187" s="4">
        <f>IF($C1187="","",_xlfn.XLOOKUP($C1187,Order!$C:$C,Order!$H:$H,"",0,1))</f>
        <v>0.64200000000000002</v>
      </c>
      <c r="I1187" s="36">
        <f>IF($C1187="","",_xlfn.XLOOKUP($C1187,Order!$C:$C,Order!$L:$L,"",0,1))</f>
        <v>0</v>
      </c>
      <c r="J1187" s="4" t="str">
        <f>IF(C1187="","",Order!$L$16)</f>
        <v>BRONZE ANODIZED (FAYP03)</v>
      </c>
      <c r="K1187" s="36">
        <f>IF($C1187="","",_xlfn.XLOOKUP($C1187,Order!$C:$C,Order!$P:$P,"",0,1))</f>
        <v>0</v>
      </c>
      <c r="L1187" s="4">
        <f t="shared" si="18"/>
        <v>0</v>
      </c>
    </row>
    <row r="1188" spans="2:12" ht="23.25" hidden="1" customHeight="1" x14ac:dyDescent="0.25">
      <c r="B1188" s="4">
        <v>1183</v>
      </c>
      <c r="C1188" s="36" t="str">
        <f>IF(Order!$C$164="","",Order!$C$164)</f>
        <v>BX627</v>
      </c>
      <c r="D1188" s="36" t="str">
        <f>IF($C1188="","",_xlfn.XLOOKUP($C1188,Order!$C:$C,Order!$D:$D,"",0,1))</f>
        <v>BX627</v>
      </c>
      <c r="E1188" s="4" t="e" vm="350">
        <f>IF($C1188="","",_xlfn.XLOOKUP($C1188,Order!$C:$C,Order!$E:$E,"",0,1))</f>
        <v>#VALUE!</v>
      </c>
      <c r="F1188" s="4">
        <f>IF($C1188="","",_xlfn.XLOOKUP($C1188,Order!$C:$C,Order!$F:$F,"",0,1))</f>
        <v>6000</v>
      </c>
      <c r="G1188" s="4" t="str">
        <f>IF($C1188="","",_xlfn.XLOOKUP($C1188,Order!$C:$C,Order!$G:$G,"",0,1))</f>
        <v>6063T5</v>
      </c>
      <c r="H1188" s="4">
        <f>IF($C1188="","",_xlfn.XLOOKUP($C1188,Order!$C:$C,Order!$H:$H,"",0,1))</f>
        <v>0.44800000000000001</v>
      </c>
      <c r="I1188" s="36">
        <f>IF($C1188="","",_xlfn.XLOOKUP($C1188,Order!$C:$C,Order!$L:$L,"",0,1))</f>
        <v>0</v>
      </c>
      <c r="J1188" s="4" t="str">
        <f>IF(C1188="","",Order!$L$16)</f>
        <v>BRONZE ANODIZED (FAYP03)</v>
      </c>
      <c r="K1188" s="36">
        <f>IF($C1188="","",_xlfn.XLOOKUP($C1188,Order!$C:$C,Order!$P:$P,"",0,1))</f>
        <v>0</v>
      </c>
      <c r="L1188" s="4">
        <f t="shared" si="18"/>
        <v>0</v>
      </c>
    </row>
    <row r="1189" spans="2:12" ht="23.25" hidden="1" customHeight="1" x14ac:dyDescent="0.25">
      <c r="B1189" s="4">
        <v>1184</v>
      </c>
      <c r="C1189" s="36" t="str">
        <f>IF(Order!$C$165="","",Order!$C$165)</f>
        <v>BX812</v>
      </c>
      <c r="D1189" s="36" t="str">
        <f>IF($C1189="","",_xlfn.XLOOKUP($C1189,Order!$C:$C,Order!$D:$D,"",0,1))</f>
        <v>BX812</v>
      </c>
      <c r="E1189" s="4" t="e" vm="351">
        <f>IF($C1189="","",_xlfn.XLOOKUP($C1189,Order!$C:$C,Order!$E:$E,"",0,1))</f>
        <v>#VALUE!</v>
      </c>
      <c r="F1189" s="4">
        <f>IF($C1189="","",_xlfn.XLOOKUP($C1189,Order!$C:$C,Order!$F:$F,"",0,1))</f>
        <v>6000</v>
      </c>
      <c r="G1189" s="4" t="str">
        <f>IF($C1189="","",_xlfn.XLOOKUP($C1189,Order!$C:$C,Order!$G:$G,"",0,1))</f>
        <v>6063T5</v>
      </c>
      <c r="H1189" s="4">
        <f>IF($C1189="","",_xlfn.XLOOKUP($C1189,Order!$C:$C,Order!$H:$H,"",0,1))</f>
        <v>1.373</v>
      </c>
      <c r="I1189" s="36">
        <f>IF($C1189="","",_xlfn.XLOOKUP($C1189,Order!$C:$C,Order!$L:$L,"",0,1))</f>
        <v>0</v>
      </c>
      <c r="J1189" s="4" t="str">
        <f>IF(C1189="","",Order!$L$16)</f>
        <v>BRONZE ANODIZED (FAYP03)</v>
      </c>
      <c r="K1189" s="36">
        <f>IF($C1189="","",_xlfn.XLOOKUP($C1189,Order!$C:$C,Order!$P:$P,"",0,1))</f>
        <v>0</v>
      </c>
      <c r="L1189" s="4">
        <f t="shared" si="18"/>
        <v>0</v>
      </c>
    </row>
    <row r="1190" spans="2:12" ht="23.25" hidden="1" customHeight="1" x14ac:dyDescent="0.25">
      <c r="B1190" s="4">
        <v>1185</v>
      </c>
      <c r="C1190" s="36">
        <f>IF(Order!$C$166="","",Order!$C$166)</f>
        <v>25517</v>
      </c>
      <c r="D1190" s="36">
        <f>IF($C1190="","",_xlfn.XLOOKUP($C1190,Order!$C:$C,Order!$D:$D,"",0,1))</f>
        <v>25517</v>
      </c>
      <c r="E1190" s="4" t="e" vm="352">
        <f>IF($C1190="","",_xlfn.XLOOKUP($C1190,Order!$C:$C,Order!$E:$E,"",0,1))</f>
        <v>#VALUE!</v>
      </c>
      <c r="F1190" s="4">
        <f>IF($C1190="","",_xlfn.XLOOKUP($C1190,Order!$C:$C,Order!$F:$F,"",0,1))</f>
        <v>6000</v>
      </c>
      <c r="G1190" s="4" t="str">
        <f>IF($C1190="","",_xlfn.XLOOKUP($C1190,Order!$C:$C,Order!$G:$G,"",0,1))</f>
        <v>6063T5</v>
      </c>
      <c r="H1190" s="4">
        <f>IF($C1190="","",_xlfn.XLOOKUP($C1190,Order!$C:$C,Order!$H:$H,"",0,1))</f>
        <v>0.39200000000000002</v>
      </c>
      <c r="I1190" s="36">
        <f>IF($C1190="","",_xlfn.XLOOKUP($C1190,Order!$C:$C,Order!$L:$L,"",0,1))</f>
        <v>0</v>
      </c>
      <c r="J1190" s="4" t="str">
        <f>IF(C1190="","",Order!$L$16)</f>
        <v>BRONZE ANODIZED (FAYP03)</v>
      </c>
      <c r="K1190" s="36">
        <f>IF($C1190="","",_xlfn.XLOOKUP($C1190,Order!$C:$C,Order!$P:$P,"",0,1))</f>
        <v>0</v>
      </c>
      <c r="L1190" s="4">
        <f t="shared" si="18"/>
        <v>0</v>
      </c>
    </row>
    <row r="1191" spans="2:12" ht="23.25" hidden="1" customHeight="1" x14ac:dyDescent="0.25">
      <c r="B1191" s="4">
        <v>1186</v>
      </c>
      <c r="C1191" s="36" t="str">
        <f>IF(Order!$C$167="","",Order!$C$167)</f>
        <v>25517A</v>
      </c>
      <c r="D1191" s="36" t="str">
        <f>IF($C1191="","",_xlfn.XLOOKUP($C1191,Order!$C:$C,Order!$D:$D,"",0,1))</f>
        <v>25517A</v>
      </c>
      <c r="E1191" s="4" t="e" vm="352">
        <f>IF($C1191="","",_xlfn.XLOOKUP($C1191,Order!$C:$C,Order!$E:$E,"",0,1))</f>
        <v>#VALUE!</v>
      </c>
      <c r="F1191" s="4">
        <f>IF($C1191="","",_xlfn.XLOOKUP($C1191,Order!$C:$C,Order!$F:$F,"",0,1))</f>
        <v>6000</v>
      </c>
      <c r="G1191" s="4" t="str">
        <f>IF($C1191="","",_xlfn.XLOOKUP($C1191,Order!$C:$C,Order!$G:$G,"",0,1))</f>
        <v>6063T5</v>
      </c>
      <c r="H1191" s="4">
        <f>IF($C1191="","",_xlfn.XLOOKUP($C1191,Order!$C:$C,Order!$H:$H,"",0,1))</f>
        <v>0.36</v>
      </c>
      <c r="I1191" s="36">
        <f>IF($C1191="","",_xlfn.XLOOKUP($C1191,Order!$C:$C,Order!$L:$L,"",0,1))</f>
        <v>0</v>
      </c>
      <c r="J1191" s="4" t="str">
        <f>IF(C1191="","",Order!$L$16)</f>
        <v>BRONZE ANODIZED (FAYP03)</v>
      </c>
      <c r="K1191" s="36">
        <f>IF($C1191="","",_xlfn.XLOOKUP($C1191,Order!$C:$C,Order!$P:$P,"",0,1))</f>
        <v>0</v>
      </c>
      <c r="L1191" s="4">
        <f t="shared" si="18"/>
        <v>0</v>
      </c>
    </row>
    <row r="1192" spans="2:12" ht="23.25" hidden="1" customHeight="1" x14ac:dyDescent="0.25">
      <c r="B1192" s="4">
        <v>1187</v>
      </c>
      <c r="C1192" s="36">
        <f>IF(Order!$C$168="","",Order!$C$168)</f>
        <v>25518</v>
      </c>
      <c r="D1192" s="36">
        <f>IF($C1192="","",_xlfn.XLOOKUP($C1192,Order!$C:$C,Order!$D:$D,"",0,1))</f>
        <v>25518</v>
      </c>
      <c r="E1192" s="4" t="e" vm="353">
        <f>IF($C1192="","",_xlfn.XLOOKUP($C1192,Order!$C:$C,Order!$E:$E,"",0,1))</f>
        <v>#VALUE!</v>
      </c>
      <c r="F1192" s="4">
        <f>IF($C1192="","",_xlfn.XLOOKUP($C1192,Order!$C:$C,Order!$F:$F,"",0,1))</f>
        <v>6000</v>
      </c>
      <c r="G1192" s="4" t="str">
        <f>IF($C1192="","",_xlfn.XLOOKUP($C1192,Order!$C:$C,Order!$G:$G,"",0,1))</f>
        <v>6063T5</v>
      </c>
      <c r="H1192" s="4">
        <f>IF($C1192="","",_xlfn.XLOOKUP($C1192,Order!$C:$C,Order!$H:$H,"",0,1))</f>
        <v>0.36299999999999999</v>
      </c>
      <c r="I1192" s="36">
        <f>IF($C1192="","",_xlfn.XLOOKUP($C1192,Order!$C:$C,Order!$L:$L,"",0,1))</f>
        <v>0</v>
      </c>
      <c r="J1192" s="4" t="str">
        <f>IF(C1192="","",Order!$L$16)</f>
        <v>BRONZE ANODIZED (FAYP03)</v>
      </c>
      <c r="K1192" s="36">
        <f>IF($C1192="","",_xlfn.XLOOKUP($C1192,Order!$C:$C,Order!$P:$P,"",0,1))</f>
        <v>0</v>
      </c>
      <c r="L1192" s="4">
        <f t="shared" si="18"/>
        <v>0</v>
      </c>
    </row>
    <row r="1193" spans="2:12" ht="23.25" hidden="1" customHeight="1" x14ac:dyDescent="0.25">
      <c r="B1193" s="4">
        <v>1188</v>
      </c>
      <c r="C1193" s="36">
        <f>IF(Order!$C$169="","",Order!$C$169)</f>
        <v>25520</v>
      </c>
      <c r="D1193" s="36">
        <f>IF($C1193="","",_xlfn.XLOOKUP($C1193,Order!$C:$C,Order!$D:$D,"",0,1))</f>
        <v>25520</v>
      </c>
      <c r="E1193" s="4" t="e" vm="354">
        <f>IF($C1193="","",_xlfn.XLOOKUP($C1193,Order!$C:$C,Order!$E:$E,"",0,1))</f>
        <v>#VALUE!</v>
      </c>
      <c r="F1193" s="4">
        <f>IF($C1193="","",_xlfn.XLOOKUP($C1193,Order!$C:$C,Order!$F:$F,"",0,1))</f>
        <v>6000</v>
      </c>
      <c r="G1193" s="4" t="str">
        <f>IF($C1193="","",_xlfn.XLOOKUP($C1193,Order!$C:$C,Order!$G:$G,"",0,1))</f>
        <v>6063T5</v>
      </c>
      <c r="H1193" s="4">
        <f>IF($C1193="","",_xlfn.XLOOKUP($C1193,Order!$C:$C,Order!$H:$H,"",0,1))</f>
        <v>0.373</v>
      </c>
      <c r="I1193" s="36">
        <f>IF($C1193="","",_xlfn.XLOOKUP($C1193,Order!$C:$C,Order!$L:$L,"",0,1))</f>
        <v>0</v>
      </c>
      <c r="J1193" s="4" t="str">
        <f>IF(C1193="","",Order!$L$16)</f>
        <v>BRONZE ANODIZED (FAYP03)</v>
      </c>
      <c r="K1193" s="36">
        <f>IF($C1193="","",_xlfn.XLOOKUP($C1193,Order!$C:$C,Order!$P:$P,"",0,1))</f>
        <v>0</v>
      </c>
      <c r="L1193" s="4">
        <f t="shared" si="18"/>
        <v>0</v>
      </c>
    </row>
    <row r="1194" spans="2:12" ht="23.25" hidden="1" customHeight="1" x14ac:dyDescent="0.25">
      <c r="B1194" s="4">
        <v>1189</v>
      </c>
      <c r="C1194" s="36">
        <f>IF(Order!$C$170="","",Order!$C$170)</f>
        <v>25617</v>
      </c>
      <c r="D1194" s="36">
        <f>IF($C1194="","",_xlfn.XLOOKUP($C1194,Order!$C:$C,Order!$D:$D,"",0,1))</f>
        <v>25617</v>
      </c>
      <c r="E1194" s="4" t="e" vm="355">
        <f>IF($C1194="","",_xlfn.XLOOKUP($C1194,Order!$C:$C,Order!$E:$E,"",0,1))</f>
        <v>#VALUE!</v>
      </c>
      <c r="F1194" s="4">
        <f>IF($C1194="","",_xlfn.XLOOKUP($C1194,Order!$C:$C,Order!$F:$F,"",0,1))</f>
        <v>6000</v>
      </c>
      <c r="G1194" s="4" t="str">
        <f>IF($C1194="","",_xlfn.XLOOKUP($C1194,Order!$C:$C,Order!$G:$G,"",0,1))</f>
        <v>6063T5</v>
      </c>
      <c r="H1194" s="4">
        <f>IF($C1194="","",_xlfn.XLOOKUP($C1194,Order!$C:$C,Order!$H:$H,"",0,1))</f>
        <v>0.373</v>
      </c>
      <c r="I1194" s="36">
        <f>IF($C1194="","",_xlfn.XLOOKUP($C1194,Order!$C:$C,Order!$L:$L,"",0,1))</f>
        <v>0</v>
      </c>
      <c r="J1194" s="4" t="str">
        <f>IF(C1194="","",Order!$L$16)</f>
        <v>BRONZE ANODIZED (FAYP03)</v>
      </c>
      <c r="K1194" s="36">
        <f>IF($C1194="","",_xlfn.XLOOKUP($C1194,Order!$C:$C,Order!$P:$P,"",0,1))</f>
        <v>0</v>
      </c>
      <c r="L1194" s="4">
        <f t="shared" si="18"/>
        <v>0</v>
      </c>
    </row>
    <row r="1195" spans="2:12" ht="23.25" hidden="1" customHeight="1" x14ac:dyDescent="0.25">
      <c r="B1195" s="4">
        <v>1190</v>
      </c>
      <c r="C1195" s="36" t="str">
        <f>IF(Order!$C$171="","",Order!$C$171)</f>
        <v>TB600</v>
      </c>
      <c r="D1195" s="36" t="str">
        <f>IF($C1195="","",_xlfn.XLOOKUP($C1195,Order!$C:$C,Order!$D:$D,"",0,1))</f>
        <v>TB600</v>
      </c>
      <c r="E1195" s="4" t="e" vm="356">
        <f>IF($C1195="","",_xlfn.XLOOKUP($C1195,Order!$C:$C,Order!$E:$E,"",0,1))</f>
        <v>#VALUE!</v>
      </c>
      <c r="F1195" s="4">
        <f>IF($C1195="","",_xlfn.XLOOKUP($C1195,Order!$C:$C,Order!$F:$F,"",0,1))</f>
        <v>6000</v>
      </c>
      <c r="G1195" s="4" t="str">
        <f>IF($C1195="","",_xlfn.XLOOKUP($C1195,Order!$C:$C,Order!$G:$G,"",0,1))</f>
        <v>6063T5</v>
      </c>
      <c r="H1195" s="4">
        <f>IF($C1195="","",_xlfn.XLOOKUP($C1195,Order!$C:$C,Order!$H:$H,"",0,1))</f>
        <v>0.73099999999999998</v>
      </c>
      <c r="I1195" s="36">
        <f>IF($C1195="","",_xlfn.XLOOKUP($C1195,Order!$C:$C,Order!$L:$L,"",0,1))</f>
        <v>0</v>
      </c>
      <c r="J1195" s="4" t="str">
        <f>IF(C1195="","",Order!$L$16)</f>
        <v>BRONZE ANODIZED (FAYP03)</v>
      </c>
      <c r="K1195" s="36">
        <f>IF($C1195="","",_xlfn.XLOOKUP($C1195,Order!$C:$C,Order!$P:$P,"",0,1))</f>
        <v>0</v>
      </c>
      <c r="L1195" s="4">
        <f t="shared" si="18"/>
        <v>0</v>
      </c>
    </row>
    <row r="1196" spans="2:12" ht="23.25" hidden="1" customHeight="1" x14ac:dyDescent="0.25">
      <c r="B1196" s="4">
        <v>1191</v>
      </c>
      <c r="C1196" s="36" t="str">
        <f>IF(Order!$C$172="","",Order!$C$172)</f>
        <v>TB650</v>
      </c>
      <c r="D1196" s="36" t="str">
        <f>IF($C1196="","",_xlfn.XLOOKUP($C1196,Order!$C:$C,Order!$D:$D,"",0,1))</f>
        <v>TB650</v>
      </c>
      <c r="E1196" s="4" t="e" vm="357">
        <f>IF($C1196="","",_xlfn.XLOOKUP($C1196,Order!$C:$C,Order!$E:$E,"",0,1))</f>
        <v>#VALUE!</v>
      </c>
      <c r="F1196" s="4">
        <f>IF($C1196="","",_xlfn.XLOOKUP($C1196,Order!$C:$C,Order!$F:$F,"",0,1))</f>
        <v>6000</v>
      </c>
      <c r="G1196" s="4" t="str">
        <f>IF($C1196="","",_xlfn.XLOOKUP($C1196,Order!$C:$C,Order!$G:$G,"",0,1))</f>
        <v>6063T5</v>
      </c>
      <c r="H1196" s="4">
        <f>IF($C1196="","",_xlfn.XLOOKUP($C1196,Order!$C:$C,Order!$H:$H,"",0,1))</f>
        <v>0.77500000000000002</v>
      </c>
      <c r="I1196" s="36">
        <f>IF($C1196="","",_xlfn.XLOOKUP($C1196,Order!$C:$C,Order!$L:$L,"",0,1))</f>
        <v>0</v>
      </c>
      <c r="J1196" s="4" t="str">
        <f>IF(C1196="","",Order!$L$16)</f>
        <v>BRONZE ANODIZED (FAYP03)</v>
      </c>
      <c r="K1196" s="36">
        <f>IF($C1196="","",_xlfn.XLOOKUP($C1196,Order!$C:$C,Order!$P:$P,"",0,1))</f>
        <v>0</v>
      </c>
      <c r="L1196" s="4">
        <f t="shared" si="18"/>
        <v>0</v>
      </c>
    </row>
    <row r="1197" spans="2:12" ht="23.25" hidden="1" customHeight="1" x14ac:dyDescent="0.25">
      <c r="B1197" s="4">
        <v>1192</v>
      </c>
      <c r="C1197" s="36" t="str">
        <f>IF(Order!$C$173="","",Order!$C$173)</f>
        <v>PC0276</v>
      </c>
      <c r="D1197" s="36" t="str">
        <f>IF($C1197="","",_xlfn.XLOOKUP($C1197,Order!$C:$C,Order!$D:$D,"",0,1))</f>
        <v>PC027 6</v>
      </c>
      <c r="E1197" s="4" t="e" vm="358">
        <f>IF($C1197="","",_xlfn.XLOOKUP($C1197,Order!$C:$C,Order!$E:$E,"",0,1))</f>
        <v>#VALUE!</v>
      </c>
      <c r="F1197" s="4">
        <f>IF($C1197="","",_xlfn.XLOOKUP($C1197,Order!$C:$C,Order!$F:$F,"",0,1))</f>
        <v>6000</v>
      </c>
      <c r="G1197" s="4" t="str">
        <f>IF($C1197="","",_xlfn.XLOOKUP($C1197,Order!$C:$C,Order!$G:$G,"",0,1))</f>
        <v>6063T5</v>
      </c>
      <c r="H1197" s="4">
        <f>IF($C1197="","",_xlfn.XLOOKUP($C1197,Order!$C:$C,Order!$H:$H,"",0,1))</f>
        <v>0.53500000000000003</v>
      </c>
      <c r="I1197" s="36">
        <f>IF($C1197="","",_xlfn.XLOOKUP($C1197,Order!$C:$C,Order!$L:$L,"",0,1))</f>
        <v>0</v>
      </c>
      <c r="J1197" s="4" t="str">
        <f>IF(C1197="","",Order!$L$16)</f>
        <v>BRONZE ANODIZED (FAYP03)</v>
      </c>
      <c r="K1197" s="36">
        <f>IF($C1197="","",_xlfn.XLOOKUP($C1197,Order!$C:$C,Order!$P:$P,"",0,1))</f>
        <v>0</v>
      </c>
      <c r="L1197" s="4">
        <f t="shared" si="18"/>
        <v>0</v>
      </c>
    </row>
    <row r="1198" spans="2:12" ht="23.25" hidden="1" customHeight="1" x14ac:dyDescent="0.25">
      <c r="B1198" s="4">
        <v>1193</v>
      </c>
      <c r="C1198" s="36" t="str">
        <f>IF(Order!$C$174="","",Order!$C$174)</f>
        <v>PC0276.5A</v>
      </c>
      <c r="D1198" s="36" t="str">
        <f>IF($C1198="","",_xlfn.XLOOKUP($C1198,Order!$C:$C,Order!$D:$D,"",0,1))</f>
        <v>PC027 6.5A</v>
      </c>
      <c r="E1198" s="4" t="e" vm="359">
        <f>IF($C1198="","",_xlfn.XLOOKUP($C1198,Order!$C:$C,Order!$E:$E,"",0,1))</f>
        <v>#VALUE!</v>
      </c>
      <c r="F1198" s="4">
        <f>IF($C1198="","",_xlfn.XLOOKUP($C1198,Order!$C:$C,Order!$F:$F,"",0,1))</f>
        <v>6000</v>
      </c>
      <c r="G1198" s="4" t="str">
        <f>IF($C1198="","",_xlfn.XLOOKUP($C1198,Order!$C:$C,Order!$G:$G,"",0,1))</f>
        <v>6063T5</v>
      </c>
      <c r="H1198" s="4">
        <f>IF($C1198="","",_xlfn.XLOOKUP($C1198,Order!$C:$C,Order!$H:$H,"",0,1))</f>
        <v>0.61899999999999999</v>
      </c>
      <c r="I1198" s="36">
        <f>IF($C1198="","",_xlfn.XLOOKUP($C1198,Order!$C:$C,Order!$L:$L,"",0,1))</f>
        <v>0</v>
      </c>
      <c r="J1198" s="4" t="str">
        <f>IF(C1198="","",Order!$L$16)</f>
        <v>BRONZE ANODIZED (FAYP03)</v>
      </c>
      <c r="K1198" s="36">
        <f>IF($C1198="","",_xlfn.XLOOKUP($C1198,Order!$C:$C,Order!$P:$P,"",0,1))</f>
        <v>0</v>
      </c>
      <c r="L1198" s="4">
        <f t="shared" si="18"/>
        <v>0</v>
      </c>
    </row>
    <row r="1199" spans="2:12" ht="23.25" hidden="1" customHeight="1" x14ac:dyDescent="0.25">
      <c r="B1199" s="4">
        <v>1194</v>
      </c>
      <c r="C1199" s="36" t="str">
        <f>IF(Order!$C$175="","",Order!$C$175)</f>
        <v>E77</v>
      </c>
      <c r="D1199" s="36" t="str">
        <f>IF($C1199="","",_xlfn.XLOOKUP($C1199,Order!$C:$C,Order!$D:$D,"",0,1))</f>
        <v>E77</v>
      </c>
      <c r="E1199" s="4" t="e" vm="360">
        <f>IF($C1199="","",_xlfn.XLOOKUP($C1199,Order!$C:$C,Order!$E:$E,"",0,1))</f>
        <v>#VALUE!</v>
      </c>
      <c r="F1199" s="4">
        <f>IF($C1199="","",_xlfn.XLOOKUP($C1199,Order!$C:$C,Order!$F:$F,"",0,1))</f>
        <v>6000</v>
      </c>
      <c r="G1199" s="4" t="str">
        <f>IF($C1199="","",_xlfn.XLOOKUP($C1199,Order!$C:$C,Order!$G:$G,"",0,1))</f>
        <v>6063T5</v>
      </c>
      <c r="H1199" s="4">
        <f>IF($C1199="","",_xlfn.XLOOKUP($C1199,Order!$C:$C,Order!$H:$H,"",0,1))</f>
        <v>0.6</v>
      </c>
      <c r="I1199" s="36">
        <f>IF($C1199="","",_xlfn.XLOOKUP($C1199,Order!$C:$C,Order!$L:$L,"",0,1))</f>
        <v>0</v>
      </c>
      <c r="J1199" s="4" t="str">
        <f>IF(C1199="","",Order!$L$16)</f>
        <v>BRONZE ANODIZED (FAYP03)</v>
      </c>
      <c r="K1199" s="36">
        <f>IF($C1199="","",_xlfn.XLOOKUP($C1199,Order!$C:$C,Order!$P:$P,"",0,1))</f>
        <v>0</v>
      </c>
      <c r="L1199" s="4">
        <f t="shared" si="18"/>
        <v>0</v>
      </c>
    </row>
    <row r="1200" spans="2:12" ht="23.25" hidden="1" customHeight="1" x14ac:dyDescent="0.25">
      <c r="B1200" s="4">
        <v>1195</v>
      </c>
      <c r="C1200" s="36" t="str">
        <f>IF(Order!$C$176="","",Order!$C$176)</f>
        <v>ALB099 1.1</v>
      </c>
      <c r="D1200" s="36" t="str">
        <f>IF($C1200="","",_xlfn.XLOOKUP($C1200,Order!$C:$C,Order!$D:$D,"",0,1))</f>
        <v>ALB099</v>
      </c>
      <c r="E1200" s="4" t="e" vm="361">
        <f>IF($C1200="","",_xlfn.XLOOKUP($C1200,Order!$C:$C,Order!$E:$E,"",0,1))</f>
        <v>#VALUE!</v>
      </c>
      <c r="F1200" s="4">
        <f>IF($C1200="","",_xlfn.XLOOKUP($C1200,Order!$C:$C,Order!$F:$F,"",0,1))</f>
        <v>6000</v>
      </c>
      <c r="G1200" s="4" t="str">
        <f>IF($C1200="","",_xlfn.XLOOKUP($C1200,Order!$C:$C,Order!$G:$G,"",0,1))</f>
        <v>6063T5</v>
      </c>
      <c r="H1200" s="4">
        <f>IF($C1200="","",_xlfn.XLOOKUP($C1200,Order!$C:$C,Order!$H:$H,"",0,1))</f>
        <v>0.74299999999999999</v>
      </c>
      <c r="I1200" s="36">
        <f>IF($C1200="","",_xlfn.XLOOKUP($C1200,Order!$C:$C,Order!$L:$L,"",0,1))</f>
        <v>0</v>
      </c>
      <c r="J1200" s="4" t="str">
        <f>IF(C1200="","",Order!$L$16)</f>
        <v>BRONZE ANODIZED (FAYP03)</v>
      </c>
      <c r="K1200" s="36">
        <f>IF($C1200="","",_xlfn.XLOOKUP($C1200,Order!$C:$C,Order!$P:$P,"",0,1))</f>
        <v>0</v>
      </c>
      <c r="L1200" s="4">
        <f t="shared" si="18"/>
        <v>0</v>
      </c>
    </row>
    <row r="1201" spans="2:12" ht="23.25" hidden="1" customHeight="1" x14ac:dyDescent="0.25">
      <c r="B1201" s="4">
        <v>1196</v>
      </c>
      <c r="C1201" s="36" t="str">
        <f>IF(Order!$C$177="","",Order!$C$177)</f>
        <v>ALB099 1.2</v>
      </c>
      <c r="D1201" s="36" t="str">
        <f>IF($C1201="","",_xlfn.XLOOKUP($C1201,Order!$C:$C,Order!$D:$D,"",0,1))</f>
        <v>ALB099 1.2</v>
      </c>
      <c r="E1201" s="4" t="e" vm="362">
        <f>IF($C1201="","",_xlfn.XLOOKUP($C1201,Order!$C:$C,Order!$E:$E,"",0,1))</f>
        <v>#VALUE!</v>
      </c>
      <c r="F1201" s="4">
        <f>IF($C1201="","",_xlfn.XLOOKUP($C1201,Order!$C:$C,Order!$F:$F,"",0,1))</f>
        <v>6000</v>
      </c>
      <c r="G1201" s="4" t="str">
        <f>IF($C1201="","",_xlfn.XLOOKUP($C1201,Order!$C:$C,Order!$G:$G,"",0,1))</f>
        <v>6063T5</v>
      </c>
      <c r="H1201" s="4">
        <f>IF($C1201="","",_xlfn.XLOOKUP($C1201,Order!$C:$C,Order!$H:$H,"",0,1))</f>
        <v>0.81499999999999995</v>
      </c>
      <c r="I1201" s="36">
        <f>IF($C1201="","",_xlfn.XLOOKUP($C1201,Order!$C:$C,Order!$L:$L,"",0,1))</f>
        <v>0</v>
      </c>
      <c r="J1201" s="4" t="str">
        <f>IF(C1201="","",Order!$L$16)</f>
        <v>BRONZE ANODIZED (FAYP03)</v>
      </c>
      <c r="K1201" s="36">
        <f>IF($C1201="","",_xlfn.XLOOKUP($C1201,Order!$C:$C,Order!$P:$P,"",0,1))</f>
        <v>0</v>
      </c>
      <c r="L1201" s="4">
        <f t="shared" si="18"/>
        <v>0</v>
      </c>
    </row>
    <row r="1202" spans="2:12" ht="23.25" hidden="1" customHeight="1" x14ac:dyDescent="0.25">
      <c r="B1202" s="4">
        <v>1197</v>
      </c>
      <c r="C1202" s="36" t="str">
        <f>IF(Order!$C$178="","",Order!$C$178)</f>
        <v>LB005</v>
      </c>
      <c r="D1202" s="36" t="str">
        <f>IF($C1202="","",_xlfn.XLOOKUP($C1202,Order!$C:$C,Order!$D:$D,"",0,1))</f>
        <v>LB005</v>
      </c>
      <c r="E1202" s="4" t="e" vm="363">
        <f>IF($C1202="","",_xlfn.XLOOKUP($C1202,Order!$C:$C,Order!$E:$E,"",0,1))</f>
        <v>#VALUE!</v>
      </c>
      <c r="F1202" s="4">
        <f>IF($C1202="","",_xlfn.XLOOKUP($C1202,Order!$C:$C,Order!$F:$F,"",0,1))</f>
        <v>6000</v>
      </c>
      <c r="G1202" s="4" t="str">
        <f>IF($C1202="","",_xlfn.XLOOKUP($C1202,Order!$C:$C,Order!$G:$G,"",0,1))</f>
        <v>6063T5</v>
      </c>
      <c r="H1202" s="4">
        <f>IF($C1202="","",_xlfn.XLOOKUP($C1202,Order!$C:$C,Order!$H:$H,"",0,1))</f>
        <v>0</v>
      </c>
      <c r="I1202" s="36">
        <f>IF($C1202="","",_xlfn.XLOOKUP($C1202,Order!$C:$C,Order!$L:$L,"",0,1))</f>
        <v>0</v>
      </c>
      <c r="J1202" s="4" t="str">
        <f>IF(C1202="","",Order!$L$16)</f>
        <v>BRONZE ANODIZED (FAYP03)</v>
      </c>
      <c r="K1202" s="36">
        <f>IF($C1202="","",_xlfn.XLOOKUP($C1202,Order!$C:$C,Order!$P:$P,"",0,1))</f>
        <v>0</v>
      </c>
      <c r="L1202" s="4">
        <f t="shared" si="18"/>
        <v>0</v>
      </c>
    </row>
    <row r="1203" spans="2:12" ht="23.25" hidden="1" customHeight="1" x14ac:dyDescent="0.25">
      <c r="B1203" s="4">
        <v>1198</v>
      </c>
      <c r="C1203" s="36" t="str">
        <f>IF(Order!$C$179="","",Order!$C$179)</f>
        <v>LB007</v>
      </c>
      <c r="D1203" s="36" t="str">
        <f>IF($C1203="","",_xlfn.XLOOKUP($C1203,Order!$C:$C,Order!$D:$D,"",0,1))</f>
        <v>LB007</v>
      </c>
      <c r="E1203" s="4" t="e" vm="364">
        <f>IF($C1203="","",_xlfn.XLOOKUP($C1203,Order!$C:$C,Order!$E:$E,"",0,1))</f>
        <v>#VALUE!</v>
      </c>
      <c r="F1203" s="4">
        <f>IF($C1203="","",_xlfn.XLOOKUP($C1203,Order!$C:$C,Order!$F:$F,"",0,1))</f>
        <v>6000</v>
      </c>
      <c r="G1203" s="4" t="str">
        <f>IF($C1203="","",_xlfn.XLOOKUP($C1203,Order!$C:$C,Order!$G:$G,"",0,1))</f>
        <v>6063T5</v>
      </c>
      <c r="H1203" s="4">
        <f>IF($C1203="","",_xlfn.XLOOKUP($C1203,Order!$C:$C,Order!$H:$H,"",0,1))</f>
        <v>0.61</v>
      </c>
      <c r="I1203" s="36">
        <f>IF($C1203="","",_xlfn.XLOOKUP($C1203,Order!$C:$C,Order!$L:$L,"",0,1))</f>
        <v>0</v>
      </c>
      <c r="J1203" s="4" t="str">
        <f>IF(C1203="","",Order!$L$16)</f>
        <v>BRONZE ANODIZED (FAYP03)</v>
      </c>
      <c r="K1203" s="36">
        <f>IF($C1203="","",_xlfn.XLOOKUP($C1203,Order!$C:$C,Order!$P:$P,"",0,1))</f>
        <v>0</v>
      </c>
      <c r="L1203" s="4">
        <f t="shared" si="18"/>
        <v>0</v>
      </c>
    </row>
    <row r="1204" spans="2:12" ht="23.25" hidden="1" customHeight="1" x14ac:dyDescent="0.25">
      <c r="B1204" s="4">
        <v>1199</v>
      </c>
      <c r="C1204" s="36" t="str">
        <f>IF(Order!$C$180="","",Order!$C$180)</f>
        <v>LB008</v>
      </c>
      <c r="D1204" s="36" t="str">
        <f>IF($C1204="","",_xlfn.XLOOKUP($C1204,Order!$C:$C,Order!$D:$D,"",0,1))</f>
        <v>LB008</v>
      </c>
      <c r="E1204" s="4" t="e" vm="365">
        <f>IF($C1204="","",_xlfn.XLOOKUP($C1204,Order!$C:$C,Order!$E:$E,"",0,1))</f>
        <v>#VALUE!</v>
      </c>
      <c r="F1204" s="4">
        <f>IF($C1204="","",_xlfn.XLOOKUP($C1204,Order!$C:$C,Order!$F:$F,"",0,1))</f>
        <v>6000</v>
      </c>
      <c r="G1204" s="4" t="str">
        <f>IF($C1204="","",_xlfn.XLOOKUP($C1204,Order!$C:$C,Order!$G:$G,"",0,1))</f>
        <v>6063T5</v>
      </c>
      <c r="H1204" s="4">
        <f>IF($C1204="","",_xlfn.XLOOKUP($C1204,Order!$C:$C,Order!$H:$H,"",0,1))</f>
        <v>0.50600000000000001</v>
      </c>
      <c r="I1204" s="36">
        <f>IF($C1204="","",_xlfn.XLOOKUP($C1204,Order!$C:$C,Order!$L:$L,"",0,1))</f>
        <v>0</v>
      </c>
      <c r="J1204" s="4" t="str">
        <f>IF(C1204="","",Order!$L$16)</f>
        <v>BRONZE ANODIZED (FAYP03)</v>
      </c>
      <c r="K1204" s="36">
        <f>IF($C1204="","",_xlfn.XLOOKUP($C1204,Order!$C:$C,Order!$P:$P,"",0,1))</f>
        <v>0</v>
      </c>
      <c r="L1204" s="4">
        <f t="shared" si="18"/>
        <v>0</v>
      </c>
    </row>
    <row r="1205" spans="2:12" ht="23.25" hidden="1" customHeight="1" x14ac:dyDescent="0.25">
      <c r="B1205" s="4">
        <v>1200</v>
      </c>
      <c r="C1205" s="36" t="str">
        <f>IF(Order!$C$181="","",Order!$C$181)</f>
        <v>LB010</v>
      </c>
      <c r="D1205" s="36" t="str">
        <f>IF($C1205="","",_xlfn.XLOOKUP($C1205,Order!$C:$C,Order!$D:$D,"",0,1))</f>
        <v>LB010</v>
      </c>
      <c r="E1205" s="4" t="e" vm="366">
        <f>IF($C1205="","",_xlfn.XLOOKUP($C1205,Order!$C:$C,Order!$E:$E,"",0,1))</f>
        <v>#VALUE!</v>
      </c>
      <c r="F1205" s="4">
        <f>IF($C1205="","",_xlfn.XLOOKUP($C1205,Order!$C:$C,Order!$F:$F,"",0,1))</f>
        <v>6000</v>
      </c>
      <c r="G1205" s="4" t="str">
        <f>IF($C1205="","",_xlfn.XLOOKUP($C1205,Order!$C:$C,Order!$G:$G,"",0,1))</f>
        <v>6063T5</v>
      </c>
      <c r="H1205" s="4">
        <f>IF($C1205="","",_xlfn.XLOOKUP($C1205,Order!$C:$C,Order!$H:$H,"",0,1))</f>
        <v>0</v>
      </c>
      <c r="I1205" s="36">
        <f>IF($C1205="","",_xlfn.XLOOKUP($C1205,Order!$C:$C,Order!$L:$L,"",0,1))</f>
        <v>0</v>
      </c>
      <c r="J1205" s="4" t="str">
        <f>IF(C1205="","",Order!$L$16)</f>
        <v>BRONZE ANODIZED (FAYP03)</v>
      </c>
      <c r="K1205" s="36">
        <f>IF($C1205="","",_xlfn.XLOOKUP($C1205,Order!$C:$C,Order!$P:$P,"",0,1))</f>
        <v>0</v>
      </c>
      <c r="L1205" s="4">
        <f t="shared" si="18"/>
        <v>0</v>
      </c>
    </row>
    <row r="1206" spans="2:12" ht="23.25" hidden="1" customHeight="1" x14ac:dyDescent="0.25">
      <c r="B1206" s="4">
        <v>1201</v>
      </c>
      <c r="C1206" s="36" t="str">
        <f>IF(Order!$C$182="","",Order!$C$182)</f>
        <v>LB020</v>
      </c>
      <c r="D1206" s="36" t="str">
        <f>IF($C1206="","",_xlfn.XLOOKUP($C1206,Order!$C:$C,Order!$D:$D,"",0,1))</f>
        <v>LB020</v>
      </c>
      <c r="E1206" s="4" t="e" vm="367">
        <f>IF($C1206="","",_xlfn.XLOOKUP($C1206,Order!$C:$C,Order!$E:$E,"",0,1))</f>
        <v>#VALUE!</v>
      </c>
      <c r="F1206" s="4">
        <f>IF($C1206="","",_xlfn.XLOOKUP($C1206,Order!$C:$C,Order!$F:$F,"",0,1))</f>
        <v>6000</v>
      </c>
      <c r="G1206" s="4" t="str">
        <f>IF($C1206="","",_xlfn.XLOOKUP($C1206,Order!$C:$C,Order!$G:$G,"",0,1))</f>
        <v>6063T5</v>
      </c>
      <c r="H1206" s="4">
        <f>IF($C1206="","",_xlfn.XLOOKUP($C1206,Order!$C:$C,Order!$H:$H,"",0,1))</f>
        <v>0.67300000000000004</v>
      </c>
      <c r="I1206" s="36">
        <f>IF($C1206="","",_xlfn.XLOOKUP($C1206,Order!$C:$C,Order!$L:$L,"",0,1))</f>
        <v>0</v>
      </c>
      <c r="J1206" s="4" t="str">
        <f>IF(C1206="","",Order!$L$16)</f>
        <v>BRONZE ANODIZED (FAYP03)</v>
      </c>
      <c r="K1206" s="36">
        <f>IF($C1206="","",_xlfn.XLOOKUP($C1206,Order!$C:$C,Order!$P:$P,"",0,1))</f>
        <v>0</v>
      </c>
      <c r="L1206" s="4">
        <f t="shared" si="18"/>
        <v>0</v>
      </c>
    </row>
    <row r="1207" spans="2:12" ht="23.25" hidden="1" customHeight="1" x14ac:dyDescent="0.25">
      <c r="B1207" s="4">
        <v>1202</v>
      </c>
      <c r="C1207" s="36" t="str">
        <f>IF(Order!$C$183="","",Order!$C$183)</f>
        <v>PLB036</v>
      </c>
      <c r="D1207" s="36" t="str">
        <f>IF($C1207="","",_xlfn.XLOOKUP($C1207,Order!$C:$C,Order!$D:$D,"",0,1))</f>
        <v>PLB036</v>
      </c>
      <c r="E1207" s="4" t="e" vm="368">
        <f>IF($C1207="","",_xlfn.XLOOKUP($C1207,Order!$C:$C,Order!$E:$E,"",0,1))</f>
        <v>#VALUE!</v>
      </c>
      <c r="F1207" s="4">
        <f>IF($C1207="","",_xlfn.XLOOKUP($C1207,Order!$C:$C,Order!$F:$F,"",0,1))</f>
        <v>6000</v>
      </c>
      <c r="G1207" s="4" t="str">
        <f>IF($C1207="","",_xlfn.XLOOKUP($C1207,Order!$C:$C,Order!$G:$G,"",0,1))</f>
        <v>6063T5</v>
      </c>
      <c r="H1207" s="4">
        <f>IF($C1207="","",_xlfn.XLOOKUP($C1207,Order!$C:$C,Order!$H:$H,"",0,1))</f>
        <v>0.51400000000000001</v>
      </c>
      <c r="I1207" s="36">
        <f>IF($C1207="","",_xlfn.XLOOKUP($C1207,Order!$C:$C,Order!$L:$L,"",0,1))</f>
        <v>0</v>
      </c>
      <c r="J1207" s="4" t="str">
        <f>IF(C1207="","",Order!$L$16)</f>
        <v>BRONZE ANODIZED (FAYP03)</v>
      </c>
      <c r="K1207" s="36">
        <f>IF($C1207="","",_xlfn.XLOOKUP($C1207,Order!$C:$C,Order!$P:$P,"",0,1))</f>
        <v>0</v>
      </c>
      <c r="L1207" s="4">
        <f t="shared" si="18"/>
        <v>0</v>
      </c>
    </row>
    <row r="1208" spans="2:12" ht="23.25" hidden="1" customHeight="1" x14ac:dyDescent="0.25">
      <c r="B1208" s="4">
        <v>1203</v>
      </c>
      <c r="C1208" s="36" t="str">
        <f>IF(Order!$C$184="","",Order!$C$184)</f>
        <v>PLB036P</v>
      </c>
      <c r="D1208" s="36" t="str">
        <f>IF($C1208="","",_xlfn.XLOOKUP($C1208,Order!$C:$C,Order!$D:$D,"",0,1))</f>
        <v>PLB036P</v>
      </c>
      <c r="E1208" s="4" t="e" vm="369">
        <f>IF($C1208="","",_xlfn.XLOOKUP($C1208,Order!$C:$C,Order!$E:$E,"",0,1))</f>
        <v>#VALUE!</v>
      </c>
      <c r="F1208" s="4">
        <f>IF($C1208="","",_xlfn.XLOOKUP($C1208,Order!$C:$C,Order!$F:$F,"",0,1))</f>
        <v>6000</v>
      </c>
      <c r="G1208" s="4" t="str">
        <f>IF($C1208="","",_xlfn.XLOOKUP($C1208,Order!$C:$C,Order!$G:$G,"",0,1))</f>
        <v>6063T5</v>
      </c>
      <c r="H1208" s="4">
        <f>IF($C1208="","",_xlfn.XLOOKUP($C1208,Order!$C:$C,Order!$H:$H,"",0,1))</f>
        <v>0.46600000000000003</v>
      </c>
      <c r="I1208" s="36">
        <f>IF($C1208="","",_xlfn.XLOOKUP($C1208,Order!$C:$C,Order!$L:$L,"",0,1))</f>
        <v>0</v>
      </c>
      <c r="J1208" s="4" t="str">
        <f>IF(C1208="","",Order!$L$16)</f>
        <v>BRONZE ANODIZED (FAYP03)</v>
      </c>
      <c r="K1208" s="36">
        <f>IF($C1208="","",_xlfn.XLOOKUP($C1208,Order!$C:$C,Order!$P:$P,"",0,1))</f>
        <v>0</v>
      </c>
      <c r="L1208" s="4">
        <f t="shared" si="18"/>
        <v>0</v>
      </c>
    </row>
    <row r="1209" spans="2:12" ht="23.25" hidden="1" customHeight="1" x14ac:dyDescent="0.25">
      <c r="B1209" s="4">
        <v>1204</v>
      </c>
      <c r="C1209" s="36" t="str">
        <f>IF(Order!$C$185="","",Order!$C$185)</f>
        <v>LB037</v>
      </c>
      <c r="D1209" s="36" t="str">
        <f>IF($C1209="","",_xlfn.XLOOKUP($C1209,Order!$C:$C,Order!$D:$D,"",0,1))</f>
        <v>LB037</v>
      </c>
      <c r="E1209" s="4" t="e" vm="370">
        <f>IF($C1209="","",_xlfn.XLOOKUP($C1209,Order!$C:$C,Order!$E:$E,"",0,1))</f>
        <v>#VALUE!</v>
      </c>
      <c r="F1209" s="4">
        <f>IF($C1209="","",_xlfn.XLOOKUP($C1209,Order!$C:$C,Order!$F:$F,"",0,1))</f>
        <v>6000</v>
      </c>
      <c r="G1209" s="4" t="str">
        <f>IF($C1209="","",_xlfn.XLOOKUP($C1209,Order!$C:$C,Order!$G:$G,"",0,1))</f>
        <v>6063T5</v>
      </c>
      <c r="H1209" s="4">
        <f>IF($C1209="","",_xlfn.XLOOKUP($C1209,Order!$C:$C,Order!$H:$H,"",0,1))</f>
        <v>0.68100000000000005</v>
      </c>
      <c r="I1209" s="36">
        <f>IF($C1209="","",_xlfn.XLOOKUP($C1209,Order!$C:$C,Order!$L:$L,"",0,1))</f>
        <v>0</v>
      </c>
      <c r="J1209" s="4" t="str">
        <f>IF(C1209="","",Order!$L$16)</f>
        <v>BRONZE ANODIZED (FAYP03)</v>
      </c>
      <c r="K1209" s="36">
        <f>IF($C1209="","",_xlfn.XLOOKUP($C1209,Order!$C:$C,Order!$P:$P,"",0,1))</f>
        <v>0</v>
      </c>
      <c r="L1209" s="4">
        <f t="shared" si="18"/>
        <v>0</v>
      </c>
    </row>
    <row r="1210" spans="2:12" ht="23.25" hidden="1" customHeight="1" x14ac:dyDescent="0.25">
      <c r="B1210" s="4">
        <v>1205</v>
      </c>
      <c r="C1210" s="36" t="str">
        <f>IF(Order!$C$186="","",Order!$C$186)</f>
        <v>LB038</v>
      </c>
      <c r="D1210" s="36" t="str">
        <f>IF($C1210="","",_xlfn.XLOOKUP($C1210,Order!$C:$C,Order!$D:$D,"",0,1))</f>
        <v>LB038</v>
      </c>
      <c r="E1210" s="4" t="e" vm="371">
        <f>IF($C1210="","",_xlfn.XLOOKUP($C1210,Order!$C:$C,Order!$E:$E,"",0,1))</f>
        <v>#VALUE!</v>
      </c>
      <c r="F1210" s="4">
        <f>IF($C1210="","",_xlfn.XLOOKUP($C1210,Order!$C:$C,Order!$F:$F,"",0,1))</f>
        <v>6000</v>
      </c>
      <c r="G1210" s="4" t="str">
        <f>IF($C1210="","",_xlfn.XLOOKUP($C1210,Order!$C:$C,Order!$G:$G,"",0,1))</f>
        <v>6063T5</v>
      </c>
      <c r="H1210" s="4">
        <f>IF($C1210="","",_xlfn.XLOOKUP($C1210,Order!$C:$C,Order!$H:$H,"",0,1))</f>
        <v>0</v>
      </c>
      <c r="I1210" s="36">
        <f>IF($C1210="","",_xlfn.XLOOKUP($C1210,Order!$C:$C,Order!$L:$L,"",0,1))</f>
        <v>0</v>
      </c>
      <c r="J1210" s="4" t="str">
        <f>IF(C1210="","",Order!$L$16)</f>
        <v>BRONZE ANODIZED (FAYP03)</v>
      </c>
      <c r="K1210" s="36">
        <f>IF($C1210="","",_xlfn.XLOOKUP($C1210,Order!$C:$C,Order!$P:$P,"",0,1))</f>
        <v>0</v>
      </c>
      <c r="L1210" s="4">
        <f t="shared" si="18"/>
        <v>0</v>
      </c>
    </row>
    <row r="1211" spans="2:12" ht="23.25" hidden="1" customHeight="1" x14ac:dyDescent="0.25">
      <c r="B1211" s="4">
        <v>1206</v>
      </c>
      <c r="C1211" s="36" t="str">
        <f>IF(Order!$C$187="","",Order!$C$187)</f>
        <v>LB050</v>
      </c>
      <c r="D1211" s="36" t="str">
        <f>IF($C1211="","",_xlfn.XLOOKUP($C1211,Order!$C:$C,Order!$D:$D,"",0,1))</f>
        <v>LB050</v>
      </c>
      <c r="E1211" s="4" t="e" vm="372">
        <f>IF($C1211="","",_xlfn.XLOOKUP($C1211,Order!$C:$C,Order!$E:$E,"",0,1))</f>
        <v>#VALUE!</v>
      </c>
      <c r="F1211" s="4">
        <f>IF($C1211="","",_xlfn.XLOOKUP($C1211,Order!$C:$C,Order!$F:$F,"",0,1))</f>
        <v>6000</v>
      </c>
      <c r="G1211" s="4" t="str">
        <f>IF($C1211="","",_xlfn.XLOOKUP($C1211,Order!$C:$C,Order!$G:$G,"",0,1))</f>
        <v>6063T5</v>
      </c>
      <c r="H1211" s="4">
        <f>IF($C1211="","",_xlfn.XLOOKUP($C1211,Order!$C:$C,Order!$H:$H,"",0,1))</f>
        <v>0.61699999999999999</v>
      </c>
      <c r="I1211" s="36">
        <f>IF($C1211="","",_xlfn.XLOOKUP($C1211,Order!$C:$C,Order!$L:$L,"",0,1))</f>
        <v>0</v>
      </c>
      <c r="J1211" s="4" t="str">
        <f>IF(C1211="","",Order!$L$16)</f>
        <v>BRONZE ANODIZED (FAYP03)</v>
      </c>
      <c r="K1211" s="36">
        <f>IF($C1211="","",_xlfn.XLOOKUP($C1211,Order!$C:$C,Order!$P:$P,"",0,1))</f>
        <v>0</v>
      </c>
      <c r="L1211" s="4">
        <f t="shared" si="18"/>
        <v>0</v>
      </c>
    </row>
    <row r="1212" spans="2:12" ht="23.25" hidden="1" customHeight="1" x14ac:dyDescent="0.25">
      <c r="B1212" s="4">
        <v>1207</v>
      </c>
      <c r="C1212" s="36" t="str">
        <f>IF(Order!$C$188="","",Order!$C$188)</f>
        <v>LB070</v>
      </c>
      <c r="D1212" s="36" t="str">
        <f>IF($C1212="","",_xlfn.XLOOKUP($C1212,Order!$C:$C,Order!$D:$D,"",0,1))</f>
        <v>LB070</v>
      </c>
      <c r="E1212" s="4" t="e" vm="373">
        <f>IF($C1212="","",_xlfn.XLOOKUP($C1212,Order!$C:$C,Order!$E:$E,"",0,1))</f>
        <v>#VALUE!</v>
      </c>
      <c r="F1212" s="4">
        <f>IF($C1212="","",_xlfn.XLOOKUP($C1212,Order!$C:$C,Order!$F:$F,"",0,1))</f>
        <v>6000</v>
      </c>
      <c r="G1212" s="4" t="str">
        <f>IF($C1212="","",_xlfn.XLOOKUP($C1212,Order!$C:$C,Order!$G:$G,"",0,1))</f>
        <v>6063T5</v>
      </c>
      <c r="H1212" s="4">
        <f>IF($C1212="","",_xlfn.XLOOKUP($C1212,Order!$C:$C,Order!$H:$H,"",0,1))</f>
        <v>0.71699999999999997</v>
      </c>
      <c r="I1212" s="36">
        <f>IF($C1212="","",_xlfn.XLOOKUP($C1212,Order!$C:$C,Order!$L:$L,"",0,1))</f>
        <v>0</v>
      </c>
      <c r="J1212" s="4" t="str">
        <f>IF(C1212="","",Order!$L$16)</f>
        <v>BRONZE ANODIZED (FAYP03)</v>
      </c>
      <c r="K1212" s="36">
        <f>IF($C1212="","",_xlfn.XLOOKUP($C1212,Order!$C:$C,Order!$P:$P,"",0,1))</f>
        <v>0</v>
      </c>
      <c r="L1212" s="4">
        <f t="shared" si="18"/>
        <v>0</v>
      </c>
    </row>
    <row r="1213" spans="2:12" ht="23.25" hidden="1" customHeight="1" x14ac:dyDescent="0.25">
      <c r="B1213" s="4">
        <v>1208</v>
      </c>
      <c r="C1213" s="36" t="str">
        <f>IF(Order!$C$189="","",Order!$C$189)</f>
        <v>LB081</v>
      </c>
      <c r="D1213" s="36" t="str">
        <f>IF($C1213="","",_xlfn.XLOOKUP($C1213,Order!$C:$C,Order!$D:$D,"",0,1))</f>
        <v>LB081</v>
      </c>
      <c r="E1213" s="4" t="e" vm="374">
        <f>IF($C1213="","",_xlfn.XLOOKUP($C1213,Order!$C:$C,Order!$E:$E,"",0,1))</f>
        <v>#VALUE!</v>
      </c>
      <c r="F1213" s="4">
        <f>IF($C1213="","",_xlfn.XLOOKUP($C1213,Order!$C:$C,Order!$F:$F,"",0,1))</f>
        <v>6000</v>
      </c>
      <c r="G1213" s="4" t="str">
        <f>IF($C1213="","",_xlfn.XLOOKUP($C1213,Order!$C:$C,Order!$G:$G,"",0,1))</f>
        <v>6063T5</v>
      </c>
      <c r="H1213" s="4">
        <f>IF($C1213="","",_xlfn.XLOOKUP($C1213,Order!$C:$C,Order!$H:$H,"",0,1))</f>
        <v>0.52800000000000002</v>
      </c>
      <c r="I1213" s="36">
        <f>IF($C1213="","",_xlfn.XLOOKUP($C1213,Order!$C:$C,Order!$L:$L,"",0,1))</f>
        <v>0</v>
      </c>
      <c r="J1213" s="4" t="str">
        <f>IF(C1213="","",Order!$L$16)</f>
        <v>BRONZE ANODIZED (FAYP03)</v>
      </c>
      <c r="K1213" s="36">
        <f>IF($C1213="","",_xlfn.XLOOKUP($C1213,Order!$C:$C,Order!$P:$P,"",0,1))</f>
        <v>0</v>
      </c>
      <c r="L1213" s="4">
        <f t="shared" si="18"/>
        <v>0</v>
      </c>
    </row>
    <row r="1214" spans="2:12" ht="23.25" hidden="1" customHeight="1" x14ac:dyDescent="0.25">
      <c r="B1214" s="4">
        <v>1209</v>
      </c>
      <c r="C1214" s="36" t="str">
        <f>IF(Order!$C$190="","",Order!$C$190)</f>
        <v>BX816</v>
      </c>
      <c r="D1214" s="36" t="str">
        <f>IF($C1214="","",_xlfn.XLOOKUP($C1214,Order!$C:$C,Order!$D:$D,"",0,1))</f>
        <v>BX816</v>
      </c>
      <c r="E1214" s="4" t="e" vm="375">
        <f>IF($C1214="","",_xlfn.XLOOKUP($C1214,Order!$C:$C,Order!$E:$E,"",0,1))</f>
        <v>#VALUE!</v>
      </c>
      <c r="F1214" s="4">
        <f>IF($C1214="","",_xlfn.XLOOKUP($C1214,Order!$C:$C,Order!$F:$F,"",0,1))</f>
        <v>6000</v>
      </c>
      <c r="G1214" s="4" t="str">
        <f>IF($C1214="","",_xlfn.XLOOKUP($C1214,Order!$C:$C,Order!$G:$G,"",0,1))</f>
        <v>6063T5</v>
      </c>
      <c r="H1214" s="4">
        <f>IF($C1214="","",_xlfn.XLOOKUP($C1214,Order!$C:$C,Order!$H:$H,"",0,1))</f>
        <v>0.67</v>
      </c>
      <c r="I1214" s="36">
        <f>IF($C1214="","",_xlfn.XLOOKUP($C1214,Order!$C:$C,Order!$L:$L,"",0,1))</f>
        <v>0</v>
      </c>
      <c r="J1214" s="4" t="str">
        <f>IF(C1214="","",Order!$L$16)</f>
        <v>BRONZE ANODIZED (FAYP03)</v>
      </c>
      <c r="K1214" s="36">
        <f>IF($C1214="","",_xlfn.XLOOKUP($C1214,Order!$C:$C,Order!$P:$P,"",0,1))</f>
        <v>0</v>
      </c>
      <c r="L1214" s="4">
        <f t="shared" si="18"/>
        <v>0</v>
      </c>
    </row>
    <row r="1215" spans="2:12" ht="23.25" hidden="1" customHeight="1" x14ac:dyDescent="0.25">
      <c r="B1215" s="4">
        <v>1210</v>
      </c>
      <c r="C1215" s="36" t="str">
        <f>IF(Order!$C$191="","",Order!$C$191)</f>
        <v>BX841</v>
      </c>
      <c r="D1215" s="36" t="str">
        <f>IF($C1215="","",_xlfn.XLOOKUP($C1215,Order!$C:$C,Order!$D:$D,"",0,1))</f>
        <v>BX841</v>
      </c>
      <c r="E1215" s="4" t="e" vm="376">
        <f>IF($C1215="","",_xlfn.XLOOKUP($C1215,Order!$C:$C,Order!$E:$E,"",0,1))</f>
        <v>#VALUE!</v>
      </c>
      <c r="F1215" s="4">
        <f>IF($C1215="","",_xlfn.XLOOKUP($C1215,Order!$C:$C,Order!$F:$F,"",0,1))</f>
        <v>6000</v>
      </c>
      <c r="G1215" s="4" t="str">
        <f>IF($C1215="","",_xlfn.XLOOKUP($C1215,Order!$C:$C,Order!$G:$G,"",0,1))</f>
        <v>6063T5</v>
      </c>
      <c r="H1215" s="4">
        <f>IF($C1215="","",_xlfn.XLOOKUP($C1215,Order!$C:$C,Order!$H:$H,"",0,1))</f>
        <v>0.54500000000000004</v>
      </c>
      <c r="I1215" s="36">
        <f>IF($C1215="","",_xlfn.XLOOKUP($C1215,Order!$C:$C,Order!$L:$L,"",0,1))</f>
        <v>0</v>
      </c>
      <c r="J1215" s="4" t="str">
        <f>IF(C1215="","",Order!$L$16)</f>
        <v>BRONZE ANODIZED (FAYP03)</v>
      </c>
      <c r="K1215" s="36">
        <f>IF($C1215="","",_xlfn.XLOOKUP($C1215,Order!$C:$C,Order!$P:$P,"",0,1))</f>
        <v>0</v>
      </c>
      <c r="L1215" s="4">
        <f t="shared" si="18"/>
        <v>0</v>
      </c>
    </row>
    <row r="1216" spans="2:12" ht="23.25" hidden="1" customHeight="1" x14ac:dyDescent="0.25">
      <c r="B1216" s="4">
        <v>1211</v>
      </c>
      <c r="C1216" s="36" t="str">
        <f>IF(Order!$C$192="","",Order!$C$192)</f>
        <v>BX842</v>
      </c>
      <c r="D1216" s="36" t="str">
        <f>IF($C1216="","",_xlfn.XLOOKUP($C1216,Order!$C:$C,Order!$D:$D,"",0,1))</f>
        <v>BX842</v>
      </c>
      <c r="E1216" s="4" t="e" vm="377">
        <f>IF($C1216="","",_xlfn.XLOOKUP($C1216,Order!$C:$C,Order!$E:$E,"",0,1))</f>
        <v>#VALUE!</v>
      </c>
      <c r="F1216" s="4">
        <f>IF($C1216="","",_xlfn.XLOOKUP($C1216,Order!$C:$C,Order!$F:$F,"",0,1))</f>
        <v>6000</v>
      </c>
      <c r="G1216" s="4" t="str">
        <f>IF($C1216="","",_xlfn.XLOOKUP($C1216,Order!$C:$C,Order!$G:$G,"",0,1))</f>
        <v>6063T5</v>
      </c>
      <c r="H1216" s="4">
        <f>IF($C1216="","",_xlfn.XLOOKUP($C1216,Order!$C:$C,Order!$H:$H,"",0,1))</f>
        <v>0</v>
      </c>
      <c r="I1216" s="36">
        <f>IF($C1216="","",_xlfn.XLOOKUP($C1216,Order!$C:$C,Order!$L:$L,"",0,1))</f>
        <v>0</v>
      </c>
      <c r="J1216" s="4" t="str">
        <f>IF(C1216="","",Order!$L$16)</f>
        <v>BRONZE ANODIZED (FAYP03)</v>
      </c>
      <c r="K1216" s="36">
        <f>IF($C1216="","",_xlfn.XLOOKUP($C1216,Order!$C:$C,Order!$P:$P,"",0,1))</f>
        <v>0</v>
      </c>
      <c r="L1216" s="4">
        <f t="shared" si="18"/>
        <v>0</v>
      </c>
    </row>
    <row r="1217" spans="2:12" ht="23.25" hidden="1" customHeight="1" x14ac:dyDescent="0.25">
      <c r="B1217" s="4">
        <v>1212</v>
      </c>
      <c r="C1217" s="36" t="str">
        <f>IF(Order!$C$193="","",Order!$C$193)</f>
        <v>BX1041</v>
      </c>
      <c r="D1217" s="36" t="str">
        <f>IF($C1217="","",_xlfn.XLOOKUP($C1217,Order!$C:$C,Order!$D:$D,"",0,1))</f>
        <v>BX1041</v>
      </c>
      <c r="E1217" s="4" t="e" vm="378">
        <f>IF($C1217="","",_xlfn.XLOOKUP($C1217,Order!$C:$C,Order!$E:$E,"",0,1))</f>
        <v>#VALUE!</v>
      </c>
      <c r="F1217" s="4">
        <f>IF($C1217="","",_xlfn.XLOOKUP($C1217,Order!$C:$C,Order!$F:$F,"",0,1))</f>
        <v>6000</v>
      </c>
      <c r="G1217" s="4" t="str">
        <f>IF($C1217="","",_xlfn.XLOOKUP($C1217,Order!$C:$C,Order!$G:$G,"",0,1))</f>
        <v>6063T5</v>
      </c>
      <c r="H1217" s="4">
        <f>IF($C1217="","",_xlfn.XLOOKUP($C1217,Order!$C:$C,Order!$H:$H,"",0,1))</f>
        <v>0.72499999999999998</v>
      </c>
      <c r="I1217" s="36">
        <f>IF($C1217="","",_xlfn.XLOOKUP($C1217,Order!$C:$C,Order!$L:$L,"",0,1))</f>
        <v>0</v>
      </c>
      <c r="J1217" s="4" t="str">
        <f>IF(C1217="","",Order!$L$16)</f>
        <v>BRONZE ANODIZED (FAYP03)</v>
      </c>
      <c r="K1217" s="36">
        <f>IF($C1217="","",_xlfn.XLOOKUP($C1217,Order!$C:$C,Order!$P:$P,"",0,1))</f>
        <v>0</v>
      </c>
      <c r="L1217" s="4">
        <f t="shared" si="18"/>
        <v>0</v>
      </c>
    </row>
    <row r="1218" spans="2:12" ht="23.25" hidden="1" customHeight="1" x14ac:dyDescent="0.25">
      <c r="B1218" s="4">
        <v>1213</v>
      </c>
      <c r="C1218" s="36" t="str">
        <f>IF(Order!$C$194="","",Order!$C$194)</f>
        <v/>
      </c>
      <c r="D1218" s="36" t="str">
        <f>IF($C1218="","",_xlfn.XLOOKUP($C1218,Order!$C:$C,Order!$D:$D,"",0,1))</f>
        <v/>
      </c>
      <c r="E1218" s="4" t="str">
        <f>IF($C1218="","",_xlfn.XLOOKUP($C1218,Order!$C:$C,Order!$E:$E,"",0,1))</f>
        <v/>
      </c>
      <c r="F1218" s="4" t="str">
        <f>IF($C1218="","",_xlfn.XLOOKUP($C1218,Order!$C:$C,Order!$F:$F,"",0,1))</f>
        <v/>
      </c>
      <c r="G1218" s="4" t="str">
        <f>IF($C1218="","",_xlfn.XLOOKUP($C1218,Order!$C:$C,Order!$G:$G,"",0,1))</f>
        <v/>
      </c>
      <c r="H1218" s="4" t="str">
        <f>IF($C1218="","",_xlfn.XLOOKUP($C1218,Order!$C:$C,Order!$H:$H,"",0,1))</f>
        <v/>
      </c>
      <c r="I1218" s="36" t="str">
        <f>IF($C1218="","",_xlfn.XLOOKUP($C1218,Order!$C:$C,Order!$L:$L,"",0,1))</f>
        <v/>
      </c>
      <c r="J1218" s="4" t="str">
        <f>IF(C1218="","",Order!$L$16)</f>
        <v/>
      </c>
      <c r="K1218" s="36" t="str">
        <f>IF($C1218="","",_xlfn.XLOOKUP($C1218,Order!$C:$C,Order!$P:$P,"",0,1))</f>
        <v/>
      </c>
      <c r="L1218" s="4" t="str">
        <f t="shared" si="18"/>
        <v/>
      </c>
    </row>
    <row r="1219" spans="2:12" ht="23.25" hidden="1" customHeight="1" x14ac:dyDescent="0.25">
      <c r="B1219" s="4">
        <v>1214</v>
      </c>
      <c r="C1219" s="36" t="str">
        <f>IF(Order!$C$195="","",Order!$C$195)</f>
        <v>TGR2X1 (Rectangular tube 2"X1" with 0.90 mm thickness c/reforco)</v>
      </c>
      <c r="D1219" s="36" t="str">
        <f>IF($C1219="","",_xlfn.XLOOKUP($C1219,Order!$C:$C,Order!$D:$D,"",0,1))</f>
        <v>TGR2X1</v>
      </c>
      <c r="E1219" s="4" t="e" vm="379">
        <f>IF($C1219="","",_xlfn.XLOOKUP($C1219,Order!$C:$C,Order!$E:$E,"",0,1))</f>
        <v>#VALUE!</v>
      </c>
      <c r="F1219" s="4">
        <f>IF($C1219="","",_xlfn.XLOOKUP($C1219,Order!$C:$C,Order!$F:$F,"",0,1))</f>
        <v>6000</v>
      </c>
      <c r="G1219" s="4" t="str">
        <f>IF($C1219="","",_xlfn.XLOOKUP($C1219,Order!$C:$C,Order!$G:$G,"",0,1))</f>
        <v>6063T5</v>
      </c>
      <c r="H1219" s="4">
        <f>IF($C1219="","",_xlfn.XLOOKUP($C1219,Order!$C:$C,Order!$H:$H,"",0,1))</f>
        <v>0.39500000000000002</v>
      </c>
      <c r="I1219" s="36">
        <f>IF($C1219="","",_xlfn.XLOOKUP($C1219,Order!$C:$C,Order!$L:$L,"",0,1))</f>
        <v>0</v>
      </c>
      <c r="J1219" s="4" t="str">
        <f>IF(C1219="","",Order!$L$16)</f>
        <v>BRONZE ANODIZED (FAYP03)</v>
      </c>
      <c r="K1219" s="36">
        <f>IF($C1219="","",_xlfn.XLOOKUP($C1219,Order!$C:$C,Order!$P:$P,"",0,1))</f>
        <v>0</v>
      </c>
      <c r="L1219" s="4">
        <f t="shared" si="18"/>
        <v>0</v>
      </c>
    </row>
    <row r="1220" spans="2:12" ht="23.25" hidden="1" customHeight="1" x14ac:dyDescent="0.25">
      <c r="B1220" s="4">
        <v>1215</v>
      </c>
      <c r="C1220" s="36" t="str">
        <f>IF(Order!$C$196="","",Order!$C$196)</f>
        <v>TGR3X1.1/2L (Rectangular tube 3"x1.1 /2" with 1.00 mm tickness c/reforço)</v>
      </c>
      <c r="D1220" s="36" t="str">
        <f>IF($C1220="","",_xlfn.XLOOKUP($C1220,Order!$C:$C,Order!$D:$D,"",0,1))</f>
        <v>TGR3X1.1-2L</v>
      </c>
      <c r="E1220" s="4" t="e" vm="380">
        <f>IF($C1220="","",_xlfn.XLOOKUP($C1220,Order!$C:$C,Order!$E:$E,"",0,1))</f>
        <v>#VALUE!</v>
      </c>
      <c r="F1220" s="4">
        <f>IF($C1220="","",_xlfn.XLOOKUP($C1220,Order!$C:$C,Order!$F:$F,"",0,1))</f>
        <v>6000</v>
      </c>
      <c r="G1220" s="4" t="str">
        <f>IF($C1220="","",_xlfn.XLOOKUP($C1220,Order!$C:$C,Order!$G:$G,"",0,1))</f>
        <v>6063T5</v>
      </c>
      <c r="H1220" s="4">
        <f>IF($C1220="","",_xlfn.XLOOKUP($C1220,Order!$C:$C,Order!$H:$H,"",0,1))</f>
        <v>0.65200000000000002</v>
      </c>
      <c r="I1220" s="36">
        <f>IF($C1220="","",_xlfn.XLOOKUP($C1220,Order!$C:$C,Order!$L:$L,"",0,1))</f>
        <v>0</v>
      </c>
      <c r="J1220" s="4" t="str">
        <f>IF(C1220="","",Order!$L$16)</f>
        <v>BRONZE ANODIZED (FAYP03)</v>
      </c>
      <c r="K1220" s="36">
        <f>IF($C1220="","",_xlfn.XLOOKUP($C1220,Order!$C:$C,Order!$P:$P,"",0,1))</f>
        <v>0</v>
      </c>
      <c r="L1220" s="4">
        <f t="shared" si="18"/>
        <v>0</v>
      </c>
    </row>
    <row r="1221" spans="2:12" ht="23.25" hidden="1" customHeight="1" x14ac:dyDescent="0.25">
      <c r="B1221" s="4">
        <v>1216</v>
      </c>
      <c r="C1221" s="36" t="str">
        <f>IF(Order!$C$197="","",Order!$C$197)</f>
        <v>TGR3X1.1/2 (Rectangular tube 3"x1.1 /2" with 1.98 mm tickness c/reforço)</v>
      </c>
      <c r="D1221" s="36" t="str">
        <f>IF($C1221="","",_xlfn.XLOOKUP($C1221,Order!$C:$C,Order!$D:$D,"",0,1))</f>
        <v>TGR3X1.1-2</v>
      </c>
      <c r="E1221" s="4" t="e" vm="381">
        <f>IF($C1221="","",_xlfn.XLOOKUP($C1221,Order!$C:$C,Order!$E:$E,"",0,1))</f>
        <v>#VALUE!</v>
      </c>
      <c r="F1221" s="4">
        <f>IF($C1221="","",_xlfn.XLOOKUP($C1221,Order!$C:$C,Order!$F:$F,"",0,1))</f>
        <v>6000</v>
      </c>
      <c r="G1221" s="4" t="str">
        <f>IF($C1221="","",_xlfn.XLOOKUP($C1221,Order!$C:$C,Order!$G:$G,"",0,1))</f>
        <v>6063T5</v>
      </c>
      <c r="H1221" s="4">
        <f>IF($C1221="","",_xlfn.XLOOKUP($C1221,Order!$C:$C,Order!$H:$H,"",0,1))</f>
        <v>0.94799999999999995</v>
      </c>
      <c r="I1221" s="36">
        <f>IF($C1221="","",_xlfn.XLOOKUP($C1221,Order!$C:$C,Order!$L:$L,"",0,1))</f>
        <v>0</v>
      </c>
      <c r="J1221" s="4" t="str">
        <f>IF(C1221="","",Order!$L$16)</f>
        <v>BRONZE ANODIZED (FAYP03)</v>
      </c>
      <c r="K1221" s="36">
        <f>IF($C1221="","",_xlfn.XLOOKUP($C1221,Order!$C:$C,Order!$P:$P,"",0,1))</f>
        <v>0</v>
      </c>
      <c r="L1221" s="4">
        <f t="shared" si="18"/>
        <v>0</v>
      </c>
    </row>
    <row r="1222" spans="2:12" ht="23.25" hidden="1" customHeight="1" x14ac:dyDescent="0.25">
      <c r="B1222" s="4">
        <v>1217</v>
      </c>
      <c r="C1222" s="36" t="str">
        <f>IF(Order!$C$198="","",Order!$C$198)</f>
        <v>TGR4X2 (Rectangular Tube 4" X 2" with 1.50 mm tickness c/reforço)</v>
      </c>
      <c r="D1222" s="36" t="str">
        <f>IF($C1222="","",_xlfn.XLOOKUP($C1222,Order!$C:$C,Order!$D:$D,"",0,1))</f>
        <v>TGR4X2</v>
      </c>
      <c r="E1222" s="4" t="e" vm="382">
        <f>IF($C1222="","",_xlfn.XLOOKUP($C1222,Order!$C:$C,Order!$E:$E,"",0,1))</f>
        <v>#VALUE!</v>
      </c>
      <c r="F1222" s="4">
        <f>IF($C1222="","",_xlfn.XLOOKUP($C1222,Order!$C:$C,Order!$F:$F,"",0,1))</f>
        <v>6000</v>
      </c>
      <c r="G1222" s="4" t="str">
        <f>IF($C1222="","",_xlfn.XLOOKUP($C1222,Order!$C:$C,Order!$G:$G,"",0,1))</f>
        <v>6063T5</v>
      </c>
      <c r="H1222" s="4">
        <f>IF($C1222="","",_xlfn.XLOOKUP($C1222,Order!$C:$C,Order!$H:$H,"",0,1))</f>
        <v>1.268</v>
      </c>
      <c r="I1222" s="36">
        <f>IF($C1222="","",_xlfn.XLOOKUP($C1222,Order!$C:$C,Order!$L:$L,"",0,1))</f>
        <v>0</v>
      </c>
      <c r="J1222" s="4" t="str">
        <f>IF(C1222="","",Order!$L$16)</f>
        <v>BRONZE ANODIZED (FAYP03)</v>
      </c>
      <c r="K1222" s="36">
        <f>IF($C1222="","",_xlfn.XLOOKUP($C1222,Order!$C:$C,Order!$P:$P,"",0,1))</f>
        <v>0</v>
      </c>
      <c r="L1222" s="4">
        <f t="shared" si="18"/>
        <v>0</v>
      </c>
    </row>
    <row r="1223" spans="2:12" ht="23.25" hidden="1" customHeight="1" x14ac:dyDescent="0.25">
      <c r="B1223" s="4">
        <v>1218</v>
      </c>
      <c r="C1223" s="36" t="str">
        <f>IF(Order!$C$199="","",Order!$C$199)</f>
        <v>MT 0045 (Retangular Tube 3x1.1/2 com raia)</v>
      </c>
      <c r="D1223" s="36" t="str">
        <f>IF($C1223="","",_xlfn.XLOOKUP($C1223,Order!$C:$C,Order!$D:$D,"",0,1))</f>
        <v>MT0045</v>
      </c>
      <c r="E1223" s="4" t="e" vm="383">
        <f>IF($C1223="","",_xlfn.XLOOKUP($C1223,Order!$C:$C,Order!$E:$E,"",0,1))</f>
        <v>#VALUE!</v>
      </c>
      <c r="F1223" s="4">
        <f>IF($C1223="","",_xlfn.XLOOKUP($C1223,Order!$C:$C,Order!$F:$F,"",0,1))</f>
        <v>6000</v>
      </c>
      <c r="G1223" s="4" t="str">
        <f>IF($C1223="","",_xlfn.XLOOKUP($C1223,Order!$C:$C,Order!$G:$G,"",0,1))</f>
        <v>6063T5</v>
      </c>
      <c r="H1223" s="4">
        <f>IF($C1223="","",_xlfn.XLOOKUP($C1223,Order!$C:$C,Order!$H:$H,"",0,1))</f>
        <v>0.66400000000000003</v>
      </c>
      <c r="I1223" s="36">
        <f>IF($C1223="","",_xlfn.XLOOKUP($C1223,Order!$C:$C,Order!$L:$L,"",0,1))</f>
        <v>0</v>
      </c>
      <c r="J1223" s="4" t="str">
        <f>IF(C1223="","",Order!$L$16)</f>
        <v>BRONZE ANODIZED (FAYP03)</v>
      </c>
      <c r="K1223" s="36">
        <f>IF($C1223="","",_xlfn.XLOOKUP($C1223,Order!$C:$C,Order!$P:$P,"",0,1))</f>
        <v>0</v>
      </c>
      <c r="L1223" s="4">
        <f t="shared" ref="L1223:L1286" si="19">IF(C1223="","",F1223/1000*H1223*I1223)</f>
        <v>0</v>
      </c>
    </row>
    <row r="1224" spans="2:12" ht="23.25" hidden="1" customHeight="1" x14ac:dyDescent="0.25">
      <c r="B1224" s="4">
        <v>1219</v>
      </c>
      <c r="C1224" s="36" t="str">
        <f>IF(Order!$C$200="","",Order!$C$200)</f>
        <v>MT0008</v>
      </c>
      <c r="D1224" s="36" t="str">
        <f>IF($C1224="","",_xlfn.XLOOKUP($C1224,Order!$C:$C,Order!$D:$D,"",0,1))</f>
        <v>MT0008</v>
      </c>
      <c r="E1224" s="4" t="e" vm="384">
        <f>IF($C1224="","",_xlfn.XLOOKUP($C1224,Order!$C:$C,Order!$E:$E,"",0,1))</f>
        <v>#VALUE!</v>
      </c>
      <c r="F1224" s="4">
        <f>IF($C1224="","",_xlfn.XLOOKUP($C1224,Order!$C:$C,Order!$F:$F,"",0,1))</f>
        <v>6000</v>
      </c>
      <c r="G1224" s="4" t="str">
        <f>IF($C1224="","",_xlfn.XLOOKUP($C1224,Order!$C:$C,Order!$G:$G,"",0,1))</f>
        <v>6063T5</v>
      </c>
      <c r="H1224" s="4">
        <f>IF($C1224="","",_xlfn.XLOOKUP($C1224,Order!$C:$C,Order!$H:$H,"",0,1))</f>
        <v>0.44400000000000001</v>
      </c>
      <c r="I1224" s="36">
        <f>IF($C1224="","",_xlfn.XLOOKUP($C1224,Order!$C:$C,Order!$L:$L,"",0,1))</f>
        <v>0</v>
      </c>
      <c r="J1224" s="4" t="str">
        <f>IF(C1224="","",Order!$L$16)</f>
        <v>BRONZE ANODIZED (FAYP03)</v>
      </c>
      <c r="K1224" s="36">
        <f>IF($C1224="","",_xlfn.XLOOKUP($C1224,Order!$C:$C,Order!$P:$P,"",0,1))</f>
        <v>0</v>
      </c>
      <c r="L1224" s="4">
        <f t="shared" si="19"/>
        <v>0</v>
      </c>
    </row>
    <row r="1225" spans="2:12" ht="23.25" hidden="1" customHeight="1" x14ac:dyDescent="0.25">
      <c r="B1225" s="4">
        <v>1220</v>
      </c>
      <c r="C1225" s="36" t="str">
        <f>IF(Order!$C$201="","",Order!$C$201)</f>
        <v>MT0010</v>
      </c>
      <c r="D1225" s="36" t="str">
        <f>IF($C1225="","",_xlfn.XLOOKUP($C1225,Order!$C:$C,Order!$D:$D,"",0,1))</f>
        <v>MT0010</v>
      </c>
      <c r="E1225" s="4" t="e" vm="385">
        <f>IF($C1225="","",_xlfn.XLOOKUP($C1225,Order!$C:$C,Order!$E:$E,"",0,1))</f>
        <v>#VALUE!</v>
      </c>
      <c r="F1225" s="4">
        <f>IF($C1225="","",_xlfn.XLOOKUP($C1225,Order!$C:$C,Order!$F:$F,"",0,1))</f>
        <v>6000</v>
      </c>
      <c r="G1225" s="4" t="str">
        <f>IF($C1225="","",_xlfn.XLOOKUP($C1225,Order!$C:$C,Order!$G:$G,"",0,1))</f>
        <v>6063T5</v>
      </c>
      <c r="H1225" s="4">
        <f>IF($C1225="","",_xlfn.XLOOKUP($C1225,Order!$C:$C,Order!$H:$H,"",0,1))</f>
        <v>0.49299999999999999</v>
      </c>
      <c r="I1225" s="36">
        <f>IF($C1225="","",_xlfn.XLOOKUP($C1225,Order!$C:$C,Order!$L:$L,"",0,1))</f>
        <v>0</v>
      </c>
      <c r="J1225" s="4" t="str">
        <f>IF(C1225="","",Order!$L$16)</f>
        <v>BRONZE ANODIZED (FAYP03)</v>
      </c>
      <c r="K1225" s="36">
        <f>IF($C1225="","",_xlfn.XLOOKUP($C1225,Order!$C:$C,Order!$P:$P,"",0,1))</f>
        <v>0</v>
      </c>
      <c r="L1225" s="4">
        <f t="shared" si="19"/>
        <v>0</v>
      </c>
    </row>
    <row r="1226" spans="2:12" ht="23.25" hidden="1" customHeight="1" x14ac:dyDescent="0.25">
      <c r="B1226" s="4">
        <v>1221</v>
      </c>
      <c r="C1226" s="36" t="str">
        <f>IF(Order!$C$202="","",Order!$C$202)</f>
        <v>CG072</v>
      </c>
      <c r="D1226" s="36" t="str">
        <f>IF($C1226="","",_xlfn.XLOOKUP($C1226,Order!$C:$C,Order!$D:$D,"",0,1))</f>
        <v>CG072</v>
      </c>
      <c r="E1226" s="4" t="e" vm="386">
        <f>IF($C1226="","",_xlfn.XLOOKUP($C1226,Order!$C:$C,Order!$E:$E,"",0,1))</f>
        <v>#VALUE!</v>
      </c>
      <c r="F1226" s="4">
        <f>IF($C1226="","",_xlfn.XLOOKUP($C1226,Order!$C:$C,Order!$F:$F,"",0,1))</f>
        <v>6000</v>
      </c>
      <c r="G1226" s="4" t="str">
        <f>IF($C1226="","",_xlfn.XLOOKUP($C1226,Order!$C:$C,Order!$G:$G,"",0,1))</f>
        <v>6063T5</v>
      </c>
      <c r="H1226" s="4">
        <f>IF($C1226="","",_xlfn.XLOOKUP($C1226,Order!$C:$C,Order!$H:$H,"",0,1))</f>
        <v>0.96299999999999997</v>
      </c>
      <c r="I1226" s="36">
        <f>IF($C1226="","",_xlfn.XLOOKUP($C1226,Order!$C:$C,Order!$L:$L,"",0,1))</f>
        <v>0</v>
      </c>
      <c r="J1226" s="4" t="str">
        <f>IF(C1226="","",Order!$L$16)</f>
        <v>BRONZE ANODIZED (FAYP03)</v>
      </c>
      <c r="K1226" s="36">
        <f>IF($C1226="","",_xlfn.XLOOKUP($C1226,Order!$C:$C,Order!$P:$P,"",0,1))</f>
        <v>0</v>
      </c>
      <c r="L1226" s="4">
        <f t="shared" si="19"/>
        <v>0</v>
      </c>
    </row>
    <row r="1227" spans="2:12" ht="23.25" hidden="1" customHeight="1" x14ac:dyDescent="0.25">
      <c r="B1227" s="4">
        <v>1222</v>
      </c>
      <c r="C1227" s="36" t="str">
        <f>IF(Order!$C$203="","",Order!$C$203)</f>
        <v>MT0046</v>
      </c>
      <c r="D1227" s="36" t="str">
        <f>IF($C1227="","",_xlfn.XLOOKUP($C1227,Order!$C:$C,Order!$D:$D,"",0,1))</f>
        <v>MT0046</v>
      </c>
      <c r="E1227" s="4" t="e" vm="387">
        <f>IF($C1227="","",_xlfn.XLOOKUP($C1227,Order!$C:$C,Order!$E:$E,"",0,1))</f>
        <v>#VALUE!</v>
      </c>
      <c r="F1227" s="4">
        <f>IF($C1227="","",_xlfn.XLOOKUP($C1227,Order!$C:$C,Order!$F:$F,"",0,1))</f>
        <v>6000</v>
      </c>
      <c r="G1227" s="4" t="str">
        <f>IF($C1227="","",_xlfn.XLOOKUP($C1227,Order!$C:$C,Order!$G:$G,"",0,1))</f>
        <v>6063T5</v>
      </c>
      <c r="H1227" s="4">
        <f>IF($C1227="","",_xlfn.XLOOKUP($C1227,Order!$C:$C,Order!$H:$H,"",0,1))</f>
        <v>1.2410000000000001</v>
      </c>
      <c r="I1227" s="36">
        <f>IF($C1227="","",_xlfn.XLOOKUP($C1227,Order!$C:$C,Order!$L:$L,"",0,1))</f>
        <v>0</v>
      </c>
      <c r="J1227" s="4" t="str">
        <f>IF(C1227="","",Order!$L$16)</f>
        <v>BRONZE ANODIZED (FAYP03)</v>
      </c>
      <c r="K1227" s="36">
        <f>IF($C1227="","",_xlfn.XLOOKUP($C1227,Order!$C:$C,Order!$P:$P,"",0,1))</f>
        <v>0</v>
      </c>
      <c r="L1227" s="4">
        <f t="shared" si="19"/>
        <v>0</v>
      </c>
    </row>
    <row r="1228" spans="2:12" ht="23.25" hidden="1" customHeight="1" x14ac:dyDescent="0.25">
      <c r="B1228" s="4">
        <v>1223</v>
      </c>
      <c r="C1228" s="36" t="str">
        <f>IF(Order!$C$204="","",Order!$C$204)</f>
        <v>MT0047</v>
      </c>
      <c r="D1228" s="36" t="str">
        <f>IF($C1228="","",_xlfn.XLOOKUP($C1228,Order!$C:$C,Order!$D:$D,"",0,1))</f>
        <v>MT0047</v>
      </c>
      <c r="E1228" s="4" t="e" vm="388">
        <f>IF($C1228="","",_xlfn.XLOOKUP($C1228,Order!$C:$C,Order!$E:$E,"",0,1))</f>
        <v>#VALUE!</v>
      </c>
      <c r="F1228" s="4">
        <f>IF($C1228="","",_xlfn.XLOOKUP($C1228,Order!$C:$C,Order!$F:$F,"",0,1))</f>
        <v>6000</v>
      </c>
      <c r="G1228" s="4" t="str">
        <f>IF($C1228="","",_xlfn.XLOOKUP($C1228,Order!$C:$C,Order!$G:$G,"",0,1))</f>
        <v>6063T5</v>
      </c>
      <c r="H1228" s="4">
        <f>IF($C1228="","",_xlfn.XLOOKUP($C1228,Order!$C:$C,Order!$H:$H,"",0,1))</f>
        <v>0.23599999999999999</v>
      </c>
      <c r="I1228" s="36">
        <f>IF($C1228="","",_xlfn.XLOOKUP($C1228,Order!$C:$C,Order!$L:$L,"",0,1))</f>
        <v>0</v>
      </c>
      <c r="J1228" s="4" t="str">
        <f>IF(C1228="","",Order!$L$16)</f>
        <v>BRONZE ANODIZED (FAYP03)</v>
      </c>
      <c r="K1228" s="36">
        <f>IF($C1228="","",_xlfn.XLOOKUP($C1228,Order!$C:$C,Order!$P:$P,"",0,1))</f>
        <v>0</v>
      </c>
      <c r="L1228" s="4">
        <f t="shared" si="19"/>
        <v>0</v>
      </c>
    </row>
    <row r="1229" spans="2:12" ht="23.25" hidden="1" customHeight="1" x14ac:dyDescent="0.25">
      <c r="B1229" s="4">
        <v>1224</v>
      </c>
      <c r="C1229" s="36" t="str">
        <f>IF(Order!$C$205="","",Order!$C$205)</f>
        <v>MT0048</v>
      </c>
      <c r="D1229" s="36" t="str">
        <f>IF($C1229="","",_xlfn.XLOOKUP($C1229,Order!$C:$C,Order!$D:$D,"",0,1))</f>
        <v>MT0048</v>
      </c>
      <c r="E1229" s="4" t="e" vm="389">
        <f>IF($C1229="","",_xlfn.XLOOKUP($C1229,Order!$C:$C,Order!$E:$E,"",0,1))</f>
        <v>#VALUE!</v>
      </c>
      <c r="F1229" s="4">
        <f>IF($C1229="","",_xlfn.XLOOKUP($C1229,Order!$C:$C,Order!$F:$F,"",0,1))</f>
        <v>6000</v>
      </c>
      <c r="G1229" s="4" t="str">
        <f>IF($C1229="","",_xlfn.XLOOKUP($C1229,Order!$C:$C,Order!$G:$G,"",0,1))</f>
        <v>6063T5</v>
      </c>
      <c r="H1229" s="4">
        <f>IF($C1229="","",_xlfn.XLOOKUP($C1229,Order!$C:$C,Order!$H:$H,"",0,1))</f>
        <v>0.79300000000000004</v>
      </c>
      <c r="I1229" s="36">
        <f>IF($C1229="","",_xlfn.XLOOKUP($C1229,Order!$C:$C,Order!$L:$L,"",0,1))</f>
        <v>0</v>
      </c>
      <c r="J1229" s="4" t="str">
        <f>IF(C1229="","",Order!$L$16)</f>
        <v>BRONZE ANODIZED (FAYP03)</v>
      </c>
      <c r="K1229" s="36">
        <f>IF($C1229="","",_xlfn.XLOOKUP($C1229,Order!$C:$C,Order!$P:$P,"",0,1))</f>
        <v>0</v>
      </c>
      <c r="L1229" s="4">
        <f t="shared" si="19"/>
        <v>0</v>
      </c>
    </row>
    <row r="1230" spans="2:12" ht="23.25" hidden="1" customHeight="1" x14ac:dyDescent="0.25">
      <c r="B1230" s="4">
        <v>1225</v>
      </c>
      <c r="C1230" s="36" t="str">
        <f>IF(Order!$C$206="","",Order!$C$206)</f>
        <v>CG075 (MT0049)</v>
      </c>
      <c r="D1230" s="36" t="str">
        <f>IF($C1230="","",_xlfn.XLOOKUP($C1230,Order!$C:$C,Order!$D:$D,"",0,1))</f>
        <v>MT0049</v>
      </c>
      <c r="E1230" s="4" t="e" vm="390">
        <f>IF($C1230="","",_xlfn.XLOOKUP($C1230,Order!$C:$C,Order!$E:$E,"",0,1))</f>
        <v>#VALUE!</v>
      </c>
      <c r="F1230" s="4">
        <f>IF($C1230="","",_xlfn.XLOOKUP($C1230,Order!$C:$C,Order!$F:$F,"",0,1))</f>
        <v>6000</v>
      </c>
      <c r="G1230" s="4" t="str">
        <f>IF($C1230="","",_xlfn.XLOOKUP($C1230,Order!$C:$C,Order!$G:$G,"",0,1))</f>
        <v>6063T5</v>
      </c>
      <c r="H1230" s="4">
        <f>IF($C1230="","",_xlfn.XLOOKUP($C1230,Order!$C:$C,Order!$H:$H,"",0,1))</f>
        <v>0.46300000000000002</v>
      </c>
      <c r="I1230" s="36">
        <f>IF($C1230="","",_xlfn.XLOOKUP($C1230,Order!$C:$C,Order!$L:$L,"",0,1))</f>
        <v>0</v>
      </c>
      <c r="J1230" s="4" t="str">
        <f>IF(C1230="","",Order!$L$16)</f>
        <v>BRONZE ANODIZED (FAYP03)</v>
      </c>
      <c r="K1230" s="36">
        <f>IF($C1230="","",_xlfn.XLOOKUP($C1230,Order!$C:$C,Order!$P:$P,"",0,1))</f>
        <v>0</v>
      </c>
      <c r="L1230" s="4">
        <f t="shared" si="19"/>
        <v>0</v>
      </c>
    </row>
    <row r="1231" spans="2:12" ht="23.25" hidden="1" customHeight="1" x14ac:dyDescent="0.25">
      <c r="B1231" s="4">
        <v>1226</v>
      </c>
      <c r="C1231" s="36" t="str">
        <f>IF(Order!$C$207="","",Order!$C$207)</f>
        <v>CG2535</v>
      </c>
      <c r="D1231" s="36" t="str">
        <f>IF($C1231="","",_xlfn.XLOOKUP($C1231,Order!$C:$C,Order!$D:$D,"",0,1))</f>
        <v>CG2535</v>
      </c>
      <c r="E1231" s="4" t="e" vm="391">
        <f>IF($C1231="","",_xlfn.XLOOKUP($C1231,Order!$C:$C,Order!$E:$E,"",0,1))</f>
        <v>#VALUE!</v>
      </c>
      <c r="F1231" s="4">
        <f>IF($C1231="","",_xlfn.XLOOKUP($C1231,Order!$C:$C,Order!$F:$F,"",0,1))</f>
        <v>6000</v>
      </c>
      <c r="G1231" s="4" t="str">
        <f>IF($C1231="","",_xlfn.XLOOKUP($C1231,Order!$C:$C,Order!$G:$G,"",0,1))</f>
        <v>6063T5</v>
      </c>
      <c r="H1231" s="4">
        <f>IF($C1231="","",_xlfn.XLOOKUP($C1231,Order!$C:$C,Order!$H:$H,"",0,1))</f>
        <v>0.39400000000000002</v>
      </c>
      <c r="I1231" s="36">
        <f>IF($C1231="","",_xlfn.XLOOKUP($C1231,Order!$C:$C,Order!$L:$L,"",0,1))</f>
        <v>0</v>
      </c>
      <c r="J1231" s="4" t="str">
        <f>IF(C1231="","",Order!$L$16)</f>
        <v>BRONZE ANODIZED (FAYP03)</v>
      </c>
      <c r="K1231" s="36">
        <f>IF($C1231="","",_xlfn.XLOOKUP($C1231,Order!$C:$C,Order!$P:$P,"",0,1))</f>
        <v>0</v>
      </c>
      <c r="L1231" s="4">
        <f t="shared" si="19"/>
        <v>0</v>
      </c>
    </row>
    <row r="1232" spans="2:12" ht="23.25" hidden="1" customHeight="1" x14ac:dyDescent="0.25">
      <c r="B1232" s="4">
        <v>1227</v>
      </c>
      <c r="C1232" s="36" t="str">
        <f>IF(Order!$C$208="","",Order!$C$208)</f>
        <v>BX706</v>
      </c>
      <c r="D1232" s="36" t="str">
        <f>IF($C1232="","",_xlfn.XLOOKUP($C1232,Order!$C:$C,Order!$D:$D,"",0,1))</f>
        <v>BX706</v>
      </c>
      <c r="E1232" s="4" t="e" vm="392">
        <f>IF($C1232="","",_xlfn.XLOOKUP($C1232,Order!$C:$C,Order!$E:$E,"",0,1))</f>
        <v>#VALUE!</v>
      </c>
      <c r="F1232" s="4">
        <f>IF($C1232="","",_xlfn.XLOOKUP($C1232,Order!$C:$C,Order!$F:$F,"",0,1))</f>
        <v>6000</v>
      </c>
      <c r="G1232" s="4" t="str">
        <f>IF($C1232="","",_xlfn.XLOOKUP($C1232,Order!$C:$C,Order!$G:$G,"",0,1))</f>
        <v>6063T5</v>
      </c>
      <c r="H1232" s="4">
        <f>IF($C1232="","",_xlfn.XLOOKUP($C1232,Order!$C:$C,Order!$H:$H,"",0,1))</f>
        <v>0.84799999999999998</v>
      </c>
      <c r="I1232" s="36">
        <f>IF($C1232="","",_xlfn.XLOOKUP($C1232,Order!$C:$C,Order!$L:$L,"",0,1))</f>
        <v>0</v>
      </c>
      <c r="J1232" s="4" t="str">
        <f>IF(C1232="","",Order!$L$16)</f>
        <v>BRONZE ANODIZED (FAYP03)</v>
      </c>
      <c r="K1232" s="36">
        <f>IF($C1232="","",_xlfn.XLOOKUP($C1232,Order!$C:$C,Order!$P:$P,"",0,1))</f>
        <v>0</v>
      </c>
      <c r="L1232" s="4">
        <f t="shared" si="19"/>
        <v>0</v>
      </c>
    </row>
    <row r="1233" spans="2:12" ht="23.25" hidden="1" customHeight="1" x14ac:dyDescent="0.25">
      <c r="B1233" s="4">
        <v>1228</v>
      </c>
      <c r="C1233" s="36" t="str">
        <f>IF(Order!$C$209="","",Order!$C$209)</f>
        <v>GR001</v>
      </c>
      <c r="D1233" s="36" t="str">
        <f>IF($C1233="","",_xlfn.XLOOKUP($C1233,Order!$C:$C,Order!$D:$D,"",0,1))</f>
        <v>GR001</v>
      </c>
      <c r="E1233" s="4" t="e" vm="393">
        <f>IF($C1233="","",_xlfn.XLOOKUP($C1233,Order!$C:$C,Order!$E:$E,"",0,1))</f>
        <v>#VALUE!</v>
      </c>
      <c r="F1233" s="4">
        <f>IF($C1233="","",_xlfn.XLOOKUP($C1233,Order!$C:$C,Order!$F:$F,"",0,1))</f>
        <v>6000</v>
      </c>
      <c r="G1233" s="4" t="str">
        <f>IF($C1233="","",_xlfn.XLOOKUP($C1233,Order!$C:$C,Order!$G:$G,"",0,1))</f>
        <v>6063T5</v>
      </c>
      <c r="H1233" s="4">
        <f>IF($C1233="","",_xlfn.XLOOKUP($C1233,Order!$C:$C,Order!$H:$H,"",0,1))</f>
        <v>1.0089999999999999</v>
      </c>
      <c r="I1233" s="36">
        <f>IF($C1233="","",_xlfn.XLOOKUP($C1233,Order!$C:$C,Order!$L:$L,"",0,1))</f>
        <v>0</v>
      </c>
      <c r="J1233" s="4" t="str">
        <f>IF(C1233="","",Order!$L$16)</f>
        <v>BRONZE ANODIZED (FAYP03)</v>
      </c>
      <c r="K1233" s="36">
        <f>IF($C1233="","",_xlfn.XLOOKUP($C1233,Order!$C:$C,Order!$P:$P,"",0,1))</f>
        <v>0</v>
      </c>
      <c r="L1233" s="4">
        <f t="shared" si="19"/>
        <v>0</v>
      </c>
    </row>
    <row r="1234" spans="2:12" ht="23.25" hidden="1" customHeight="1" x14ac:dyDescent="0.25">
      <c r="B1234" s="4">
        <v>1229</v>
      </c>
      <c r="C1234" s="36" t="str">
        <f>IF(Order!$C$210="","",Order!$C$210)</f>
        <v>GR002</v>
      </c>
      <c r="D1234" s="36" t="str">
        <f>IF($C1234="","",_xlfn.XLOOKUP($C1234,Order!$C:$C,Order!$D:$D,"",0,1))</f>
        <v>GR002</v>
      </c>
      <c r="E1234" s="4" t="e" vm="394">
        <f>IF($C1234="","",_xlfn.XLOOKUP($C1234,Order!$C:$C,Order!$E:$E,"",0,1))</f>
        <v>#VALUE!</v>
      </c>
      <c r="F1234" s="4">
        <f>IF($C1234="","",_xlfn.XLOOKUP($C1234,Order!$C:$C,Order!$F:$F,"",0,1))</f>
        <v>6000</v>
      </c>
      <c r="G1234" s="4" t="str">
        <f>IF($C1234="","",_xlfn.XLOOKUP($C1234,Order!$C:$C,Order!$G:$G,"",0,1))</f>
        <v>6063T5</v>
      </c>
      <c r="H1234" s="4">
        <f>IF($C1234="","",_xlfn.XLOOKUP($C1234,Order!$C:$C,Order!$H:$H,"",0,1))</f>
        <v>0.95599999999999996</v>
      </c>
      <c r="I1234" s="36">
        <f>IF($C1234="","",_xlfn.XLOOKUP($C1234,Order!$C:$C,Order!$L:$L,"",0,1))</f>
        <v>0</v>
      </c>
      <c r="J1234" s="4" t="str">
        <f>IF(C1234="","",Order!$L$16)</f>
        <v>BRONZE ANODIZED (FAYP03)</v>
      </c>
      <c r="K1234" s="36">
        <f>IF($C1234="","",_xlfn.XLOOKUP($C1234,Order!$C:$C,Order!$P:$P,"",0,1))</f>
        <v>0</v>
      </c>
      <c r="L1234" s="4">
        <f t="shared" si="19"/>
        <v>0</v>
      </c>
    </row>
    <row r="1235" spans="2:12" ht="23.25" hidden="1" customHeight="1" x14ac:dyDescent="0.25">
      <c r="B1235" s="4">
        <v>1230</v>
      </c>
      <c r="C1235" s="36" t="str">
        <f>IF(Order!$C$211="","",Order!$C$211)</f>
        <v>BX062</v>
      </c>
      <c r="D1235" s="36" t="str">
        <f>IF($C1235="","",_xlfn.XLOOKUP($C1235,Order!$C:$C,Order!$D:$D,"",0,1))</f>
        <v>BX062</v>
      </c>
      <c r="E1235" s="4" t="e" vm="395">
        <f>IF($C1235="","",_xlfn.XLOOKUP($C1235,Order!$C:$C,Order!$E:$E,"",0,1))</f>
        <v>#VALUE!</v>
      </c>
      <c r="F1235" s="4">
        <f>IF($C1235="","",_xlfn.XLOOKUP($C1235,Order!$C:$C,Order!$F:$F,"",0,1))</f>
        <v>6000</v>
      </c>
      <c r="G1235" s="4" t="str">
        <f>IF($C1235="","",_xlfn.XLOOKUP($C1235,Order!$C:$C,Order!$G:$G,"",0,1))</f>
        <v>6063T5</v>
      </c>
      <c r="H1235" s="4">
        <f>IF($C1235="","",_xlfn.XLOOKUP($C1235,Order!$C:$C,Order!$H:$H,"",0,1))</f>
        <v>0.23599999999999999</v>
      </c>
      <c r="I1235" s="36">
        <f>IF($C1235="","",_xlfn.XLOOKUP($C1235,Order!$C:$C,Order!$L:$L,"",0,1))</f>
        <v>0</v>
      </c>
      <c r="J1235" s="4" t="str">
        <f>IF(C1235="","",Order!$L$16)</f>
        <v>BRONZE ANODIZED (FAYP03)</v>
      </c>
      <c r="K1235" s="36">
        <f>IF($C1235="","",_xlfn.XLOOKUP($C1235,Order!$C:$C,Order!$P:$P,"",0,1))</f>
        <v>0</v>
      </c>
      <c r="L1235" s="4">
        <f t="shared" si="19"/>
        <v>0</v>
      </c>
    </row>
    <row r="1236" spans="2:12" ht="23.25" hidden="1" customHeight="1" x14ac:dyDescent="0.25">
      <c r="B1236" s="4">
        <v>1231</v>
      </c>
      <c r="C1236" s="36" t="str">
        <f>IF(Order!$C$212="","",Order!$C$212)</f>
        <v>BX101</v>
      </c>
      <c r="D1236" s="36" t="str">
        <f>IF($C1236="","",_xlfn.XLOOKUP($C1236,Order!$C:$C,Order!$D:$D,"",0,1))</f>
        <v>BX101</v>
      </c>
      <c r="E1236" s="4" t="e" vm="396">
        <f>IF($C1236="","",_xlfn.XLOOKUP($C1236,Order!$C:$C,Order!$E:$E,"",0,1))</f>
        <v>#VALUE!</v>
      </c>
      <c r="F1236" s="4">
        <f>IF($C1236="","",_xlfn.XLOOKUP($C1236,Order!$C:$C,Order!$F:$F,"",0,1))</f>
        <v>6000</v>
      </c>
      <c r="G1236" s="4" t="str">
        <f>IF($C1236="","",_xlfn.XLOOKUP($C1236,Order!$C:$C,Order!$G:$G,"",0,1))</f>
        <v>6063T5</v>
      </c>
      <c r="H1236" s="4">
        <f>IF($C1236="","",_xlfn.XLOOKUP($C1236,Order!$C:$C,Order!$H:$H,"",0,1))</f>
        <v>0.42599999999999999</v>
      </c>
      <c r="I1236" s="36">
        <f>IF($C1236="","",_xlfn.XLOOKUP($C1236,Order!$C:$C,Order!$L:$L,"",0,1))</f>
        <v>0</v>
      </c>
      <c r="J1236" s="4" t="str">
        <f>IF(C1236="","",Order!$L$16)</f>
        <v>BRONZE ANODIZED (FAYP03)</v>
      </c>
      <c r="K1236" s="36">
        <f>IF($C1236="","",_xlfn.XLOOKUP($C1236,Order!$C:$C,Order!$P:$P,"",0,1))</f>
        <v>0</v>
      </c>
      <c r="L1236" s="4">
        <f t="shared" si="19"/>
        <v>0</v>
      </c>
    </row>
    <row r="1237" spans="2:12" ht="23.25" hidden="1" customHeight="1" x14ac:dyDescent="0.25">
      <c r="B1237" s="4">
        <v>1232</v>
      </c>
      <c r="C1237" s="36" t="str">
        <f>IF(Order!$C$213="","",Order!$C$213)</f>
        <v>BX060</v>
      </c>
      <c r="D1237" s="36" t="str">
        <f>IF($C1237="","",_xlfn.XLOOKUP($C1237,Order!$C:$C,Order!$D:$D,"",0,1))</f>
        <v>BX060</v>
      </c>
      <c r="E1237" s="4" t="e" vm="397">
        <f>IF($C1237="","",_xlfn.XLOOKUP($C1237,Order!$C:$C,Order!$E:$E,"",0,1))</f>
        <v>#VALUE!</v>
      </c>
      <c r="F1237" s="4">
        <f>IF($C1237="","",_xlfn.XLOOKUP($C1237,Order!$C:$C,Order!$F:$F,"",0,1))</f>
        <v>6000</v>
      </c>
      <c r="G1237" s="4" t="str">
        <f>IF($C1237="","",_xlfn.XLOOKUP($C1237,Order!$C:$C,Order!$G:$G,"",0,1))</f>
        <v>6063T5</v>
      </c>
      <c r="H1237" s="4">
        <f>IF($C1237="","",_xlfn.XLOOKUP($C1237,Order!$C:$C,Order!$H:$H,"",0,1))</f>
        <v>0.17499999999999999</v>
      </c>
      <c r="I1237" s="36">
        <f>IF($C1237="","",_xlfn.XLOOKUP($C1237,Order!$C:$C,Order!$L:$L,"",0,1))</f>
        <v>0</v>
      </c>
      <c r="J1237" s="4" t="str">
        <f>IF(C1237="","",Order!$L$16)</f>
        <v>BRONZE ANODIZED (FAYP03)</v>
      </c>
      <c r="K1237" s="36">
        <f>IF($C1237="","",_xlfn.XLOOKUP($C1237,Order!$C:$C,Order!$P:$P,"",0,1))</f>
        <v>0</v>
      </c>
      <c r="L1237" s="4">
        <f t="shared" si="19"/>
        <v>0</v>
      </c>
    </row>
    <row r="1238" spans="2:12" ht="23.25" hidden="1" customHeight="1" x14ac:dyDescent="0.25">
      <c r="B1238" s="4">
        <v>1233</v>
      </c>
      <c r="C1238" s="36" t="str">
        <f>IF(Order!$C$214="","",Order!$C$214)</f>
        <v>BX061</v>
      </c>
      <c r="D1238" s="36" t="str">
        <f>IF($C1238="","",_xlfn.XLOOKUP($C1238,Order!$C:$C,Order!$D:$D,"",0,1))</f>
        <v>BX061</v>
      </c>
      <c r="E1238" s="4" t="e" vm="398">
        <f>IF($C1238="","",_xlfn.XLOOKUP($C1238,Order!$C:$C,Order!$E:$E,"",0,1))</f>
        <v>#VALUE!</v>
      </c>
      <c r="F1238" s="4">
        <f>IF($C1238="","",_xlfn.XLOOKUP($C1238,Order!$C:$C,Order!$F:$F,"",0,1))</f>
        <v>6000</v>
      </c>
      <c r="G1238" s="4" t="str">
        <f>IF($C1238="","",_xlfn.XLOOKUP($C1238,Order!$C:$C,Order!$G:$G,"",0,1))</f>
        <v>6063T5</v>
      </c>
      <c r="H1238" s="4">
        <f>IF($C1238="","",_xlfn.XLOOKUP($C1238,Order!$C:$C,Order!$H:$H,"",0,1))</f>
        <v>0.161</v>
      </c>
      <c r="I1238" s="36">
        <f>IF($C1238="","",_xlfn.XLOOKUP($C1238,Order!$C:$C,Order!$L:$L,"",0,1))</f>
        <v>0</v>
      </c>
      <c r="J1238" s="4" t="str">
        <f>IF(C1238="","",Order!$L$16)</f>
        <v>BRONZE ANODIZED (FAYP03)</v>
      </c>
      <c r="K1238" s="36">
        <f>IF($C1238="","",_xlfn.XLOOKUP($C1238,Order!$C:$C,Order!$P:$P,"",0,1))</f>
        <v>0</v>
      </c>
      <c r="L1238" s="4">
        <f t="shared" si="19"/>
        <v>0</v>
      </c>
    </row>
    <row r="1239" spans="2:12" ht="23.25" hidden="1" customHeight="1" x14ac:dyDescent="0.25">
      <c r="B1239" s="4">
        <v>1234</v>
      </c>
      <c r="C1239" s="36" t="str">
        <f>IF(Order!$C$215="","",Order!$C$215)</f>
        <v>BX063</v>
      </c>
      <c r="D1239" s="36" t="str">
        <f>IF($C1239="","",_xlfn.XLOOKUP($C1239,Order!$C:$C,Order!$D:$D,"",0,1))</f>
        <v>BX063</v>
      </c>
      <c r="E1239" s="4" t="e" vm="399">
        <f>IF($C1239="","",_xlfn.XLOOKUP($C1239,Order!$C:$C,Order!$E:$E,"",0,1))</f>
        <v>#VALUE!</v>
      </c>
      <c r="F1239" s="4">
        <f>IF($C1239="","",_xlfn.XLOOKUP($C1239,Order!$C:$C,Order!$F:$F,"",0,1))</f>
        <v>6000</v>
      </c>
      <c r="G1239" s="4" t="str">
        <f>IF($C1239="","",_xlfn.XLOOKUP($C1239,Order!$C:$C,Order!$G:$G,"",0,1))</f>
        <v>6063T5</v>
      </c>
      <c r="H1239" s="4">
        <f>IF($C1239="","",_xlfn.XLOOKUP($C1239,Order!$C:$C,Order!$H:$H,"",0,1))</f>
        <v>0.20699999999999999</v>
      </c>
      <c r="I1239" s="36">
        <f>IF($C1239="","",_xlfn.XLOOKUP($C1239,Order!$C:$C,Order!$L:$L,"",0,1))</f>
        <v>0</v>
      </c>
      <c r="J1239" s="4" t="str">
        <f>IF(C1239="","",Order!$L$16)</f>
        <v>BRONZE ANODIZED (FAYP03)</v>
      </c>
      <c r="K1239" s="36">
        <f>IF($C1239="","",_xlfn.XLOOKUP($C1239,Order!$C:$C,Order!$P:$P,"",0,1))</f>
        <v>0</v>
      </c>
      <c r="L1239" s="4">
        <f t="shared" si="19"/>
        <v>0</v>
      </c>
    </row>
    <row r="1240" spans="2:12" ht="23.25" hidden="1" customHeight="1" x14ac:dyDescent="0.25">
      <c r="B1240" s="4">
        <v>1235</v>
      </c>
      <c r="C1240" s="36" t="str">
        <f>IF(Order!$C$216="","",Order!$C$216)</f>
        <v>BX116</v>
      </c>
      <c r="D1240" s="36" t="str">
        <f>IF($C1240="","",_xlfn.XLOOKUP($C1240,Order!$C:$C,Order!$D:$D,"",0,1))</f>
        <v>BX116</v>
      </c>
      <c r="E1240" s="4" t="e" vm="400">
        <f>IF($C1240="","",_xlfn.XLOOKUP($C1240,Order!$C:$C,Order!$E:$E,"",0,1))</f>
        <v>#VALUE!</v>
      </c>
      <c r="F1240" s="4">
        <f>IF($C1240="","",_xlfn.XLOOKUP($C1240,Order!$C:$C,Order!$F:$F,"",0,1))</f>
        <v>6000</v>
      </c>
      <c r="G1240" s="4" t="str">
        <f>IF($C1240="","",_xlfn.XLOOKUP($C1240,Order!$C:$C,Order!$G:$G,"",0,1))</f>
        <v>6063T5</v>
      </c>
      <c r="H1240" s="4">
        <f>IF($C1240="","",_xlfn.XLOOKUP($C1240,Order!$C:$C,Order!$H:$H,"",0,1))</f>
        <v>0.26400000000000001</v>
      </c>
      <c r="I1240" s="36">
        <f>IF($C1240="","",_xlfn.XLOOKUP($C1240,Order!$C:$C,Order!$L:$L,"",0,1))</f>
        <v>0</v>
      </c>
      <c r="J1240" s="4" t="str">
        <f>IF(C1240="","",Order!$L$16)</f>
        <v>BRONZE ANODIZED (FAYP03)</v>
      </c>
      <c r="K1240" s="36">
        <f>IF($C1240="","",_xlfn.XLOOKUP($C1240,Order!$C:$C,Order!$P:$P,"",0,1))</f>
        <v>0</v>
      </c>
      <c r="L1240" s="4">
        <f t="shared" si="19"/>
        <v>0</v>
      </c>
    </row>
    <row r="1241" spans="2:12" ht="23.25" hidden="1" customHeight="1" x14ac:dyDescent="0.25">
      <c r="B1241" s="4">
        <v>1236</v>
      </c>
      <c r="C1241" s="36" t="str">
        <f>IF(Order!$C$217="","",Order!$C$217)</f>
        <v>BX156</v>
      </c>
      <c r="D1241" s="36" t="str">
        <f>IF($C1241="","",_xlfn.XLOOKUP($C1241,Order!$C:$C,Order!$D:$D,"",0,1))</f>
        <v>BX156</v>
      </c>
      <c r="E1241" s="4" t="e" vm="401">
        <f>IF($C1241="","",_xlfn.XLOOKUP($C1241,Order!$C:$C,Order!$E:$E,"",0,1))</f>
        <v>#VALUE!</v>
      </c>
      <c r="F1241" s="4">
        <f>IF($C1241="","",_xlfn.XLOOKUP($C1241,Order!$C:$C,Order!$F:$F,"",0,1))</f>
        <v>6000</v>
      </c>
      <c r="G1241" s="4" t="str">
        <f>IF($C1241="","",_xlfn.XLOOKUP($C1241,Order!$C:$C,Order!$G:$G,"",0,1))</f>
        <v>6063T5</v>
      </c>
      <c r="H1241" s="4">
        <f>IF($C1241="","",_xlfn.XLOOKUP($C1241,Order!$C:$C,Order!$H:$H,"",0,1))</f>
        <v>0.2</v>
      </c>
      <c r="I1241" s="36">
        <f>IF($C1241="","",_xlfn.XLOOKUP($C1241,Order!$C:$C,Order!$L:$L,"",0,1))</f>
        <v>0</v>
      </c>
      <c r="J1241" s="4" t="str">
        <f>IF(C1241="","",Order!$L$16)</f>
        <v>BRONZE ANODIZED (FAYP03)</v>
      </c>
      <c r="K1241" s="36">
        <f>IF($C1241="","",_xlfn.XLOOKUP($C1241,Order!$C:$C,Order!$P:$P,"",0,1))</f>
        <v>0</v>
      </c>
      <c r="L1241" s="4">
        <f t="shared" si="19"/>
        <v>0</v>
      </c>
    </row>
    <row r="1242" spans="2:12" ht="23.25" hidden="1" customHeight="1" x14ac:dyDescent="0.25">
      <c r="B1242" s="4">
        <v>1237</v>
      </c>
      <c r="C1242" s="36" t="str">
        <f>IF(Order!$C$218="","",Order!$C$218)</f>
        <v>BX157</v>
      </c>
      <c r="D1242" s="36" t="str">
        <f>IF($C1242="","",_xlfn.XLOOKUP($C1242,Order!$C:$C,Order!$D:$D,"",0,1))</f>
        <v>BX157</v>
      </c>
      <c r="E1242" s="4" t="e" vm="402">
        <f>IF($C1242="","",_xlfn.XLOOKUP($C1242,Order!$C:$C,Order!$E:$E,"",0,1))</f>
        <v>#VALUE!</v>
      </c>
      <c r="F1242" s="4">
        <f>IF($C1242="","",_xlfn.XLOOKUP($C1242,Order!$C:$C,Order!$F:$F,"",0,1))</f>
        <v>6000</v>
      </c>
      <c r="G1242" s="4" t="str">
        <f>IF($C1242="","",_xlfn.XLOOKUP($C1242,Order!$C:$C,Order!$G:$G,"",0,1))</f>
        <v>6063T5</v>
      </c>
      <c r="H1242" s="4">
        <f>IF($C1242="","",_xlfn.XLOOKUP($C1242,Order!$C:$C,Order!$H:$H,"",0,1))</f>
        <v>0.50800000000000001</v>
      </c>
      <c r="I1242" s="36">
        <f>IF($C1242="","",_xlfn.XLOOKUP($C1242,Order!$C:$C,Order!$L:$L,"",0,1))</f>
        <v>0</v>
      </c>
      <c r="J1242" s="4" t="str">
        <f>IF(C1242="","",Order!$L$16)</f>
        <v>BRONZE ANODIZED (FAYP03)</v>
      </c>
      <c r="K1242" s="36">
        <f>IF($C1242="","",_xlfn.XLOOKUP($C1242,Order!$C:$C,Order!$P:$P,"",0,1))</f>
        <v>0</v>
      </c>
      <c r="L1242" s="4">
        <f t="shared" si="19"/>
        <v>0</v>
      </c>
    </row>
    <row r="1243" spans="2:12" ht="23.25" hidden="1" customHeight="1" x14ac:dyDescent="0.25">
      <c r="B1243" s="4">
        <v>1238</v>
      </c>
      <c r="C1243" s="36" t="str">
        <f>IF(Order!$C$219="","",Order!$C$219)</f>
        <v>BX158</v>
      </c>
      <c r="D1243" s="36" t="str">
        <f>IF($C1243="","",_xlfn.XLOOKUP($C1243,Order!$C:$C,Order!$D:$D,"",0,1))</f>
        <v>BX158</v>
      </c>
      <c r="E1243" s="4" t="e" vm="403">
        <f>IF($C1243="","",_xlfn.XLOOKUP($C1243,Order!$C:$C,Order!$E:$E,"",0,1))</f>
        <v>#VALUE!</v>
      </c>
      <c r="F1243" s="4">
        <f>IF($C1243="","",_xlfn.XLOOKUP($C1243,Order!$C:$C,Order!$F:$F,"",0,1))</f>
        <v>6000</v>
      </c>
      <c r="G1243" s="4" t="str">
        <f>IF($C1243="","",_xlfn.XLOOKUP($C1243,Order!$C:$C,Order!$G:$G,"",0,1))</f>
        <v>6063T5</v>
      </c>
      <c r="H1243" s="4">
        <f>IF($C1243="","",_xlfn.XLOOKUP($C1243,Order!$C:$C,Order!$H:$H,"",0,1))</f>
        <v>0.188</v>
      </c>
      <c r="I1243" s="36">
        <f>IF($C1243="","",_xlfn.XLOOKUP($C1243,Order!$C:$C,Order!$L:$L,"",0,1))</f>
        <v>0</v>
      </c>
      <c r="J1243" s="4" t="str">
        <f>IF(C1243="","",Order!$L$16)</f>
        <v>BRONZE ANODIZED (FAYP03)</v>
      </c>
      <c r="K1243" s="36">
        <f>IF($C1243="","",_xlfn.XLOOKUP($C1243,Order!$C:$C,Order!$P:$P,"",0,1))</f>
        <v>0</v>
      </c>
      <c r="L1243" s="4">
        <f t="shared" si="19"/>
        <v>0</v>
      </c>
    </row>
    <row r="1244" spans="2:12" ht="23.25" hidden="1" customHeight="1" x14ac:dyDescent="0.25">
      <c r="B1244" s="4">
        <v>1239</v>
      </c>
      <c r="C1244" s="36" t="str">
        <f>IF(Order!$C$220="","",Order!$C$220)</f>
        <v>BX159</v>
      </c>
      <c r="D1244" s="36" t="str">
        <f>IF($C1244="","",_xlfn.XLOOKUP($C1244,Order!$C:$C,Order!$D:$D,"",0,1))</f>
        <v>BX159</v>
      </c>
      <c r="E1244" s="4" t="e" vm="404">
        <f>IF($C1244="","",_xlfn.XLOOKUP($C1244,Order!$C:$C,Order!$E:$E,"",0,1))</f>
        <v>#VALUE!</v>
      </c>
      <c r="F1244" s="4">
        <f>IF($C1244="","",_xlfn.XLOOKUP($C1244,Order!$C:$C,Order!$F:$F,"",0,1))</f>
        <v>6000</v>
      </c>
      <c r="G1244" s="4" t="str">
        <f>IF($C1244="","",_xlfn.XLOOKUP($C1244,Order!$C:$C,Order!$G:$G,"",0,1))</f>
        <v>6063T5</v>
      </c>
      <c r="H1244" s="4">
        <f>IF($C1244="","",_xlfn.XLOOKUP($C1244,Order!$C:$C,Order!$H:$H,"",0,1))</f>
        <v>0.19700000000000001</v>
      </c>
      <c r="I1244" s="36">
        <f>IF($C1244="","",_xlfn.XLOOKUP($C1244,Order!$C:$C,Order!$L:$L,"",0,1))</f>
        <v>0</v>
      </c>
      <c r="J1244" s="4" t="str">
        <f>IF(C1244="","",Order!$L$16)</f>
        <v>BRONZE ANODIZED (FAYP03)</v>
      </c>
      <c r="K1244" s="36">
        <f>IF($C1244="","",_xlfn.XLOOKUP($C1244,Order!$C:$C,Order!$P:$P,"",0,1))</f>
        <v>0</v>
      </c>
      <c r="L1244" s="4">
        <f t="shared" si="19"/>
        <v>0</v>
      </c>
    </row>
    <row r="1245" spans="2:12" ht="23.25" hidden="1" customHeight="1" x14ac:dyDescent="0.25">
      <c r="B1245" s="4">
        <v>1240</v>
      </c>
      <c r="C1245" s="36" t="str">
        <f>IF(Order!$C$221="","",Order!$C$221)</f>
        <v>BX092</v>
      </c>
      <c r="D1245" s="36" t="str">
        <f>IF($C1245="","",_xlfn.XLOOKUP($C1245,Order!$C:$C,Order!$D:$D,"",0,1))</f>
        <v>BX092</v>
      </c>
      <c r="E1245" s="4" t="e" vm="405">
        <f>IF($C1245="","",_xlfn.XLOOKUP($C1245,Order!$C:$C,Order!$E:$E,"",0,1))</f>
        <v>#VALUE!</v>
      </c>
      <c r="F1245" s="4">
        <f>IF($C1245="","",_xlfn.XLOOKUP($C1245,Order!$C:$C,Order!$F:$F,"",0,1))</f>
        <v>6000</v>
      </c>
      <c r="G1245" s="4" t="str">
        <f>IF($C1245="","",_xlfn.XLOOKUP($C1245,Order!$C:$C,Order!$G:$G,"",0,1))</f>
        <v>6063T5</v>
      </c>
      <c r="H1245" s="4">
        <f>IF($C1245="","",_xlfn.XLOOKUP($C1245,Order!$C:$C,Order!$H:$H,"",0,1))</f>
        <v>0.185</v>
      </c>
      <c r="I1245" s="36">
        <f>IF($C1245="","",_xlfn.XLOOKUP($C1245,Order!$C:$C,Order!$L:$L,"",0,1))</f>
        <v>0</v>
      </c>
      <c r="J1245" s="4" t="str">
        <f>IF(C1245="","",Order!$L$16)</f>
        <v>BRONZE ANODIZED (FAYP03)</v>
      </c>
      <c r="K1245" s="36">
        <f>IF($C1245="","",_xlfn.XLOOKUP($C1245,Order!$C:$C,Order!$P:$P,"",0,1))</f>
        <v>0</v>
      </c>
      <c r="L1245" s="4">
        <f t="shared" si="19"/>
        <v>0</v>
      </c>
    </row>
    <row r="1246" spans="2:12" ht="23.25" hidden="1" customHeight="1" x14ac:dyDescent="0.25">
      <c r="B1246" s="4">
        <v>1241</v>
      </c>
      <c r="C1246" s="36" t="str">
        <f>IF(Order!$C$222="","",Order!$C$222)</f>
        <v>BX189A</v>
      </c>
      <c r="D1246" s="36" t="str">
        <f>IF($C1246="","",_xlfn.XLOOKUP($C1246,Order!$C:$C,Order!$D:$D,"",0,1))</f>
        <v>BX189A</v>
      </c>
      <c r="E1246" s="4" t="e" vm="406">
        <f>IF($C1246="","",_xlfn.XLOOKUP($C1246,Order!$C:$C,Order!$E:$E,"",0,1))</f>
        <v>#VALUE!</v>
      </c>
      <c r="F1246" s="4">
        <f>IF($C1246="","",_xlfn.XLOOKUP($C1246,Order!$C:$C,Order!$F:$F,"",0,1))</f>
        <v>6000</v>
      </c>
      <c r="G1246" s="4" t="str">
        <f>IF($C1246="","",_xlfn.XLOOKUP($C1246,Order!$C:$C,Order!$G:$G,"",0,1))</f>
        <v>6063T5</v>
      </c>
      <c r="H1246" s="4">
        <f>IF($C1246="","",_xlfn.XLOOKUP($C1246,Order!$C:$C,Order!$H:$H,"",0,1))</f>
        <v>0.17299999999999999</v>
      </c>
      <c r="I1246" s="36">
        <f>IF($C1246="","",_xlfn.XLOOKUP($C1246,Order!$C:$C,Order!$L:$L,"",0,1))</f>
        <v>0</v>
      </c>
      <c r="J1246" s="4" t="str">
        <f>IF(C1246="","",Order!$L$16)</f>
        <v>BRONZE ANODIZED (FAYP03)</v>
      </c>
      <c r="K1246" s="36">
        <f>IF($C1246="","",_xlfn.XLOOKUP($C1246,Order!$C:$C,Order!$P:$P,"",0,1))</f>
        <v>0</v>
      </c>
      <c r="L1246" s="4">
        <f t="shared" si="19"/>
        <v>0</v>
      </c>
    </row>
    <row r="1247" spans="2:12" ht="23.25" hidden="1" customHeight="1" x14ac:dyDescent="0.25">
      <c r="B1247" s="4">
        <v>1242</v>
      </c>
      <c r="C1247" s="36" t="str">
        <f>IF(Order!$C$223="","",Order!$C$223)</f>
        <v>BX201</v>
      </c>
      <c r="D1247" s="36" t="str">
        <f>IF($C1247="","",_xlfn.XLOOKUP($C1247,Order!$C:$C,Order!$D:$D,"",0,1))</f>
        <v>BX201</v>
      </c>
      <c r="E1247" s="4" t="e" vm="407">
        <f>IF($C1247="","",_xlfn.XLOOKUP($C1247,Order!$C:$C,Order!$E:$E,"",0,1))</f>
        <v>#VALUE!</v>
      </c>
      <c r="F1247" s="4">
        <f>IF($C1247="","",_xlfn.XLOOKUP($C1247,Order!$C:$C,Order!$F:$F,"",0,1))</f>
        <v>6000</v>
      </c>
      <c r="G1247" s="4" t="str">
        <f>IF($C1247="","",_xlfn.XLOOKUP($C1247,Order!$C:$C,Order!$G:$G,"",0,1))</f>
        <v>6063T5</v>
      </c>
      <c r="H1247" s="4">
        <f>IF($C1247="","",_xlfn.XLOOKUP($C1247,Order!$C:$C,Order!$H:$H,"",0,1))</f>
        <v>0.47699999999999998</v>
      </c>
      <c r="I1247" s="36">
        <f>IF($C1247="","",_xlfn.XLOOKUP($C1247,Order!$C:$C,Order!$L:$L,"",0,1))</f>
        <v>0</v>
      </c>
      <c r="J1247" s="4" t="str">
        <f>IF(C1247="","",Order!$L$16)</f>
        <v>BRONZE ANODIZED (FAYP03)</v>
      </c>
      <c r="K1247" s="36">
        <f>IF($C1247="","",_xlfn.XLOOKUP($C1247,Order!$C:$C,Order!$P:$P,"",0,1))</f>
        <v>0</v>
      </c>
      <c r="L1247" s="4">
        <f t="shared" si="19"/>
        <v>0</v>
      </c>
    </row>
    <row r="1248" spans="2:12" ht="23.25" hidden="1" customHeight="1" x14ac:dyDescent="0.25">
      <c r="B1248" s="4">
        <v>1243</v>
      </c>
      <c r="C1248" s="36" t="str">
        <f>IF(Order!$C$224="","",Order!$C$224)</f>
        <v>AL001</v>
      </c>
      <c r="D1248" s="36" t="str">
        <f>IF($C1248="","",_xlfn.XLOOKUP($C1248,Order!$C:$C,Order!$D:$D,"",0,1))</f>
        <v>AL001AL</v>
      </c>
      <c r="E1248" s="4" t="e" vm="408">
        <f>IF($C1248="","",_xlfn.XLOOKUP($C1248,Order!$C:$C,Order!$E:$E,"",0,1))</f>
        <v>#VALUE!</v>
      </c>
      <c r="F1248" s="4">
        <f>IF($C1248="","",_xlfn.XLOOKUP($C1248,Order!$C:$C,Order!$F:$F,"",0,1))</f>
        <v>6000</v>
      </c>
      <c r="G1248" s="4" t="str">
        <f>IF($C1248="","",_xlfn.XLOOKUP($C1248,Order!$C:$C,Order!$G:$G,"",0,1))</f>
        <v>6063T5</v>
      </c>
      <c r="H1248" s="4">
        <f>IF($C1248="","",_xlfn.XLOOKUP($C1248,Order!$C:$C,Order!$H:$H,"",0,1))</f>
        <v>0.434</v>
      </c>
      <c r="I1248" s="36">
        <f>IF($C1248="","",_xlfn.XLOOKUP($C1248,Order!$C:$C,Order!$L:$L,"",0,1))</f>
        <v>0</v>
      </c>
      <c r="J1248" s="4" t="str">
        <f>IF(C1248="","",Order!$L$16)</f>
        <v>BRONZE ANODIZED (FAYP03)</v>
      </c>
      <c r="K1248" s="36">
        <f>IF($C1248="","",_xlfn.XLOOKUP($C1248,Order!$C:$C,Order!$P:$P,"",0,1))</f>
        <v>0</v>
      </c>
      <c r="L1248" s="4">
        <f t="shared" si="19"/>
        <v>0</v>
      </c>
    </row>
    <row r="1249" spans="2:12" ht="23.25" hidden="1" customHeight="1" x14ac:dyDescent="0.25">
      <c r="B1249" s="4">
        <v>1244</v>
      </c>
      <c r="C1249" s="36" t="str">
        <f>IF(Order!$C$225="","",Order!$C$225)</f>
        <v>AL002</v>
      </c>
      <c r="D1249" s="36" t="str">
        <f>IF($C1249="","",_xlfn.XLOOKUP($C1249,Order!$C:$C,Order!$D:$D,"",0,1))</f>
        <v>AL002AL</v>
      </c>
      <c r="E1249" s="4" t="e" vm="409">
        <f>IF($C1249="","",_xlfn.XLOOKUP($C1249,Order!$C:$C,Order!$E:$E,"",0,1))</f>
        <v>#VALUE!</v>
      </c>
      <c r="F1249" s="4">
        <f>IF($C1249="","",_xlfn.XLOOKUP($C1249,Order!$C:$C,Order!$F:$F,"",0,1))</f>
        <v>6000</v>
      </c>
      <c r="G1249" s="4" t="str">
        <f>IF($C1249="","",_xlfn.XLOOKUP($C1249,Order!$C:$C,Order!$G:$G,"",0,1))</f>
        <v>6063T5</v>
      </c>
      <c r="H1249" s="4">
        <f>IF($C1249="","",_xlfn.XLOOKUP($C1249,Order!$C:$C,Order!$H:$H,"",0,1))</f>
        <v>0.17499999999999999</v>
      </c>
      <c r="I1249" s="36">
        <f>IF($C1249="","",_xlfn.XLOOKUP($C1249,Order!$C:$C,Order!$L:$L,"",0,1))</f>
        <v>0</v>
      </c>
      <c r="J1249" s="4" t="str">
        <f>IF(C1249="","",Order!$L$16)</f>
        <v>BRONZE ANODIZED (FAYP03)</v>
      </c>
      <c r="K1249" s="36">
        <f>IF($C1249="","",_xlfn.XLOOKUP($C1249,Order!$C:$C,Order!$P:$P,"",0,1))</f>
        <v>0</v>
      </c>
      <c r="L1249" s="4">
        <f t="shared" si="19"/>
        <v>0</v>
      </c>
    </row>
    <row r="1250" spans="2:12" ht="23.25" hidden="1" customHeight="1" x14ac:dyDescent="0.25">
      <c r="B1250" s="4">
        <v>1245</v>
      </c>
      <c r="C1250" s="36" t="str">
        <f>IF(Order!$C$226="","",Order!$C$226)</f>
        <v>AL 049</v>
      </c>
      <c r="D1250" s="36" t="str">
        <f>IF($C1250="","",_xlfn.XLOOKUP($C1250,Order!$C:$C,Order!$D:$D,"",0,1))</f>
        <v>AL049</v>
      </c>
      <c r="E1250" s="4" t="e" vm="410">
        <f>IF($C1250="","",_xlfn.XLOOKUP($C1250,Order!$C:$C,Order!$E:$E,"",0,1))</f>
        <v>#VALUE!</v>
      </c>
      <c r="F1250" s="4">
        <f>IF($C1250="","",_xlfn.XLOOKUP($C1250,Order!$C:$C,Order!$F:$F,"",0,1))</f>
        <v>6000</v>
      </c>
      <c r="G1250" s="4" t="str">
        <f>IF($C1250="","",_xlfn.XLOOKUP($C1250,Order!$C:$C,Order!$G:$G,"",0,1))</f>
        <v>6063T5</v>
      </c>
      <c r="H1250" s="4">
        <f>IF($C1250="","",_xlfn.XLOOKUP($C1250,Order!$C:$C,Order!$H:$H,"",0,1))</f>
        <v>0.45300000000000001</v>
      </c>
      <c r="I1250" s="36">
        <f>IF($C1250="","",_xlfn.XLOOKUP($C1250,Order!$C:$C,Order!$L:$L,"",0,1))</f>
        <v>0</v>
      </c>
      <c r="J1250" s="4" t="str">
        <f>IF(C1250="","",Order!$L$16)</f>
        <v>BRONZE ANODIZED (FAYP03)</v>
      </c>
      <c r="K1250" s="36">
        <f>IF($C1250="","",_xlfn.XLOOKUP($C1250,Order!$C:$C,Order!$P:$P,"",0,1))</f>
        <v>0</v>
      </c>
      <c r="L1250" s="4">
        <f t="shared" si="19"/>
        <v>0</v>
      </c>
    </row>
    <row r="1251" spans="2:12" ht="23.25" hidden="1" customHeight="1" x14ac:dyDescent="0.25">
      <c r="B1251" s="4">
        <v>1246</v>
      </c>
      <c r="C1251" s="36" t="str">
        <f>IF(Order!$C$227="","",Order!$C$227)</f>
        <v>AL050</v>
      </c>
      <c r="D1251" s="36" t="str">
        <f>IF($C1251="","",_xlfn.XLOOKUP($C1251,Order!$C:$C,Order!$D:$D,"",0,1))</f>
        <v>AL050</v>
      </c>
      <c r="E1251" s="4" t="e" vm="411">
        <f>IF($C1251="","",_xlfn.XLOOKUP($C1251,Order!$C:$C,Order!$E:$E,"",0,1))</f>
        <v>#VALUE!</v>
      </c>
      <c r="F1251" s="4">
        <f>IF($C1251="","",_xlfn.XLOOKUP($C1251,Order!$C:$C,Order!$F:$F,"",0,1))</f>
        <v>6000</v>
      </c>
      <c r="G1251" s="4" t="str">
        <f>IF($C1251="","",_xlfn.XLOOKUP($C1251,Order!$C:$C,Order!$G:$G,"",0,1))</f>
        <v>6063T5</v>
      </c>
      <c r="H1251" s="4">
        <f>IF($C1251="","",_xlfn.XLOOKUP($C1251,Order!$C:$C,Order!$H:$H,"",0,1))</f>
        <v>0.249</v>
      </c>
      <c r="I1251" s="36">
        <f>IF($C1251="","",_xlfn.XLOOKUP($C1251,Order!$C:$C,Order!$L:$L,"",0,1))</f>
        <v>0</v>
      </c>
      <c r="J1251" s="4" t="str">
        <f>IF(C1251="","",Order!$L$16)</f>
        <v>BRONZE ANODIZED (FAYP03)</v>
      </c>
      <c r="K1251" s="36">
        <f>IF($C1251="","",_xlfn.XLOOKUP($C1251,Order!$C:$C,Order!$P:$P,"",0,1))</f>
        <v>0</v>
      </c>
      <c r="L1251" s="4">
        <f t="shared" si="19"/>
        <v>0</v>
      </c>
    </row>
    <row r="1252" spans="2:12" ht="23.25" hidden="1" customHeight="1" x14ac:dyDescent="0.25">
      <c r="B1252" s="4">
        <v>1247</v>
      </c>
      <c r="C1252" s="36" t="str">
        <f>IF(Order!$C$228="","",Order!$C$228)</f>
        <v>AL003L</v>
      </c>
      <c r="D1252" s="36" t="str">
        <f>IF($C1252="","",_xlfn.XLOOKUP($C1252,Order!$C:$C,Order!$D:$D,"",0,1))</f>
        <v>AL003L</v>
      </c>
      <c r="E1252" s="4" t="e" vm="412">
        <f>IF($C1252="","",_xlfn.XLOOKUP($C1252,Order!$C:$C,Order!$E:$E,"",0,1))</f>
        <v>#VALUE!</v>
      </c>
      <c r="F1252" s="4">
        <f>IF($C1252="","",_xlfn.XLOOKUP($C1252,Order!$C:$C,Order!$F:$F,"",0,1))</f>
        <v>6000</v>
      </c>
      <c r="G1252" s="4" t="str">
        <f>IF($C1252="","",_xlfn.XLOOKUP($C1252,Order!$C:$C,Order!$G:$G,"",0,1))</f>
        <v>6063T5</v>
      </c>
      <c r="H1252" s="4">
        <f>IF($C1252="","",_xlfn.XLOOKUP($C1252,Order!$C:$C,Order!$H:$H,"",0,1))</f>
        <v>0.23</v>
      </c>
      <c r="I1252" s="36">
        <f>IF($C1252="","",_xlfn.XLOOKUP($C1252,Order!$C:$C,Order!$L:$L,"",0,1))</f>
        <v>0</v>
      </c>
      <c r="J1252" s="4" t="str">
        <f>IF(C1252="","",Order!$L$16)</f>
        <v>BRONZE ANODIZED (FAYP03)</v>
      </c>
      <c r="K1252" s="36">
        <f>IF($C1252="","",_xlfn.XLOOKUP($C1252,Order!$C:$C,Order!$P:$P,"",0,1))</f>
        <v>0</v>
      </c>
      <c r="L1252" s="4">
        <f t="shared" si="19"/>
        <v>0</v>
      </c>
    </row>
    <row r="1253" spans="2:12" ht="23.25" hidden="1" customHeight="1" x14ac:dyDescent="0.25">
      <c r="B1253" s="4">
        <v>1248</v>
      </c>
      <c r="C1253" s="36" t="str">
        <f>IF(Order!$C$229="","",Order!$C$229)</f>
        <v>MT0066</v>
      </c>
      <c r="D1253" s="36" t="str">
        <f>IF($C1253="","",_xlfn.XLOOKUP($C1253,Order!$C:$C,Order!$D:$D,"",0,1))</f>
        <v>MT0066(PU010)</v>
      </c>
      <c r="E1253" s="4" t="e" vm="413">
        <f>IF($C1253="","",_xlfn.XLOOKUP($C1253,Order!$C:$C,Order!$E:$E,"",0,1))</f>
        <v>#VALUE!</v>
      </c>
      <c r="F1253" s="4">
        <f>IF($C1253="","",_xlfn.XLOOKUP($C1253,Order!$C:$C,Order!$F:$F,"",0,1))</f>
        <v>6000</v>
      </c>
      <c r="G1253" s="4" t="str">
        <f>IF($C1253="","",_xlfn.XLOOKUP($C1253,Order!$C:$C,Order!$G:$G,"",0,1))</f>
        <v>6063T5</v>
      </c>
      <c r="H1253" s="4">
        <f>IF($C1253="","",_xlfn.XLOOKUP($C1253,Order!$C:$C,Order!$H:$H,"",0,1))</f>
        <v>0.11700000000000001</v>
      </c>
      <c r="I1253" s="36">
        <f>IF($C1253="","",_xlfn.XLOOKUP($C1253,Order!$C:$C,Order!$L:$L,"",0,1))</f>
        <v>0</v>
      </c>
      <c r="J1253" s="4" t="str">
        <f>IF(C1253="","",Order!$L$16)</f>
        <v>BRONZE ANODIZED (FAYP03)</v>
      </c>
      <c r="K1253" s="36">
        <f>IF($C1253="","",_xlfn.XLOOKUP($C1253,Order!$C:$C,Order!$P:$P,"",0,1))</f>
        <v>0</v>
      </c>
      <c r="L1253" s="4">
        <f t="shared" si="19"/>
        <v>0</v>
      </c>
    </row>
    <row r="1254" spans="2:12" ht="23.25" hidden="1" customHeight="1" x14ac:dyDescent="0.25">
      <c r="B1254" s="4">
        <v>1249</v>
      </c>
      <c r="C1254" s="36" t="str">
        <f>IF(Order!$C$230="","",Order!$C$230)</f>
        <v>MT0067</v>
      </c>
      <c r="D1254" s="36" t="str">
        <f>IF($C1254="","",_xlfn.XLOOKUP($C1254,Order!$C:$C,Order!$D:$D,"",0,1))</f>
        <v>MT0067(PU008)</v>
      </c>
      <c r="E1254" s="4" t="e" vm="414">
        <f>IF($C1254="","",_xlfn.XLOOKUP($C1254,Order!$C:$C,Order!$E:$E,"",0,1))</f>
        <v>#VALUE!</v>
      </c>
      <c r="F1254" s="4">
        <f>IF($C1254="","",_xlfn.XLOOKUP($C1254,Order!$C:$C,Order!$F:$F,"",0,1))</f>
        <v>6000</v>
      </c>
      <c r="G1254" s="4" t="str">
        <f>IF($C1254="","",_xlfn.XLOOKUP($C1254,Order!$C:$C,Order!$G:$G,"",0,1))</f>
        <v>6063T5</v>
      </c>
      <c r="H1254" s="4">
        <f>IF($C1254="","",_xlfn.XLOOKUP($C1254,Order!$C:$C,Order!$H:$H,"",0,1))</f>
        <v>0.11</v>
      </c>
      <c r="I1254" s="36">
        <f>IF($C1254="","",_xlfn.XLOOKUP($C1254,Order!$C:$C,Order!$L:$L,"",0,1))</f>
        <v>0</v>
      </c>
      <c r="J1254" s="4" t="str">
        <f>IF(C1254="","",Order!$L$16)</f>
        <v>BRONZE ANODIZED (FAYP03)</v>
      </c>
      <c r="K1254" s="36">
        <f>IF($C1254="","",_xlfn.XLOOKUP($C1254,Order!$C:$C,Order!$P:$P,"",0,1))</f>
        <v>0</v>
      </c>
      <c r="L1254" s="4">
        <f t="shared" si="19"/>
        <v>0</v>
      </c>
    </row>
    <row r="1255" spans="2:12" ht="23.25" hidden="1" customHeight="1" x14ac:dyDescent="0.25">
      <c r="B1255" s="4">
        <v>1250</v>
      </c>
      <c r="C1255" s="36" t="str">
        <f>IF(Order!$C$231="","",Order!$C$231)</f>
        <v>MT0080</v>
      </c>
      <c r="D1255" s="36" t="str">
        <f>IF($C1255="","",_xlfn.XLOOKUP($C1255,Order!$C:$C,Order!$D:$D,"",0,1))</f>
        <v>MT0080</v>
      </c>
      <c r="E1255" s="4" t="e" vm="415">
        <f>IF($C1255="","",_xlfn.XLOOKUP($C1255,Order!$C:$C,Order!$E:$E,"",0,1))</f>
        <v>#VALUE!</v>
      </c>
      <c r="F1255" s="4">
        <f>IF($C1255="","",_xlfn.XLOOKUP($C1255,Order!$C:$C,Order!$F:$F,"",0,1))</f>
        <v>6000</v>
      </c>
      <c r="G1255" s="4" t="str">
        <f>IF($C1255="","",_xlfn.XLOOKUP($C1255,Order!$C:$C,Order!$G:$G,"",0,1))</f>
        <v>6063T5</v>
      </c>
      <c r="H1255" s="4">
        <f>IF($C1255="","",_xlfn.XLOOKUP($C1255,Order!$C:$C,Order!$H:$H,"",0,1))</f>
        <v>0.32200000000000001</v>
      </c>
      <c r="I1255" s="36">
        <f>IF($C1255="","",_xlfn.XLOOKUP($C1255,Order!$C:$C,Order!$L:$L,"",0,1))</f>
        <v>0</v>
      </c>
      <c r="J1255" s="4" t="str">
        <f>IF(C1255="","",Order!$L$16)</f>
        <v>BRONZE ANODIZED (FAYP03)</v>
      </c>
      <c r="K1255" s="36">
        <f>IF($C1255="","",_xlfn.XLOOKUP($C1255,Order!$C:$C,Order!$P:$P,"",0,1))</f>
        <v>0</v>
      </c>
      <c r="L1255" s="4">
        <f t="shared" si="19"/>
        <v>0</v>
      </c>
    </row>
    <row r="1256" spans="2:12" ht="23.25" hidden="1" customHeight="1" x14ac:dyDescent="0.25">
      <c r="B1256" s="4">
        <v>1251</v>
      </c>
      <c r="C1256" s="36" t="str">
        <f>IF(Order!$C$232="","",Order!$C$232)</f>
        <v>MT0088</v>
      </c>
      <c r="D1256" s="36" t="str">
        <f>IF($C1256="","",_xlfn.XLOOKUP($C1256,Order!$C:$C,Order!$D:$D,"",0,1))</f>
        <v>MT0088</v>
      </c>
      <c r="E1256" s="4" t="e" vm="416">
        <f>IF($C1256="","",_xlfn.XLOOKUP($C1256,Order!$C:$C,Order!$E:$E,"",0,1))</f>
        <v>#VALUE!</v>
      </c>
      <c r="F1256" s="4">
        <f>IF($C1256="","",_xlfn.XLOOKUP($C1256,Order!$C:$C,Order!$F:$F,"",0,1))</f>
        <v>6000</v>
      </c>
      <c r="G1256" s="4" t="str">
        <f>IF($C1256="","",_xlfn.XLOOKUP($C1256,Order!$C:$C,Order!$G:$G,"",0,1))</f>
        <v>6063T5</v>
      </c>
      <c r="H1256" s="4">
        <f>IF($C1256="","",_xlfn.XLOOKUP($C1256,Order!$C:$C,Order!$H:$H,"",0,1))</f>
        <v>0.26400000000000001</v>
      </c>
      <c r="I1256" s="36">
        <f>IF($C1256="","",_xlfn.XLOOKUP($C1256,Order!$C:$C,Order!$L:$L,"",0,1))</f>
        <v>0</v>
      </c>
      <c r="J1256" s="4" t="str">
        <f>IF(C1256="","",Order!$L$16)</f>
        <v>BRONZE ANODIZED (FAYP03)</v>
      </c>
      <c r="K1256" s="36">
        <f>IF($C1256="","",_xlfn.XLOOKUP($C1256,Order!$C:$C,Order!$P:$P,"",0,1))</f>
        <v>0</v>
      </c>
      <c r="L1256" s="4">
        <f t="shared" si="19"/>
        <v>0</v>
      </c>
    </row>
    <row r="1257" spans="2:12" ht="23.25" hidden="1" customHeight="1" x14ac:dyDescent="0.25">
      <c r="B1257" s="4">
        <v>1252</v>
      </c>
      <c r="C1257" s="36" t="str">
        <f>IF(Order!$C$233="","",Order!$C$233)</f>
        <v>MT0089</v>
      </c>
      <c r="D1257" s="36" t="str">
        <f>IF($C1257="","",_xlfn.XLOOKUP($C1257,Order!$C:$C,Order!$D:$D,"",0,1))</f>
        <v>MT0089</v>
      </c>
      <c r="E1257" s="4" t="e" vm="417">
        <f>IF($C1257="","",_xlfn.XLOOKUP($C1257,Order!$C:$C,Order!$E:$E,"",0,1))</f>
        <v>#VALUE!</v>
      </c>
      <c r="F1257" s="4">
        <f>IF($C1257="","",_xlfn.XLOOKUP($C1257,Order!$C:$C,Order!$F:$F,"",0,1))</f>
        <v>6000</v>
      </c>
      <c r="G1257" s="4" t="str">
        <f>IF($C1257="","",_xlfn.XLOOKUP($C1257,Order!$C:$C,Order!$G:$G,"",0,1))</f>
        <v>6063T5</v>
      </c>
      <c r="H1257" s="4">
        <f>IF($C1257="","",_xlfn.XLOOKUP($C1257,Order!$C:$C,Order!$H:$H,"",0,1))</f>
        <v>7.9000000000000001E-2</v>
      </c>
      <c r="I1257" s="36">
        <f>IF($C1257="","",_xlfn.XLOOKUP($C1257,Order!$C:$C,Order!$L:$L,"",0,1))</f>
        <v>0</v>
      </c>
      <c r="J1257" s="4" t="str">
        <f>IF(C1257="","",Order!$L$16)</f>
        <v>BRONZE ANODIZED (FAYP03)</v>
      </c>
      <c r="K1257" s="36">
        <f>IF($C1257="","",_xlfn.XLOOKUP($C1257,Order!$C:$C,Order!$P:$P,"",0,1))</f>
        <v>0</v>
      </c>
      <c r="L1257" s="4">
        <f t="shared" si="19"/>
        <v>0</v>
      </c>
    </row>
    <row r="1258" spans="2:12" ht="23.25" hidden="1" customHeight="1" x14ac:dyDescent="0.25">
      <c r="B1258" s="4">
        <v>1253</v>
      </c>
      <c r="C1258" s="36" t="str">
        <f>IF(Order!$C$234="","",Order!$C$234)</f>
        <v>MT0090</v>
      </c>
      <c r="D1258" s="36" t="str">
        <f>IF($C1258="","",_xlfn.XLOOKUP($C1258,Order!$C:$C,Order!$D:$D,"",0,1))</f>
        <v>MT0090</v>
      </c>
      <c r="E1258" s="4" t="e" vm="418">
        <f>IF($C1258="","",_xlfn.XLOOKUP($C1258,Order!$C:$C,Order!$E:$E,"",0,1))</f>
        <v>#VALUE!</v>
      </c>
      <c r="F1258" s="4">
        <f>IF($C1258="","",_xlfn.XLOOKUP($C1258,Order!$C:$C,Order!$F:$F,"",0,1))</f>
        <v>6000</v>
      </c>
      <c r="G1258" s="4" t="str">
        <f>IF($C1258="","",_xlfn.XLOOKUP($C1258,Order!$C:$C,Order!$G:$G,"",0,1))</f>
        <v>6063T5</v>
      </c>
      <c r="H1258" s="4">
        <f>IF($C1258="","",_xlfn.XLOOKUP($C1258,Order!$C:$C,Order!$H:$H,"",0,1))</f>
        <v>0.55600000000000005</v>
      </c>
      <c r="I1258" s="36">
        <f>IF($C1258="","",_xlfn.XLOOKUP($C1258,Order!$C:$C,Order!$L:$L,"",0,1))</f>
        <v>0</v>
      </c>
      <c r="J1258" s="4" t="str">
        <f>IF(C1258="","",Order!$L$16)</f>
        <v>BRONZE ANODIZED (FAYP03)</v>
      </c>
      <c r="K1258" s="36">
        <f>IF($C1258="","",_xlfn.XLOOKUP($C1258,Order!$C:$C,Order!$P:$P,"",0,1))</f>
        <v>0</v>
      </c>
      <c r="L1258" s="4">
        <f t="shared" si="19"/>
        <v>0</v>
      </c>
    </row>
    <row r="1259" spans="2:12" ht="23.25" hidden="1" customHeight="1" x14ac:dyDescent="0.25">
      <c r="B1259" s="4">
        <v>1254</v>
      </c>
      <c r="C1259" s="36" t="str">
        <f>IF(Order!$C$235="","",Order!$C$235)</f>
        <v>BX128</v>
      </c>
      <c r="D1259" s="36" t="str">
        <f>IF($C1259="","",_xlfn.XLOOKUP($C1259,Order!$C:$C,Order!$D:$D,"",0,1))</f>
        <v>BX128</v>
      </c>
      <c r="E1259" s="4" t="e" vm="419">
        <f>IF($C1259="","",_xlfn.XLOOKUP($C1259,Order!$C:$C,Order!$E:$E,"",0,1))</f>
        <v>#VALUE!</v>
      </c>
      <c r="F1259" s="4">
        <f>IF($C1259="","",_xlfn.XLOOKUP($C1259,Order!$C:$C,Order!$F:$F,"",0,1))</f>
        <v>6000</v>
      </c>
      <c r="G1259" s="4" t="str">
        <f>IF($C1259="","",_xlfn.XLOOKUP($C1259,Order!$C:$C,Order!$G:$G,"",0,1))</f>
        <v>6063T5</v>
      </c>
      <c r="H1259" s="4">
        <f>IF($C1259="","",_xlfn.XLOOKUP($C1259,Order!$C:$C,Order!$H:$H,"",0,1))</f>
        <v>0.16900000000000001</v>
      </c>
      <c r="I1259" s="36">
        <f>IF($C1259="","",_xlfn.XLOOKUP($C1259,Order!$C:$C,Order!$L:$L,"",0,1))</f>
        <v>0</v>
      </c>
      <c r="J1259" s="4" t="str">
        <f>IF(C1259="","",Order!$L$16)</f>
        <v>BRONZE ANODIZED (FAYP03)</v>
      </c>
      <c r="K1259" s="36">
        <f>IF($C1259="","",_xlfn.XLOOKUP($C1259,Order!$C:$C,Order!$P:$P,"",0,1))</f>
        <v>0</v>
      </c>
      <c r="L1259" s="4">
        <f t="shared" si="19"/>
        <v>0</v>
      </c>
    </row>
    <row r="1260" spans="2:12" ht="23.25" hidden="1" customHeight="1" x14ac:dyDescent="0.25">
      <c r="B1260" s="4">
        <v>1255</v>
      </c>
      <c r="C1260" s="36" t="str">
        <f>IF(Order!$C$236="","",Order!$C$236)</f>
        <v>BX626</v>
      </c>
      <c r="D1260" s="36" t="str">
        <f>IF($C1260="","",_xlfn.XLOOKUP($C1260,Order!$C:$C,Order!$D:$D,"",0,1))</f>
        <v>BX626</v>
      </c>
      <c r="E1260" s="4" t="e" vm="420">
        <f>IF($C1260="","",_xlfn.XLOOKUP($C1260,Order!$C:$C,Order!$E:$E,"",0,1))</f>
        <v>#VALUE!</v>
      </c>
      <c r="F1260" s="4">
        <f>IF($C1260="","",_xlfn.XLOOKUP($C1260,Order!$C:$C,Order!$F:$F,"",0,1))</f>
        <v>6000</v>
      </c>
      <c r="G1260" s="4" t="str">
        <f>IF($C1260="","",_xlfn.XLOOKUP($C1260,Order!$C:$C,Order!$G:$G,"",0,1))</f>
        <v>6063T5</v>
      </c>
      <c r="H1260" s="4">
        <f>IF($C1260="","",_xlfn.XLOOKUP($C1260,Order!$C:$C,Order!$H:$H,"",0,1))</f>
        <v>0.13800000000000001</v>
      </c>
      <c r="I1260" s="36">
        <f>IF($C1260="","",_xlfn.XLOOKUP($C1260,Order!$C:$C,Order!$L:$L,"",0,1))</f>
        <v>0</v>
      </c>
      <c r="J1260" s="4" t="str">
        <f>IF(C1260="","",Order!$L$16)</f>
        <v>BRONZE ANODIZED (FAYP03)</v>
      </c>
      <c r="K1260" s="36">
        <f>IF($C1260="","",_xlfn.XLOOKUP($C1260,Order!$C:$C,Order!$P:$P,"",0,1))</f>
        <v>0</v>
      </c>
      <c r="L1260" s="4">
        <f t="shared" si="19"/>
        <v>0</v>
      </c>
    </row>
    <row r="1261" spans="2:12" ht="23.25" hidden="1" customHeight="1" x14ac:dyDescent="0.25">
      <c r="B1261" s="4">
        <v>1256</v>
      </c>
      <c r="C1261" s="36" t="str">
        <f>IF(Order!$C$237="","",Order!$C$237)</f>
        <v>BT807</v>
      </c>
      <c r="D1261" s="36" t="str">
        <f>IF($C1261="","",_xlfn.XLOOKUP($C1261,Order!$C:$C,Order!$D:$D,"",0,1))</f>
        <v>BT807</v>
      </c>
      <c r="E1261" s="4" t="e" vm="421">
        <f>IF($C1261="","",_xlfn.XLOOKUP($C1261,Order!$C:$C,Order!$E:$E,"",0,1))</f>
        <v>#VALUE!</v>
      </c>
      <c r="F1261" s="4">
        <f>IF($C1261="","",_xlfn.XLOOKUP($C1261,Order!$C:$C,Order!$F:$F,"",0,1))</f>
        <v>6000</v>
      </c>
      <c r="G1261" s="4" t="str">
        <f>IF($C1261="","",_xlfn.XLOOKUP($C1261,Order!$C:$C,Order!$G:$G,"",0,1))</f>
        <v>6063T5</v>
      </c>
      <c r="H1261" s="4">
        <f>IF($C1261="","",_xlfn.XLOOKUP($C1261,Order!$C:$C,Order!$H:$H,"",0,1))</f>
        <v>0.153</v>
      </c>
      <c r="I1261" s="36">
        <f>IF($C1261="","",_xlfn.XLOOKUP($C1261,Order!$C:$C,Order!$L:$L,"",0,1))</f>
        <v>0</v>
      </c>
      <c r="J1261" s="4" t="str">
        <f>IF(C1261="","",Order!$L$16)</f>
        <v>BRONZE ANODIZED (FAYP03)</v>
      </c>
      <c r="K1261" s="36">
        <f>IF($C1261="","",_xlfn.XLOOKUP($C1261,Order!$C:$C,Order!$P:$P,"",0,1))</f>
        <v>0</v>
      </c>
      <c r="L1261" s="4">
        <f t="shared" si="19"/>
        <v>0</v>
      </c>
    </row>
    <row r="1262" spans="2:12" ht="23.25" hidden="1" customHeight="1" x14ac:dyDescent="0.25">
      <c r="B1262" s="4">
        <v>1257</v>
      </c>
      <c r="C1262" s="36" t="str">
        <f>IF(Order!$C$238="","",Order!$C$238)</f>
        <v>BX013</v>
      </c>
      <c r="D1262" s="36" t="str">
        <f>IF($C1262="","",_xlfn.XLOOKUP($C1262,Order!$C:$C,Order!$D:$D,"",0,1))</f>
        <v>BX013</v>
      </c>
      <c r="E1262" s="4" t="e" vm="422">
        <f>IF($C1262="","",_xlfn.XLOOKUP($C1262,Order!$C:$C,Order!$E:$E,"",0,1))</f>
        <v>#VALUE!</v>
      </c>
      <c r="F1262" s="4">
        <f>IF($C1262="","",_xlfn.XLOOKUP($C1262,Order!$C:$C,Order!$F:$F,"",0,1))</f>
        <v>6000</v>
      </c>
      <c r="G1262" s="4" t="str">
        <f>IF($C1262="","",_xlfn.XLOOKUP($C1262,Order!$C:$C,Order!$G:$G,"",0,1))</f>
        <v>6063T5</v>
      </c>
      <c r="H1262" s="4">
        <f>IF($C1262="","",_xlfn.XLOOKUP($C1262,Order!$C:$C,Order!$H:$H,"",0,1))</f>
        <v>0</v>
      </c>
      <c r="I1262" s="36">
        <f>IF($C1262="","",_xlfn.XLOOKUP($C1262,Order!$C:$C,Order!$L:$L,"",0,1))</f>
        <v>0</v>
      </c>
      <c r="J1262" s="4" t="str">
        <f>IF(C1262="","",Order!$L$16)</f>
        <v>BRONZE ANODIZED (FAYP03)</v>
      </c>
      <c r="K1262" s="36">
        <f>IF($C1262="","",_xlfn.XLOOKUP($C1262,Order!$C:$C,Order!$P:$P,"",0,1))</f>
        <v>0</v>
      </c>
      <c r="L1262" s="4">
        <f t="shared" si="19"/>
        <v>0</v>
      </c>
    </row>
    <row r="1263" spans="2:12" ht="23.25" hidden="1" customHeight="1" x14ac:dyDescent="0.25">
      <c r="B1263" s="4">
        <v>1258</v>
      </c>
      <c r="C1263" s="36" t="str">
        <f>IF(Order!$C$239="","",Order!$C$239)</f>
        <v>BX014</v>
      </c>
      <c r="D1263" s="36" t="str">
        <f>IF($C1263="","",_xlfn.XLOOKUP($C1263,Order!$C:$C,Order!$D:$D,"",0,1))</f>
        <v>BX014</v>
      </c>
      <c r="E1263" s="4" t="e" vm="423">
        <f>IF($C1263="","",_xlfn.XLOOKUP($C1263,Order!$C:$C,Order!$E:$E,"",0,1))</f>
        <v>#VALUE!</v>
      </c>
      <c r="F1263" s="4">
        <f>IF($C1263="","",_xlfn.XLOOKUP($C1263,Order!$C:$C,Order!$F:$F,"",0,1))</f>
        <v>6000</v>
      </c>
      <c r="G1263" s="4" t="str">
        <f>IF($C1263="","",_xlfn.XLOOKUP($C1263,Order!$C:$C,Order!$G:$G,"",0,1))</f>
        <v>6063T5</v>
      </c>
      <c r="H1263" s="4">
        <f>IF($C1263="","",_xlfn.XLOOKUP($C1263,Order!$C:$C,Order!$H:$H,"",0,1))</f>
        <v>0</v>
      </c>
      <c r="I1263" s="36">
        <f>IF($C1263="","",_xlfn.XLOOKUP($C1263,Order!$C:$C,Order!$L:$L,"",0,1))</f>
        <v>0</v>
      </c>
      <c r="J1263" s="4" t="str">
        <f>IF(C1263="","",Order!$L$16)</f>
        <v>BRONZE ANODIZED (FAYP03)</v>
      </c>
      <c r="K1263" s="36">
        <f>IF($C1263="","",_xlfn.XLOOKUP($C1263,Order!$C:$C,Order!$P:$P,"",0,1))</f>
        <v>0</v>
      </c>
      <c r="L1263" s="4">
        <f t="shared" si="19"/>
        <v>0</v>
      </c>
    </row>
    <row r="1264" spans="2:12" ht="23.25" hidden="1" customHeight="1" x14ac:dyDescent="0.25">
      <c r="B1264" s="4">
        <v>1259</v>
      </c>
      <c r="C1264" s="36" t="str">
        <f>IF(Order!$C$240="","",Order!$C$240)</f>
        <v>BX016</v>
      </c>
      <c r="D1264" s="36" t="str">
        <f>IF($C1264="","",_xlfn.XLOOKUP($C1264,Order!$C:$C,Order!$D:$D,"",0,1))</f>
        <v>BX016</v>
      </c>
      <c r="E1264" s="4" t="e" vm="424">
        <f>IF($C1264="","",_xlfn.XLOOKUP($C1264,Order!$C:$C,Order!$E:$E,"",0,1))</f>
        <v>#VALUE!</v>
      </c>
      <c r="F1264" s="4">
        <f>IF($C1264="","",_xlfn.XLOOKUP($C1264,Order!$C:$C,Order!$F:$F,"",0,1))</f>
        <v>6000</v>
      </c>
      <c r="G1264" s="4" t="str">
        <f>IF($C1264="","",_xlfn.XLOOKUP($C1264,Order!$C:$C,Order!$G:$G,"",0,1))</f>
        <v>6063T5</v>
      </c>
      <c r="H1264" s="4">
        <f>IF($C1264="","",_xlfn.XLOOKUP($C1264,Order!$C:$C,Order!$H:$H,"",0,1))</f>
        <v>0</v>
      </c>
      <c r="I1264" s="36">
        <f>IF($C1264="","",_xlfn.XLOOKUP($C1264,Order!$C:$C,Order!$L:$L,"",0,1))</f>
        <v>0</v>
      </c>
      <c r="J1264" s="4" t="str">
        <f>IF(C1264="","",Order!$L$16)</f>
        <v>BRONZE ANODIZED (FAYP03)</v>
      </c>
      <c r="K1264" s="36">
        <f>IF($C1264="","",_xlfn.XLOOKUP($C1264,Order!$C:$C,Order!$P:$P,"",0,1))</f>
        <v>0</v>
      </c>
      <c r="L1264" s="4">
        <f t="shared" si="19"/>
        <v>0</v>
      </c>
    </row>
    <row r="1265" spans="2:12" ht="23.25" hidden="1" customHeight="1" x14ac:dyDescent="0.25">
      <c r="B1265" s="4">
        <v>1260</v>
      </c>
      <c r="C1265" s="36" t="str">
        <f>IF(Order!$C$241="","",Order!$C$241)</f>
        <v>MT0079 (Infeiror de engenharia 10 mm)</v>
      </c>
      <c r="D1265" s="36" t="str">
        <f>IF($C1265="","",_xlfn.XLOOKUP($C1265,Order!$C:$C,Order!$D:$D,"",0,1))</f>
        <v>MT0079</v>
      </c>
      <c r="E1265" s="4" t="e" vm="425">
        <f>IF($C1265="","",_xlfn.XLOOKUP($C1265,Order!$C:$C,Order!$E:$E,"",0,1))</f>
        <v>#VALUE!</v>
      </c>
      <c r="F1265" s="4">
        <f>IF($C1265="","",_xlfn.XLOOKUP($C1265,Order!$C:$C,Order!$F:$F,"",0,1))</f>
        <v>6000</v>
      </c>
      <c r="G1265" s="4" t="str">
        <f>IF($C1265="","",_xlfn.XLOOKUP($C1265,Order!$C:$C,Order!$G:$G,"",0,1))</f>
        <v>6063T5</v>
      </c>
      <c r="H1265" s="4">
        <f>IF($C1265="","",_xlfn.XLOOKUP($C1265,Order!$C:$C,Order!$H:$H,"",0,1))</f>
        <v>0.439</v>
      </c>
      <c r="I1265" s="36">
        <f>IF($C1265="","",_xlfn.XLOOKUP($C1265,Order!$C:$C,Order!$L:$L,"",0,1))</f>
        <v>0</v>
      </c>
      <c r="J1265" s="4" t="str">
        <f>IF(C1265="","",Order!$L$16)</f>
        <v>BRONZE ANODIZED (FAYP03)</v>
      </c>
      <c r="K1265" s="36">
        <f>IF($C1265="","",_xlfn.XLOOKUP($C1265,Order!$C:$C,Order!$P:$P,"",0,1))</f>
        <v>0</v>
      </c>
      <c r="L1265" s="4">
        <f t="shared" si="19"/>
        <v>0</v>
      </c>
    </row>
    <row r="1266" spans="2:12" ht="23.25" hidden="1" customHeight="1" x14ac:dyDescent="0.25">
      <c r="B1266" s="4">
        <v>1261</v>
      </c>
      <c r="C1266" s="36" t="str">
        <f>IF(Order!$C$242="","",Order!$C$242)</f>
        <v>MT0092 (Inferior engenharia de 10mm)</v>
      </c>
      <c r="D1266" s="36" t="str">
        <f>IF($C1266="","",_xlfn.XLOOKUP($C1266,Order!$C:$C,Order!$D:$D,"",0,1))</f>
        <v>MT0092</v>
      </c>
      <c r="E1266" s="4" t="e" vm="426">
        <f>IF($C1266="","",_xlfn.XLOOKUP($C1266,Order!$C:$C,Order!$E:$E,"",0,1))</f>
        <v>#VALUE!</v>
      </c>
      <c r="F1266" s="4">
        <f>IF($C1266="","",_xlfn.XLOOKUP($C1266,Order!$C:$C,Order!$F:$F,"",0,1))</f>
        <v>6000</v>
      </c>
      <c r="G1266" s="4" t="str">
        <f>IF($C1266="","",_xlfn.XLOOKUP($C1266,Order!$C:$C,Order!$G:$G,"",0,1))</f>
        <v>6063T5</v>
      </c>
      <c r="H1266" s="4">
        <f>IF($C1266="","",_xlfn.XLOOKUP($C1266,Order!$C:$C,Order!$H:$H,"",0,1))</f>
        <v>0.39700000000000002</v>
      </c>
      <c r="I1266" s="36">
        <f>IF($C1266="","",_xlfn.XLOOKUP($C1266,Order!$C:$C,Order!$L:$L,"",0,1))</f>
        <v>0</v>
      </c>
      <c r="J1266" s="4" t="str">
        <f>IF(C1266="","",Order!$L$16)</f>
        <v>BRONZE ANODIZED (FAYP03)</v>
      </c>
      <c r="K1266" s="36">
        <f>IF($C1266="","",_xlfn.XLOOKUP($C1266,Order!$C:$C,Order!$P:$P,"",0,1))</f>
        <v>0</v>
      </c>
      <c r="L1266" s="4">
        <f t="shared" si="19"/>
        <v>0</v>
      </c>
    </row>
    <row r="1267" spans="2:12" ht="23.25" hidden="1" customHeight="1" x14ac:dyDescent="0.25">
      <c r="B1267" s="4">
        <v>1262</v>
      </c>
      <c r="C1267" s="36" t="str">
        <f>IF(Order!$C$243="","",Order!$C$243)</f>
        <v>MT0093 (Superior engenharia 10 mm)</v>
      </c>
      <c r="D1267" s="36" t="str">
        <f>IF($C1267="","",_xlfn.XLOOKUP($C1267,Order!$C:$C,Order!$D:$D,"",0,1))</f>
        <v>MT0093</v>
      </c>
      <c r="E1267" s="4" t="e" vm="427">
        <f>IF($C1267="","",_xlfn.XLOOKUP($C1267,Order!$C:$C,Order!$E:$E,"",0,1))</f>
        <v>#VALUE!</v>
      </c>
      <c r="F1267" s="4">
        <f>IF($C1267="","",_xlfn.XLOOKUP($C1267,Order!$C:$C,Order!$F:$F,"",0,1))</f>
        <v>6000</v>
      </c>
      <c r="G1267" s="4" t="str">
        <f>IF($C1267="","",_xlfn.XLOOKUP($C1267,Order!$C:$C,Order!$G:$G,"",0,1))</f>
        <v>6063T5</v>
      </c>
      <c r="H1267" s="4">
        <f>IF($C1267="","",_xlfn.XLOOKUP($C1267,Order!$C:$C,Order!$H:$H,"",0,1))</f>
        <v>0.70499999999999996</v>
      </c>
      <c r="I1267" s="36">
        <f>IF($C1267="","",_xlfn.XLOOKUP($C1267,Order!$C:$C,Order!$L:$L,"",0,1))</f>
        <v>0</v>
      </c>
      <c r="J1267" s="4" t="str">
        <f>IF(C1267="","",Order!$L$16)</f>
        <v>BRONZE ANODIZED (FAYP03)</v>
      </c>
      <c r="K1267" s="36">
        <f>IF($C1267="","",_xlfn.XLOOKUP($C1267,Order!$C:$C,Order!$P:$P,"",0,1))</f>
        <v>0</v>
      </c>
      <c r="L1267" s="4">
        <f t="shared" si="19"/>
        <v>0</v>
      </c>
    </row>
    <row r="1268" spans="2:12" ht="23.25" hidden="1" customHeight="1" x14ac:dyDescent="0.25">
      <c r="B1268" s="4">
        <v>1263</v>
      </c>
      <c r="C1268" s="36" t="str">
        <f>IF(Order!$C$244="","",Order!$C$244)</f>
        <v>MT0094 (Capa engenharia de 10 mm)</v>
      </c>
      <c r="D1268" s="36" t="str">
        <f>IF($C1268="","",_xlfn.XLOOKUP($C1268,Order!$C:$C,Order!$D:$D,"",0,1))</f>
        <v>MT0094</v>
      </c>
      <c r="E1268" s="4" t="e" vm="428">
        <f>IF($C1268="","",_xlfn.XLOOKUP($C1268,Order!$C:$C,Order!$E:$E,"",0,1))</f>
        <v>#VALUE!</v>
      </c>
      <c r="F1268" s="4">
        <f>IF($C1268="","",_xlfn.XLOOKUP($C1268,Order!$C:$C,Order!$F:$F,"",0,1))</f>
        <v>6000</v>
      </c>
      <c r="G1268" s="4" t="str">
        <f>IF($C1268="","",_xlfn.XLOOKUP($C1268,Order!$C:$C,Order!$G:$G,"",0,1))</f>
        <v>6063T5</v>
      </c>
      <c r="H1268" s="4">
        <f>IF($C1268="","",_xlfn.XLOOKUP($C1268,Order!$C:$C,Order!$H:$H,"",0,1))</f>
        <v>0.29399999999999998</v>
      </c>
      <c r="I1268" s="36">
        <f>IF($C1268="","",_xlfn.XLOOKUP($C1268,Order!$C:$C,Order!$L:$L,"",0,1))</f>
        <v>0</v>
      </c>
      <c r="J1268" s="4" t="str">
        <f>IF(C1268="","",Order!$L$16)</f>
        <v>BRONZE ANODIZED (FAYP03)</v>
      </c>
      <c r="K1268" s="36">
        <f>IF($C1268="","",_xlfn.XLOOKUP($C1268,Order!$C:$C,Order!$P:$P,"",0,1))</f>
        <v>0</v>
      </c>
      <c r="L1268" s="4">
        <f t="shared" si="19"/>
        <v>0</v>
      </c>
    </row>
    <row r="1269" spans="2:12" ht="23.25" hidden="1" customHeight="1" x14ac:dyDescent="0.25">
      <c r="B1269" s="4">
        <v>1264</v>
      </c>
      <c r="C1269" s="36" t="str">
        <f>IF(Order!$C$245="","",Order!$C$245)</f>
        <v>MT0095 (BX330-Click Engenharia de 10 mm)</v>
      </c>
      <c r="D1269" s="36" t="str">
        <f>IF($C1269="","",_xlfn.XLOOKUP($C1269,Order!$C:$C,Order!$D:$D,"",0,1))</f>
        <v>MT0095</v>
      </c>
      <c r="E1269" s="4" t="e" vm="429">
        <f>IF($C1269="","",_xlfn.XLOOKUP($C1269,Order!$C:$C,Order!$E:$E,"",0,1))</f>
        <v>#VALUE!</v>
      </c>
      <c r="F1269" s="4">
        <f>IF($C1269="","",_xlfn.XLOOKUP($C1269,Order!$C:$C,Order!$F:$F,"",0,1))</f>
        <v>6000</v>
      </c>
      <c r="G1269" s="4" t="str">
        <f>IF($C1269="","",_xlfn.XLOOKUP($C1269,Order!$C:$C,Order!$G:$G,"",0,1))</f>
        <v>6063T5</v>
      </c>
      <c r="H1269" s="4">
        <f>IF($C1269="","",_xlfn.XLOOKUP($C1269,Order!$C:$C,Order!$H:$H,"",0,1))</f>
        <v>8.6999999999999994E-2</v>
      </c>
      <c r="I1269" s="36">
        <f>IF($C1269="","",_xlfn.XLOOKUP($C1269,Order!$C:$C,Order!$L:$L,"",0,1))</f>
        <v>0</v>
      </c>
      <c r="J1269" s="4" t="str">
        <f>IF(C1269="","",Order!$L$16)</f>
        <v>BRONZE ANODIZED (FAYP03)</v>
      </c>
      <c r="K1269" s="36">
        <f>IF($C1269="","",_xlfn.XLOOKUP($C1269,Order!$C:$C,Order!$P:$P,"",0,1))</f>
        <v>0</v>
      </c>
      <c r="L1269" s="4">
        <f t="shared" si="19"/>
        <v>0</v>
      </c>
    </row>
    <row r="1270" spans="2:12" ht="23.25" hidden="1" customHeight="1" x14ac:dyDescent="0.25">
      <c r="B1270" s="4">
        <v>1265</v>
      </c>
      <c r="C1270" s="36" t="str">
        <f>IF(Order!$C$246="","",Order!$C$246)</f>
        <v>BX054 (Inferior simples 10mm)</v>
      </c>
      <c r="D1270" s="36" t="str">
        <f>IF($C1270="","",_xlfn.XLOOKUP($C1270,Order!$C:$C,Order!$D:$D,"",0,1))</f>
        <v>BX054</v>
      </c>
      <c r="E1270" s="4" t="e" vm="430">
        <f>IF($C1270="","",_xlfn.XLOOKUP($C1270,Order!$C:$C,Order!$E:$E,"",0,1))</f>
        <v>#VALUE!</v>
      </c>
      <c r="F1270" s="4">
        <f>IF($C1270="","",_xlfn.XLOOKUP($C1270,Order!$C:$C,Order!$F:$F,"",0,1))</f>
        <v>6000</v>
      </c>
      <c r="G1270" s="4" t="str">
        <f>IF($C1270="","",_xlfn.XLOOKUP($C1270,Order!$C:$C,Order!$G:$G,"",0,1))</f>
        <v>6063T5</v>
      </c>
      <c r="H1270" s="4">
        <f>IF($C1270="","",_xlfn.XLOOKUP($C1270,Order!$C:$C,Order!$H:$H,"",0,1))</f>
        <v>0.28799999999999998</v>
      </c>
      <c r="I1270" s="36">
        <f>IF($C1270="","",_xlfn.XLOOKUP($C1270,Order!$C:$C,Order!$L:$L,"",0,1))</f>
        <v>0</v>
      </c>
      <c r="J1270" s="4" t="str">
        <f>IF(C1270="","",Order!$L$16)</f>
        <v>BRONZE ANODIZED (FAYP03)</v>
      </c>
      <c r="K1270" s="36">
        <f>IF($C1270="","",_xlfn.XLOOKUP($C1270,Order!$C:$C,Order!$P:$P,"",0,1))</f>
        <v>0</v>
      </c>
      <c r="L1270" s="4">
        <f t="shared" si="19"/>
        <v>0</v>
      </c>
    </row>
    <row r="1271" spans="2:12" ht="23.25" hidden="1" customHeight="1" x14ac:dyDescent="0.25">
      <c r="B1271" s="4">
        <v>1266</v>
      </c>
      <c r="C1271" s="36" t="str">
        <f>IF(Order!$C$247="","",Order!$C$247)</f>
        <v>BX130</v>
      </c>
      <c r="D1271" s="36" t="str">
        <f>IF($C1271="","",_xlfn.XLOOKUP($C1271,Order!$C:$C,Order!$D:$D,"",0,1))</f>
        <v>BX130</v>
      </c>
      <c r="E1271" s="4" t="e" vm="431">
        <f>IF($C1271="","",_xlfn.XLOOKUP($C1271,Order!$C:$C,Order!$E:$E,"",0,1))</f>
        <v>#VALUE!</v>
      </c>
      <c r="F1271" s="4">
        <f>IF($C1271="","",_xlfn.XLOOKUP($C1271,Order!$C:$C,Order!$F:$F,"",0,1))</f>
        <v>6000</v>
      </c>
      <c r="G1271" s="4" t="str">
        <f>IF($C1271="","",_xlfn.XLOOKUP($C1271,Order!$C:$C,Order!$G:$G,"",0,1))</f>
        <v>6063T5</v>
      </c>
      <c r="H1271" s="4">
        <f>IF($C1271="","",_xlfn.XLOOKUP($C1271,Order!$C:$C,Order!$H:$H,"",0,1))</f>
        <v>0.14199999999999999</v>
      </c>
      <c r="I1271" s="36">
        <f>IF($C1271="","",_xlfn.XLOOKUP($C1271,Order!$C:$C,Order!$L:$L,"",0,1))</f>
        <v>0</v>
      </c>
      <c r="J1271" s="4" t="str">
        <f>IF(C1271="","",Order!$L$16)</f>
        <v>BRONZE ANODIZED (FAYP03)</v>
      </c>
      <c r="K1271" s="36">
        <f>IF($C1271="","",_xlfn.XLOOKUP($C1271,Order!$C:$C,Order!$P:$P,"",0,1))</f>
        <v>0</v>
      </c>
      <c r="L1271" s="4">
        <f t="shared" si="19"/>
        <v>0</v>
      </c>
    </row>
    <row r="1272" spans="2:12" ht="23.25" hidden="1" customHeight="1" x14ac:dyDescent="0.25">
      <c r="B1272" s="4">
        <v>1267</v>
      </c>
      <c r="C1272" s="36" t="str">
        <f>IF(Order!$C$248="","",Order!$C$248)</f>
        <v>BX238</v>
      </c>
      <c r="D1272" s="36" t="str">
        <f>IF($C1272="","",_xlfn.XLOOKUP($C1272,Order!$C:$C,Order!$D:$D,"",0,1))</f>
        <v>BX238</v>
      </c>
      <c r="E1272" s="4" t="e" vm="432">
        <f>IF($C1272="","",_xlfn.XLOOKUP($C1272,Order!$C:$C,Order!$E:$E,"",0,1))</f>
        <v>#VALUE!</v>
      </c>
      <c r="F1272" s="4">
        <f>IF($C1272="","",_xlfn.XLOOKUP($C1272,Order!$C:$C,Order!$F:$F,"",0,1))</f>
        <v>6000</v>
      </c>
      <c r="G1272" s="4" t="str">
        <f>IF($C1272="","",_xlfn.XLOOKUP($C1272,Order!$C:$C,Order!$G:$G,"",0,1))</f>
        <v>6063T5</v>
      </c>
      <c r="H1272" s="4">
        <f>IF($C1272="","",_xlfn.XLOOKUP($C1272,Order!$C:$C,Order!$H:$H,"",0,1))</f>
        <v>0.35699999999999998</v>
      </c>
      <c r="I1272" s="36">
        <f>IF($C1272="","",_xlfn.XLOOKUP($C1272,Order!$C:$C,Order!$L:$L,"",0,1))</f>
        <v>0</v>
      </c>
      <c r="J1272" s="4" t="str">
        <f>IF(C1272="","",Order!$L$16)</f>
        <v>BRONZE ANODIZED (FAYP03)</v>
      </c>
      <c r="K1272" s="36">
        <f>IF($C1272="","",_xlfn.XLOOKUP($C1272,Order!$C:$C,Order!$P:$P,"",0,1))</f>
        <v>0</v>
      </c>
      <c r="L1272" s="4">
        <f t="shared" si="19"/>
        <v>0</v>
      </c>
    </row>
    <row r="1273" spans="2:12" ht="23.25" hidden="1" customHeight="1" x14ac:dyDescent="0.25">
      <c r="B1273" s="4">
        <v>1268</v>
      </c>
      <c r="C1273" s="36" t="str">
        <f>IF(Order!$C$249="","",Order!$C$249)</f>
        <v/>
      </c>
      <c r="D1273" s="36" t="str">
        <f>IF($C1273="","",_xlfn.XLOOKUP($C1273,Order!$C:$C,Order!$D:$D,"",0,1))</f>
        <v/>
      </c>
      <c r="E1273" s="4" t="str">
        <f>IF($C1273="","",_xlfn.XLOOKUP($C1273,Order!$C:$C,Order!$E:$E,"",0,1))</f>
        <v/>
      </c>
      <c r="F1273" s="4" t="str">
        <f>IF($C1273="","",_xlfn.XLOOKUP($C1273,Order!$C:$C,Order!$F:$F,"",0,1))</f>
        <v/>
      </c>
      <c r="G1273" s="4" t="str">
        <f>IF($C1273="","",_xlfn.XLOOKUP($C1273,Order!$C:$C,Order!$G:$G,"",0,1))</f>
        <v/>
      </c>
      <c r="H1273" s="4" t="str">
        <f>IF($C1273="","",_xlfn.XLOOKUP($C1273,Order!$C:$C,Order!$H:$H,"",0,1))</f>
        <v/>
      </c>
      <c r="I1273" s="36" t="str">
        <f>IF($C1273="","",_xlfn.XLOOKUP($C1273,Order!$C:$C,Order!$L:$L,"",0,1))</f>
        <v/>
      </c>
      <c r="J1273" s="4" t="str">
        <f>IF(C1273="","",Order!$L$16)</f>
        <v/>
      </c>
      <c r="K1273" s="36" t="str">
        <f>IF($C1273="","",_xlfn.XLOOKUP($C1273,Order!$C:$C,Order!$P:$P,"",0,1))</f>
        <v/>
      </c>
      <c r="L1273" s="4" t="str">
        <f t="shared" si="19"/>
        <v/>
      </c>
    </row>
    <row r="1274" spans="2:12" ht="23.25" hidden="1" customHeight="1" x14ac:dyDescent="0.25">
      <c r="B1274" s="4">
        <v>1269</v>
      </c>
      <c r="C1274" s="36" t="str">
        <f>IF(Order!$C$250="","",Order!$C$250)</f>
        <v>KP062</v>
      </c>
      <c r="D1274" s="36" t="str">
        <f>IF($C1274="","",_xlfn.XLOOKUP($C1274,Order!$C:$C,Order!$D:$D,"",0,1))</f>
        <v>KP062</v>
      </c>
      <c r="E1274" s="4" t="e" vm="433">
        <f>IF($C1274="","",_xlfn.XLOOKUP($C1274,Order!$C:$C,Order!$E:$E,"",0,1))</f>
        <v>#VALUE!</v>
      </c>
      <c r="F1274" s="4">
        <f>IF($C1274="","",_xlfn.XLOOKUP($C1274,Order!$C:$C,Order!$F:$F,"",0,1))</f>
        <v>6000</v>
      </c>
      <c r="G1274" s="4" t="str">
        <f>IF($C1274="","",_xlfn.XLOOKUP($C1274,Order!$C:$C,Order!$G:$G,"",0,1))</f>
        <v>6063T5</v>
      </c>
      <c r="H1274" s="4">
        <f>IF($C1274="","",_xlfn.XLOOKUP($C1274,Order!$C:$C,Order!$H:$H,"",0,1))</f>
        <v>0.17499999999999999</v>
      </c>
      <c r="I1274" s="36">
        <f>IF($C1274="","",_xlfn.XLOOKUP($C1274,Order!$C:$C,Order!$L:$L,"",0,1))</f>
        <v>0</v>
      </c>
      <c r="J1274" s="4" t="str">
        <f>IF(C1274="","",Order!$L$16)</f>
        <v>BRONZE ANODIZED (FAYP03)</v>
      </c>
      <c r="K1274" s="36">
        <f>IF($C1274="","",_xlfn.XLOOKUP($C1274,Order!$C:$C,Order!$P:$P,"",0,1))</f>
        <v>0</v>
      </c>
      <c r="L1274" s="4">
        <f t="shared" si="19"/>
        <v>0</v>
      </c>
    </row>
    <row r="1275" spans="2:12" ht="23.25" hidden="1" customHeight="1" x14ac:dyDescent="0.25">
      <c r="B1275" s="4">
        <v>1270</v>
      </c>
      <c r="C1275" s="36" t="str">
        <f>IF(Order!$C$251="","",Order!$C$251)</f>
        <v>KP063</v>
      </c>
      <c r="D1275" s="36" t="str">
        <f>IF($C1275="","",_xlfn.XLOOKUP($C1275,Order!$C:$C,Order!$D:$D,"",0,1))</f>
        <v>KP063</v>
      </c>
      <c r="E1275" s="4" t="e" vm="434">
        <f>IF($C1275="","",_xlfn.XLOOKUP($C1275,Order!$C:$C,Order!$E:$E,"",0,1))</f>
        <v>#VALUE!</v>
      </c>
      <c r="F1275" s="4">
        <f>IF($C1275="","",_xlfn.XLOOKUP($C1275,Order!$C:$C,Order!$F:$F,"",0,1))</f>
        <v>6000</v>
      </c>
      <c r="G1275" s="4" t="str">
        <f>IF($C1275="","",_xlfn.XLOOKUP($C1275,Order!$C:$C,Order!$G:$G,"",0,1))</f>
        <v>6063T5</v>
      </c>
      <c r="H1275" s="4">
        <f>IF($C1275="","",_xlfn.XLOOKUP($C1275,Order!$C:$C,Order!$H:$H,"",0,1))</f>
        <v>0.30199999999999999</v>
      </c>
      <c r="I1275" s="36">
        <f>IF($C1275="","",_xlfn.XLOOKUP($C1275,Order!$C:$C,Order!$L:$L,"",0,1))</f>
        <v>0</v>
      </c>
      <c r="J1275" s="4" t="str">
        <f>IF(C1275="","",Order!$L$16)</f>
        <v>BRONZE ANODIZED (FAYP03)</v>
      </c>
      <c r="K1275" s="36">
        <f>IF($C1275="","",_xlfn.XLOOKUP($C1275,Order!$C:$C,Order!$P:$P,"",0,1))</f>
        <v>0</v>
      </c>
      <c r="L1275" s="4">
        <f t="shared" si="19"/>
        <v>0</v>
      </c>
    </row>
    <row r="1276" spans="2:12" ht="23.25" hidden="1" customHeight="1" x14ac:dyDescent="0.25">
      <c r="B1276" s="4">
        <v>1271</v>
      </c>
      <c r="C1276" s="36" t="str">
        <f>IF(Order!$C$252="","",Order!$C$252)</f>
        <v>KP064</v>
      </c>
      <c r="D1276" s="36" t="str">
        <f>IF($C1276="","",_xlfn.XLOOKUP($C1276,Order!$C:$C,Order!$D:$D,"",0,1))</f>
        <v>KP064</v>
      </c>
      <c r="E1276" s="4" t="e" vm="435">
        <f>IF($C1276="","",_xlfn.XLOOKUP($C1276,Order!$C:$C,Order!$E:$E,"",0,1))</f>
        <v>#VALUE!</v>
      </c>
      <c r="F1276" s="4">
        <f>IF($C1276="","",_xlfn.XLOOKUP($C1276,Order!$C:$C,Order!$F:$F,"",0,1))</f>
        <v>6000</v>
      </c>
      <c r="G1276" s="4" t="str">
        <f>IF($C1276="","",_xlfn.XLOOKUP($C1276,Order!$C:$C,Order!$G:$G,"",0,1))</f>
        <v>6063T5</v>
      </c>
      <c r="H1276" s="4">
        <f>IF($C1276="","",_xlfn.XLOOKUP($C1276,Order!$C:$C,Order!$H:$H,"",0,1))</f>
        <v>0.308</v>
      </c>
      <c r="I1276" s="36">
        <f>IF($C1276="","",_xlfn.XLOOKUP($C1276,Order!$C:$C,Order!$L:$L,"",0,1))</f>
        <v>0</v>
      </c>
      <c r="J1276" s="4" t="str">
        <f>IF(C1276="","",Order!$L$16)</f>
        <v>BRONZE ANODIZED (FAYP03)</v>
      </c>
      <c r="K1276" s="36">
        <f>IF($C1276="","",_xlfn.XLOOKUP($C1276,Order!$C:$C,Order!$P:$P,"",0,1))</f>
        <v>0</v>
      </c>
      <c r="L1276" s="4">
        <f t="shared" si="19"/>
        <v>0</v>
      </c>
    </row>
    <row r="1277" spans="2:12" ht="23.25" hidden="1" customHeight="1" x14ac:dyDescent="0.25">
      <c r="B1277" s="4">
        <v>1272</v>
      </c>
      <c r="C1277" s="36" t="str">
        <f>IF(Order!$C$253="","",Order!$C$253)</f>
        <v>DS004</v>
      </c>
      <c r="D1277" s="36" t="str">
        <f>IF($C1277="","",_xlfn.XLOOKUP($C1277,Order!$C:$C,Order!$D:$D,"",0,1))</f>
        <v>DS004</v>
      </c>
      <c r="E1277" s="4" t="e" vm="436">
        <f>IF($C1277="","",_xlfn.XLOOKUP($C1277,Order!$C:$C,Order!$E:$E,"",0,1))</f>
        <v>#VALUE!</v>
      </c>
      <c r="F1277" s="4">
        <f>IF($C1277="","",_xlfn.XLOOKUP($C1277,Order!$C:$C,Order!$F:$F,"",0,1))</f>
        <v>6000</v>
      </c>
      <c r="G1277" s="4" t="str">
        <f>IF($C1277="","",_xlfn.XLOOKUP($C1277,Order!$C:$C,Order!$G:$G,"",0,1))</f>
        <v>6063T5</v>
      </c>
      <c r="H1277" s="4">
        <f>IF($C1277="","",_xlfn.XLOOKUP($C1277,Order!$C:$C,Order!$H:$H,"",0,1))</f>
        <v>0.33200000000000002</v>
      </c>
      <c r="I1277" s="36">
        <f>IF($C1277="","",_xlfn.XLOOKUP($C1277,Order!$C:$C,Order!$L:$L,"",0,1))</f>
        <v>0</v>
      </c>
      <c r="J1277" s="4" t="str">
        <f>IF(C1277="","",Order!$L$16)</f>
        <v>BRONZE ANODIZED (FAYP03)</v>
      </c>
      <c r="K1277" s="36">
        <f>IF($C1277="","",_xlfn.XLOOKUP($C1277,Order!$C:$C,Order!$P:$P,"",0,1))</f>
        <v>0</v>
      </c>
      <c r="L1277" s="4">
        <f t="shared" si="19"/>
        <v>0</v>
      </c>
    </row>
    <row r="1278" spans="2:12" ht="23.25" hidden="1" customHeight="1" x14ac:dyDescent="0.25">
      <c r="B1278" s="4">
        <v>1273</v>
      </c>
      <c r="C1278" s="36" t="str">
        <f>IF(Order!$C$254="","",Order!$C$254)</f>
        <v>SU079</v>
      </c>
      <c r="D1278" s="36" t="str">
        <f>IF($C1278="","",_xlfn.XLOOKUP($C1278,Order!$C:$C,Order!$D:$D,"",0,1))</f>
        <v>SU079</v>
      </c>
      <c r="E1278" s="4" t="e" vm="437">
        <f>IF($C1278="","",_xlfn.XLOOKUP($C1278,Order!$C:$C,Order!$E:$E,"",0,1))</f>
        <v>#VALUE!</v>
      </c>
      <c r="F1278" s="4">
        <f>IF($C1278="","",_xlfn.XLOOKUP($C1278,Order!$C:$C,Order!$F:$F,"",0,1))</f>
        <v>6000</v>
      </c>
      <c r="G1278" s="4" t="str">
        <f>IF($C1278="","",_xlfn.XLOOKUP($C1278,Order!$C:$C,Order!$G:$G,"",0,1))</f>
        <v>6063T5</v>
      </c>
      <c r="H1278" s="4">
        <f>IF($C1278="","",_xlfn.XLOOKUP($C1278,Order!$C:$C,Order!$H:$H,"",0,1))</f>
        <v>0.30099999999999999</v>
      </c>
      <c r="I1278" s="36">
        <f>IF($C1278="","",_xlfn.XLOOKUP($C1278,Order!$C:$C,Order!$L:$L,"",0,1))</f>
        <v>0</v>
      </c>
      <c r="J1278" s="4" t="str">
        <f>IF(C1278="","",Order!$L$16)</f>
        <v>BRONZE ANODIZED (FAYP03)</v>
      </c>
      <c r="K1278" s="36">
        <f>IF($C1278="","",_xlfn.XLOOKUP($C1278,Order!$C:$C,Order!$P:$P,"",0,1))</f>
        <v>0</v>
      </c>
      <c r="L1278" s="4">
        <f t="shared" si="19"/>
        <v>0</v>
      </c>
    </row>
    <row r="1279" spans="2:12" ht="23.25" hidden="1" customHeight="1" x14ac:dyDescent="0.25">
      <c r="B1279" s="4">
        <v>1274</v>
      </c>
      <c r="C1279" s="36" t="str">
        <f>IF(Order!$C$255="","",Order!$C$255)</f>
        <v>SU086</v>
      </c>
      <c r="D1279" s="36" t="str">
        <f>IF($C1279="","",_xlfn.XLOOKUP($C1279,Order!$C:$C,Order!$D:$D,"",0,1))</f>
        <v>SU086</v>
      </c>
      <c r="E1279" s="4" t="e" vm="438">
        <f>IF($C1279="","",_xlfn.XLOOKUP($C1279,Order!$C:$C,Order!$E:$E,"",0,1))</f>
        <v>#VALUE!</v>
      </c>
      <c r="F1279" s="4">
        <f>IF($C1279="","",_xlfn.XLOOKUP($C1279,Order!$C:$C,Order!$F:$F,"",0,1))</f>
        <v>6000</v>
      </c>
      <c r="G1279" s="4" t="str">
        <f>IF($C1279="","",_xlfn.XLOOKUP($C1279,Order!$C:$C,Order!$G:$G,"",0,1))</f>
        <v>6063T5</v>
      </c>
      <c r="H1279" s="4">
        <f>IF($C1279="","",_xlfn.XLOOKUP($C1279,Order!$C:$C,Order!$H:$H,"",0,1))</f>
        <v>0.57899999999999996</v>
      </c>
      <c r="I1279" s="36">
        <f>IF($C1279="","",_xlfn.XLOOKUP($C1279,Order!$C:$C,Order!$L:$L,"",0,1))</f>
        <v>0</v>
      </c>
      <c r="J1279" s="4" t="str">
        <f>IF(C1279="","",Order!$L$16)</f>
        <v>BRONZE ANODIZED (FAYP03)</v>
      </c>
      <c r="K1279" s="36">
        <f>IF($C1279="","",_xlfn.XLOOKUP($C1279,Order!$C:$C,Order!$P:$P,"",0,1))</f>
        <v>0</v>
      </c>
      <c r="L1279" s="4">
        <f t="shared" si="19"/>
        <v>0</v>
      </c>
    </row>
    <row r="1280" spans="2:12" ht="23.25" hidden="1" customHeight="1" x14ac:dyDescent="0.25">
      <c r="B1280" s="4">
        <v>1275</v>
      </c>
      <c r="C1280" s="36" t="str">
        <f>IF(Order!$C$256="","",Order!$C$256)</f>
        <v>SU090</v>
      </c>
      <c r="D1280" s="36" t="str">
        <f>IF($C1280="","",_xlfn.XLOOKUP($C1280,Order!$C:$C,Order!$D:$D,"",0,1))</f>
        <v>SU090</v>
      </c>
      <c r="E1280" s="4" t="e" vm="439">
        <f>IF($C1280="","",_xlfn.XLOOKUP($C1280,Order!$C:$C,Order!$E:$E,"",0,1))</f>
        <v>#VALUE!</v>
      </c>
      <c r="F1280" s="4">
        <f>IF($C1280="","",_xlfn.XLOOKUP($C1280,Order!$C:$C,Order!$F:$F,"",0,1))</f>
        <v>6000</v>
      </c>
      <c r="G1280" s="4" t="str">
        <f>IF($C1280="","",_xlfn.XLOOKUP($C1280,Order!$C:$C,Order!$G:$G,"",0,1))</f>
        <v>6063T5</v>
      </c>
      <c r="H1280" s="4">
        <f>IF($C1280="","",_xlfn.XLOOKUP($C1280,Order!$C:$C,Order!$H:$H,"",0,1))</f>
        <v>0.48399999999999999</v>
      </c>
      <c r="I1280" s="36">
        <f>IF($C1280="","",_xlfn.XLOOKUP($C1280,Order!$C:$C,Order!$L:$L,"",0,1))</f>
        <v>0</v>
      </c>
      <c r="J1280" s="4" t="str">
        <f>IF(C1280="","",Order!$L$16)</f>
        <v>BRONZE ANODIZED (FAYP03)</v>
      </c>
      <c r="K1280" s="36">
        <f>IF($C1280="","",_xlfn.XLOOKUP($C1280,Order!$C:$C,Order!$P:$P,"",0,1))</f>
        <v>0</v>
      </c>
      <c r="L1280" s="4">
        <f t="shared" si="19"/>
        <v>0</v>
      </c>
    </row>
    <row r="1281" spans="2:12" ht="23.25" hidden="1" customHeight="1" x14ac:dyDescent="0.25">
      <c r="B1281" s="4">
        <v>1276</v>
      </c>
      <c r="C1281" s="36" t="str">
        <f>IF(Order!$C$257="","",Order!$C$257)</f>
        <v>SU091</v>
      </c>
      <c r="D1281" s="36" t="str">
        <f>IF($C1281="","",_xlfn.XLOOKUP($C1281,Order!$C:$C,Order!$D:$D,"",0,1))</f>
        <v>SU091</v>
      </c>
      <c r="E1281" s="4" t="e" vm="440">
        <f>IF($C1281="","",_xlfn.XLOOKUP($C1281,Order!$C:$C,Order!$E:$E,"",0,1))</f>
        <v>#VALUE!</v>
      </c>
      <c r="F1281" s="4">
        <f>IF($C1281="","",_xlfn.XLOOKUP($C1281,Order!$C:$C,Order!$F:$F,"",0,1))</f>
        <v>6000</v>
      </c>
      <c r="G1281" s="4" t="str">
        <f>IF($C1281="","",_xlfn.XLOOKUP($C1281,Order!$C:$C,Order!$G:$G,"",0,1))</f>
        <v>6063T5</v>
      </c>
      <c r="H1281" s="4">
        <f>IF($C1281="","",_xlfn.XLOOKUP($C1281,Order!$C:$C,Order!$H:$H,"",0,1))</f>
        <v>0.42699999999999999</v>
      </c>
      <c r="I1281" s="36">
        <f>IF($C1281="","",_xlfn.XLOOKUP($C1281,Order!$C:$C,Order!$L:$L,"",0,1))</f>
        <v>0</v>
      </c>
      <c r="J1281" s="4" t="str">
        <f>IF(C1281="","",Order!$L$16)</f>
        <v>BRONZE ANODIZED (FAYP03)</v>
      </c>
      <c r="K1281" s="36">
        <f>IF($C1281="","",_xlfn.XLOOKUP($C1281,Order!$C:$C,Order!$P:$P,"",0,1))</f>
        <v>0</v>
      </c>
      <c r="L1281" s="4">
        <f t="shared" si="19"/>
        <v>0</v>
      </c>
    </row>
    <row r="1282" spans="2:12" ht="23.25" hidden="1" customHeight="1" x14ac:dyDescent="0.25">
      <c r="B1282" s="4">
        <v>1277</v>
      </c>
      <c r="C1282" s="36" t="str">
        <f>IF(Order!$C$258="","",Order!$C$258)</f>
        <v>SU103</v>
      </c>
      <c r="D1282" s="36" t="str">
        <f>IF($C1282="","",_xlfn.XLOOKUP($C1282,Order!$C:$C,Order!$D:$D,"",0,1))</f>
        <v>SU103</v>
      </c>
      <c r="E1282" s="4" t="e" vm="441">
        <f>IF($C1282="","",_xlfn.XLOOKUP($C1282,Order!$C:$C,Order!$E:$E,"",0,1))</f>
        <v>#VALUE!</v>
      </c>
      <c r="F1282" s="4">
        <f>IF($C1282="","",_xlfn.XLOOKUP($C1282,Order!$C:$C,Order!$F:$F,"",0,1))</f>
        <v>6000</v>
      </c>
      <c r="G1282" s="4" t="str">
        <f>IF($C1282="","",_xlfn.XLOOKUP($C1282,Order!$C:$C,Order!$G:$G,"",0,1))</f>
        <v>6063T5</v>
      </c>
      <c r="H1282" s="4">
        <f>IF($C1282="","",_xlfn.XLOOKUP($C1282,Order!$C:$C,Order!$H:$H,"",0,1))</f>
        <v>0.14299999999999999</v>
      </c>
      <c r="I1282" s="36">
        <f>IF($C1282="","",_xlfn.XLOOKUP($C1282,Order!$C:$C,Order!$L:$L,"",0,1))</f>
        <v>0</v>
      </c>
      <c r="J1282" s="4" t="str">
        <f>IF(C1282="","",Order!$L$16)</f>
        <v>BRONZE ANODIZED (FAYP03)</v>
      </c>
      <c r="K1282" s="36">
        <f>IF($C1282="","",_xlfn.XLOOKUP($C1282,Order!$C:$C,Order!$P:$P,"",0,1))</f>
        <v>0</v>
      </c>
      <c r="L1282" s="4">
        <f t="shared" si="19"/>
        <v>0</v>
      </c>
    </row>
    <row r="1283" spans="2:12" ht="23.25" hidden="1" customHeight="1" x14ac:dyDescent="0.25">
      <c r="B1283" s="4">
        <v>1278</v>
      </c>
      <c r="C1283" s="36" t="str">
        <f>IF(Order!$C$259="","",Order!$C$259)</f>
        <v>SU276</v>
      </c>
      <c r="D1283" s="36" t="str">
        <f>IF($C1283="","",_xlfn.XLOOKUP($C1283,Order!$C:$C,Order!$D:$D,"",0,1))</f>
        <v>SU276</v>
      </c>
      <c r="E1283" s="4" t="e" vm="442">
        <f>IF($C1283="","",_xlfn.XLOOKUP($C1283,Order!$C:$C,Order!$E:$E,"",0,1))</f>
        <v>#VALUE!</v>
      </c>
      <c r="F1283" s="4">
        <f>IF($C1283="","",_xlfn.XLOOKUP($C1283,Order!$C:$C,Order!$F:$F,"",0,1))</f>
        <v>6000</v>
      </c>
      <c r="G1283" s="4" t="str">
        <f>IF($C1283="","",_xlfn.XLOOKUP($C1283,Order!$C:$C,Order!$G:$G,"",0,1))</f>
        <v>6063T5</v>
      </c>
      <c r="H1283" s="4">
        <f>IF($C1283="","",_xlfn.XLOOKUP($C1283,Order!$C:$C,Order!$H:$H,"",0,1))</f>
        <v>0.17199999999999999</v>
      </c>
      <c r="I1283" s="36">
        <f>IF($C1283="","",_xlfn.XLOOKUP($C1283,Order!$C:$C,Order!$L:$L,"",0,1))</f>
        <v>0</v>
      </c>
      <c r="J1283" s="4" t="str">
        <f>IF(C1283="","",Order!$L$16)</f>
        <v>BRONZE ANODIZED (FAYP03)</v>
      </c>
      <c r="K1283" s="36">
        <f>IF($C1283="","",_xlfn.XLOOKUP($C1283,Order!$C:$C,Order!$P:$P,"",0,1))</f>
        <v>0</v>
      </c>
      <c r="L1283" s="4">
        <f t="shared" si="19"/>
        <v>0</v>
      </c>
    </row>
    <row r="1284" spans="2:12" ht="23.25" hidden="1" customHeight="1" x14ac:dyDescent="0.25">
      <c r="B1284" s="4">
        <v>1279</v>
      </c>
      <c r="C1284" s="36" t="str">
        <f>IF(Order!$C$260="","",Order!$C$260)</f>
        <v>SU302</v>
      </c>
      <c r="D1284" s="36" t="str">
        <f>IF($C1284="","",_xlfn.XLOOKUP($C1284,Order!$C:$C,Order!$D:$D,"",0,1))</f>
        <v>SU302</v>
      </c>
      <c r="E1284" s="4" t="e" vm="443">
        <f>IF($C1284="","",_xlfn.XLOOKUP($C1284,Order!$C:$C,Order!$E:$E,"",0,1))</f>
        <v>#VALUE!</v>
      </c>
      <c r="F1284" s="4">
        <f>IF($C1284="","",_xlfn.XLOOKUP($C1284,Order!$C:$C,Order!$F:$F,"",0,1))</f>
        <v>6000</v>
      </c>
      <c r="G1284" s="4" t="str">
        <f>IF($C1284="","",_xlfn.XLOOKUP($C1284,Order!$C:$C,Order!$G:$G,"",0,1))</f>
        <v>6063T5</v>
      </c>
      <c r="H1284" s="4">
        <f>IF($C1284="","",_xlfn.XLOOKUP($C1284,Order!$C:$C,Order!$H:$H,"",0,1))</f>
        <v>0.22700000000000001</v>
      </c>
      <c r="I1284" s="36">
        <f>IF($C1284="","",_xlfn.XLOOKUP($C1284,Order!$C:$C,Order!$L:$L,"",0,1))</f>
        <v>0</v>
      </c>
      <c r="J1284" s="4" t="str">
        <f>IF(C1284="","",Order!$L$16)</f>
        <v>BRONZE ANODIZED (FAYP03)</v>
      </c>
      <c r="K1284" s="36">
        <f>IF($C1284="","",_xlfn.XLOOKUP($C1284,Order!$C:$C,Order!$P:$P,"",0,1))</f>
        <v>0</v>
      </c>
      <c r="L1284" s="4">
        <f t="shared" si="19"/>
        <v>0</v>
      </c>
    </row>
    <row r="1285" spans="2:12" ht="23.25" hidden="1" customHeight="1" x14ac:dyDescent="0.25">
      <c r="B1285" s="4">
        <v>1280</v>
      </c>
      <c r="C1285" s="36" t="str">
        <f>IF(Order!$C$261="","",Order!$C$261)</f>
        <v>SU779</v>
      </c>
      <c r="D1285" s="36" t="str">
        <f>IF($C1285="","",_xlfn.XLOOKUP($C1285,Order!$C:$C,Order!$D:$D,"",0,1))</f>
        <v>SU779</v>
      </c>
      <c r="E1285" s="4" t="e" vm="444">
        <f>IF($C1285="","",_xlfn.XLOOKUP($C1285,Order!$C:$C,Order!$E:$E,"",0,1))</f>
        <v>#VALUE!</v>
      </c>
      <c r="F1285" s="4">
        <f>IF($C1285="","",_xlfn.XLOOKUP($C1285,Order!$C:$C,Order!$F:$F,"",0,1))</f>
        <v>6000</v>
      </c>
      <c r="G1285" s="4" t="str">
        <f>IF($C1285="","",_xlfn.XLOOKUP($C1285,Order!$C:$C,Order!$G:$G,"",0,1))</f>
        <v>6063T5</v>
      </c>
      <c r="H1285" s="4">
        <f>IF($C1285="","",_xlfn.XLOOKUP($C1285,Order!$C:$C,Order!$H:$H,"",0,1))</f>
        <v>0.378</v>
      </c>
      <c r="I1285" s="36">
        <f>IF($C1285="","",_xlfn.XLOOKUP($C1285,Order!$C:$C,Order!$L:$L,"",0,1))</f>
        <v>0</v>
      </c>
      <c r="J1285" s="4" t="str">
        <f>IF(C1285="","",Order!$L$16)</f>
        <v>BRONZE ANODIZED (FAYP03)</v>
      </c>
      <c r="K1285" s="36">
        <f>IF($C1285="","",_xlfn.XLOOKUP($C1285,Order!$C:$C,Order!$P:$P,"",0,1))</f>
        <v>0</v>
      </c>
      <c r="L1285" s="4">
        <f t="shared" si="19"/>
        <v>0</v>
      </c>
    </row>
    <row r="1286" spans="2:12" ht="23.25" hidden="1" customHeight="1" x14ac:dyDescent="0.25">
      <c r="B1286" s="4">
        <v>1281</v>
      </c>
      <c r="C1286" s="36" t="str">
        <f>IF(Order!$C$262="","",Order!$C$262)</f>
        <v>SU004</v>
      </c>
      <c r="D1286" s="36" t="str">
        <f>IF($C1286="","",_xlfn.XLOOKUP($C1286,Order!$C:$C,Order!$D:$D,"",0,1))</f>
        <v>SU004</v>
      </c>
      <c r="E1286" s="4" t="e" vm="445">
        <f>IF($C1286="","",_xlfn.XLOOKUP($C1286,Order!$C:$C,Order!$E:$E,"",0,1))</f>
        <v>#VALUE!</v>
      </c>
      <c r="F1286" s="4">
        <f>IF($C1286="","",_xlfn.XLOOKUP($C1286,Order!$C:$C,Order!$F:$F,"",0,1))</f>
        <v>6000</v>
      </c>
      <c r="G1286" s="4" t="str">
        <f>IF($C1286="","",_xlfn.XLOOKUP($C1286,Order!$C:$C,Order!$G:$G,"",0,1))</f>
        <v>6063T5</v>
      </c>
      <c r="H1286" s="4">
        <f>IF($C1286="","",_xlfn.XLOOKUP($C1286,Order!$C:$C,Order!$H:$H,"",0,1))</f>
        <v>0.47799999999999998</v>
      </c>
      <c r="I1286" s="36">
        <f>IF($C1286="","",_xlfn.XLOOKUP($C1286,Order!$C:$C,Order!$L:$L,"",0,1))</f>
        <v>0</v>
      </c>
      <c r="J1286" s="4" t="str">
        <f>IF(C1286="","",Order!$L$16)</f>
        <v>BRONZE ANODIZED (FAYP03)</v>
      </c>
      <c r="K1286" s="36">
        <f>IF($C1286="","",_xlfn.XLOOKUP($C1286,Order!$C:$C,Order!$P:$P,"",0,1))</f>
        <v>0</v>
      </c>
      <c r="L1286" s="4">
        <f t="shared" si="19"/>
        <v>0</v>
      </c>
    </row>
    <row r="1287" spans="2:12" ht="23.25" hidden="1" customHeight="1" x14ac:dyDescent="0.25">
      <c r="B1287" s="4">
        <v>1282</v>
      </c>
      <c r="C1287" s="36" t="str">
        <f>IF(Order!$C$263="","",Order!$C$263)</f>
        <v>SU005</v>
      </c>
      <c r="D1287" s="36" t="str">
        <f>IF($C1287="","",_xlfn.XLOOKUP($C1287,Order!$C:$C,Order!$D:$D,"",0,1))</f>
        <v>SU005</v>
      </c>
      <c r="E1287" s="4" t="e" vm="446">
        <f>IF($C1287="","",_xlfn.XLOOKUP($C1287,Order!$C:$C,Order!$E:$E,"",0,1))</f>
        <v>#VALUE!</v>
      </c>
      <c r="F1287" s="4">
        <f>IF($C1287="","",_xlfn.XLOOKUP($C1287,Order!$C:$C,Order!$F:$F,"",0,1))</f>
        <v>6000</v>
      </c>
      <c r="G1287" s="4" t="str">
        <f>IF($C1287="","",_xlfn.XLOOKUP($C1287,Order!$C:$C,Order!$G:$G,"",0,1))</f>
        <v>6063T5</v>
      </c>
      <c r="H1287" s="4">
        <f>IF($C1287="","",_xlfn.XLOOKUP($C1287,Order!$C:$C,Order!$H:$H,"",0,1))</f>
        <v>1.012</v>
      </c>
      <c r="I1287" s="36">
        <f>IF($C1287="","",_xlfn.XLOOKUP($C1287,Order!$C:$C,Order!$L:$L,"",0,1))</f>
        <v>0</v>
      </c>
      <c r="J1287" s="4" t="str">
        <f>IF(C1287="","",Order!$L$16)</f>
        <v>BRONZE ANODIZED (FAYP03)</v>
      </c>
      <c r="K1287" s="36">
        <f>IF($C1287="","",_xlfn.XLOOKUP($C1287,Order!$C:$C,Order!$P:$P,"",0,1))</f>
        <v>0</v>
      </c>
      <c r="L1287" s="4">
        <f t="shared" ref="L1287:L1350" si="20">IF(C1287="","",F1287/1000*H1287*I1287)</f>
        <v>0</v>
      </c>
    </row>
    <row r="1288" spans="2:12" ht="23.25" hidden="1" customHeight="1" x14ac:dyDescent="0.25">
      <c r="B1288" s="4">
        <v>1283</v>
      </c>
      <c r="C1288" s="36" t="str">
        <f>IF(Order!$C$264="","",Order!$C$264)</f>
        <v>SU006</v>
      </c>
      <c r="D1288" s="36" t="str">
        <f>IF($C1288="","",_xlfn.XLOOKUP($C1288,Order!$C:$C,Order!$D:$D,"",0,1))</f>
        <v>SU006</v>
      </c>
      <c r="E1288" s="4" t="e" vm="447">
        <f>IF($C1288="","",_xlfn.XLOOKUP($C1288,Order!$C:$C,Order!$E:$E,"",0,1))</f>
        <v>#VALUE!</v>
      </c>
      <c r="F1288" s="4">
        <f>IF($C1288="","",_xlfn.XLOOKUP($C1288,Order!$C:$C,Order!$F:$F,"",0,1))</f>
        <v>6000</v>
      </c>
      <c r="G1288" s="4" t="str">
        <f>IF($C1288="","",_xlfn.XLOOKUP($C1288,Order!$C:$C,Order!$G:$G,"",0,1))</f>
        <v>6063T5</v>
      </c>
      <c r="H1288" s="4">
        <f>IF($C1288="","",_xlfn.XLOOKUP($C1288,Order!$C:$C,Order!$H:$H,"",0,1))</f>
        <v>0.98399999999999999</v>
      </c>
      <c r="I1288" s="36">
        <f>IF($C1288="","",_xlfn.XLOOKUP($C1288,Order!$C:$C,Order!$L:$L,"",0,1))</f>
        <v>0</v>
      </c>
      <c r="J1288" s="4" t="str">
        <f>IF(C1288="","",Order!$L$16)</f>
        <v>BRONZE ANODIZED (FAYP03)</v>
      </c>
      <c r="K1288" s="36">
        <f>IF($C1288="","",_xlfn.XLOOKUP($C1288,Order!$C:$C,Order!$P:$P,"",0,1))</f>
        <v>0</v>
      </c>
      <c r="L1288" s="4">
        <f t="shared" si="20"/>
        <v>0</v>
      </c>
    </row>
    <row r="1289" spans="2:12" ht="23.25" hidden="1" customHeight="1" x14ac:dyDescent="0.25">
      <c r="B1289" s="4">
        <v>1284</v>
      </c>
      <c r="C1289" s="36" t="str">
        <f>IF(Order!$C$265="","",Order!$C$265)</f>
        <v>SU007</v>
      </c>
      <c r="D1289" s="36" t="str">
        <f>IF($C1289="","",_xlfn.XLOOKUP($C1289,Order!$C:$C,Order!$D:$D,"",0,1))</f>
        <v>SU007</v>
      </c>
      <c r="E1289" s="4" t="e" vm="448">
        <f>IF($C1289="","",_xlfn.XLOOKUP($C1289,Order!$C:$C,Order!$E:$E,"",0,1))</f>
        <v>#VALUE!</v>
      </c>
      <c r="F1289" s="4">
        <f>IF($C1289="","",_xlfn.XLOOKUP($C1289,Order!$C:$C,Order!$F:$F,"",0,1))</f>
        <v>6000</v>
      </c>
      <c r="G1289" s="4" t="str">
        <f>IF($C1289="","",_xlfn.XLOOKUP($C1289,Order!$C:$C,Order!$G:$G,"",0,1))</f>
        <v>6063T5</v>
      </c>
      <c r="H1289" s="4">
        <f>IF($C1289="","",_xlfn.XLOOKUP($C1289,Order!$C:$C,Order!$H:$H,"",0,1))</f>
        <v>0.38100000000000001</v>
      </c>
      <c r="I1289" s="36">
        <f>IF($C1289="","",_xlfn.XLOOKUP($C1289,Order!$C:$C,Order!$L:$L,"",0,1))</f>
        <v>0</v>
      </c>
      <c r="J1289" s="4" t="str">
        <f>IF(C1289="","",Order!$L$16)</f>
        <v>BRONZE ANODIZED (FAYP03)</v>
      </c>
      <c r="K1289" s="36">
        <f>IF($C1289="","",_xlfn.XLOOKUP($C1289,Order!$C:$C,Order!$P:$P,"",0,1))</f>
        <v>0</v>
      </c>
      <c r="L1289" s="4">
        <f t="shared" si="20"/>
        <v>0</v>
      </c>
    </row>
    <row r="1290" spans="2:12" ht="23.25" hidden="1" customHeight="1" x14ac:dyDescent="0.25">
      <c r="B1290" s="4">
        <v>1285</v>
      </c>
      <c r="C1290" s="36" t="str">
        <f>IF(Order!$C$266="","",Order!$C$266)</f>
        <v>SU009</v>
      </c>
      <c r="D1290" s="36" t="str">
        <f>IF($C1290="","",_xlfn.XLOOKUP($C1290,Order!$C:$C,Order!$D:$D,"",0,1))</f>
        <v>SU009</v>
      </c>
      <c r="E1290" s="4" t="e" vm="449">
        <f>IF($C1290="","",_xlfn.XLOOKUP($C1290,Order!$C:$C,Order!$E:$E,"",0,1))</f>
        <v>#VALUE!</v>
      </c>
      <c r="F1290" s="4">
        <f>IF($C1290="","",_xlfn.XLOOKUP($C1290,Order!$C:$C,Order!$F:$F,"",0,1))</f>
        <v>6000</v>
      </c>
      <c r="G1290" s="4" t="str">
        <f>IF($C1290="","",_xlfn.XLOOKUP($C1290,Order!$C:$C,Order!$G:$G,"",0,1))</f>
        <v>6063T5</v>
      </c>
      <c r="H1290" s="4">
        <f>IF($C1290="","",_xlfn.XLOOKUP($C1290,Order!$C:$C,Order!$H:$H,"",0,1))</f>
        <v>1.0669999999999999</v>
      </c>
      <c r="I1290" s="36">
        <f>IF($C1290="","",_xlfn.XLOOKUP($C1290,Order!$C:$C,Order!$L:$L,"",0,1))</f>
        <v>0</v>
      </c>
      <c r="J1290" s="4" t="str">
        <f>IF(C1290="","",Order!$L$16)</f>
        <v>BRONZE ANODIZED (FAYP03)</v>
      </c>
      <c r="K1290" s="36">
        <f>IF($C1290="","",_xlfn.XLOOKUP($C1290,Order!$C:$C,Order!$P:$P,"",0,1))</f>
        <v>0</v>
      </c>
      <c r="L1290" s="4">
        <f t="shared" si="20"/>
        <v>0</v>
      </c>
    </row>
    <row r="1291" spans="2:12" ht="23.25" hidden="1" customHeight="1" x14ac:dyDescent="0.25">
      <c r="B1291" s="4">
        <v>1286</v>
      </c>
      <c r="C1291" s="36" t="str">
        <f>IF(Order!$C$267="","",Order!$C$267)</f>
        <v>SU010</v>
      </c>
      <c r="D1291" s="36" t="str">
        <f>IF($C1291="","",_xlfn.XLOOKUP($C1291,Order!$C:$C,Order!$D:$D,"",0,1))</f>
        <v>SU010</v>
      </c>
      <c r="E1291" s="4" t="e" vm="450">
        <f>IF($C1291="","",_xlfn.XLOOKUP($C1291,Order!$C:$C,Order!$E:$E,"",0,1))</f>
        <v>#VALUE!</v>
      </c>
      <c r="F1291" s="4">
        <f>IF($C1291="","",_xlfn.XLOOKUP($C1291,Order!$C:$C,Order!$F:$F,"",0,1))</f>
        <v>6000</v>
      </c>
      <c r="G1291" s="4" t="str">
        <f>IF($C1291="","",_xlfn.XLOOKUP($C1291,Order!$C:$C,Order!$G:$G,"",0,1))</f>
        <v>6063T5</v>
      </c>
      <c r="H1291" s="4">
        <f>IF($C1291="","",_xlfn.XLOOKUP($C1291,Order!$C:$C,Order!$H:$H,"",0,1))</f>
        <v>1.0349999999999999</v>
      </c>
      <c r="I1291" s="36">
        <f>IF($C1291="","",_xlfn.XLOOKUP($C1291,Order!$C:$C,Order!$L:$L,"",0,1))</f>
        <v>0</v>
      </c>
      <c r="J1291" s="4" t="str">
        <f>IF(C1291="","",Order!$L$16)</f>
        <v>BRONZE ANODIZED (FAYP03)</v>
      </c>
      <c r="K1291" s="36">
        <f>IF($C1291="","",_xlfn.XLOOKUP($C1291,Order!$C:$C,Order!$P:$P,"",0,1))</f>
        <v>0</v>
      </c>
      <c r="L1291" s="4">
        <f t="shared" si="20"/>
        <v>0</v>
      </c>
    </row>
    <row r="1292" spans="2:12" ht="23.25" hidden="1" customHeight="1" x14ac:dyDescent="0.25">
      <c r="B1292" s="4">
        <v>1287</v>
      </c>
      <c r="C1292" s="36" t="str">
        <f>IF(Order!$C$268="","",Order!$C$268)</f>
        <v>SU011</v>
      </c>
      <c r="D1292" s="36" t="str">
        <f>IF($C1292="","",_xlfn.XLOOKUP($C1292,Order!$C:$C,Order!$D:$D,"",0,1))</f>
        <v>SU011</v>
      </c>
      <c r="E1292" s="4" t="e" vm="451">
        <f>IF($C1292="","",_xlfn.XLOOKUP($C1292,Order!$C:$C,Order!$E:$E,"",0,1))</f>
        <v>#VALUE!</v>
      </c>
      <c r="F1292" s="4">
        <f>IF($C1292="","",_xlfn.XLOOKUP($C1292,Order!$C:$C,Order!$F:$F,"",0,1))</f>
        <v>6000</v>
      </c>
      <c r="G1292" s="4" t="str">
        <f>IF($C1292="","",_xlfn.XLOOKUP($C1292,Order!$C:$C,Order!$G:$G,"",0,1))</f>
        <v>6063T5</v>
      </c>
      <c r="H1292" s="4">
        <f>IF($C1292="","",_xlfn.XLOOKUP($C1292,Order!$C:$C,Order!$H:$H,"",0,1))</f>
        <v>0.97299999999999998</v>
      </c>
      <c r="I1292" s="36">
        <f>IF($C1292="","",_xlfn.XLOOKUP($C1292,Order!$C:$C,Order!$L:$L,"",0,1))</f>
        <v>0</v>
      </c>
      <c r="J1292" s="4" t="str">
        <f>IF(C1292="","",Order!$L$16)</f>
        <v>BRONZE ANODIZED (FAYP03)</v>
      </c>
      <c r="K1292" s="36">
        <f>IF($C1292="","",_xlfn.XLOOKUP($C1292,Order!$C:$C,Order!$P:$P,"",0,1))</f>
        <v>0</v>
      </c>
      <c r="L1292" s="4">
        <f t="shared" si="20"/>
        <v>0</v>
      </c>
    </row>
    <row r="1293" spans="2:12" ht="23.25" hidden="1" customHeight="1" x14ac:dyDescent="0.25">
      <c r="B1293" s="4">
        <v>1288</v>
      </c>
      <c r="C1293" s="36" t="str">
        <f>IF(Order!$C$269="","",Order!$C$269)</f>
        <v>SU012</v>
      </c>
      <c r="D1293" s="36" t="str">
        <f>IF($C1293="","",_xlfn.XLOOKUP($C1293,Order!$C:$C,Order!$D:$D,"",0,1))</f>
        <v>SU012</v>
      </c>
      <c r="E1293" s="4" t="e" vm="452">
        <f>IF($C1293="","",_xlfn.XLOOKUP($C1293,Order!$C:$C,Order!$E:$E,"",0,1))</f>
        <v>#VALUE!</v>
      </c>
      <c r="F1293" s="4">
        <f>IF($C1293="","",_xlfn.XLOOKUP($C1293,Order!$C:$C,Order!$F:$F,"",0,1))</f>
        <v>6000</v>
      </c>
      <c r="G1293" s="4" t="str">
        <f>IF($C1293="","",_xlfn.XLOOKUP($C1293,Order!$C:$C,Order!$G:$G,"",0,1))</f>
        <v>6063T5</v>
      </c>
      <c r="H1293" s="4">
        <f>IF($C1293="","",_xlfn.XLOOKUP($C1293,Order!$C:$C,Order!$H:$H,"",0,1))</f>
        <v>0.47499999999999998</v>
      </c>
      <c r="I1293" s="36">
        <f>IF($C1293="","",_xlfn.XLOOKUP($C1293,Order!$C:$C,Order!$L:$L,"",0,1))</f>
        <v>0</v>
      </c>
      <c r="J1293" s="4" t="str">
        <f>IF(C1293="","",Order!$L$16)</f>
        <v>BRONZE ANODIZED (FAYP03)</v>
      </c>
      <c r="K1293" s="36">
        <f>IF($C1293="","",_xlfn.XLOOKUP($C1293,Order!$C:$C,Order!$P:$P,"",0,1))</f>
        <v>0</v>
      </c>
      <c r="L1293" s="4">
        <f t="shared" si="20"/>
        <v>0</v>
      </c>
    </row>
    <row r="1294" spans="2:12" ht="23.25" hidden="1" customHeight="1" x14ac:dyDescent="0.25">
      <c r="B1294" s="4">
        <v>1289</v>
      </c>
      <c r="C1294" s="36" t="str">
        <f>IF(Order!$C$270="","",Order!$C$270)</f>
        <v>SU121</v>
      </c>
      <c r="D1294" s="36" t="str">
        <f>IF($C1294="","",_xlfn.XLOOKUP($C1294,Order!$C:$C,Order!$D:$D,"",0,1))</f>
        <v>SU121</v>
      </c>
      <c r="E1294" s="4" t="e" vm="453">
        <f>IF($C1294="","",_xlfn.XLOOKUP($C1294,Order!$C:$C,Order!$E:$E,"",0,1))</f>
        <v>#VALUE!</v>
      </c>
      <c r="F1294" s="4">
        <f>IF($C1294="","",_xlfn.XLOOKUP($C1294,Order!$C:$C,Order!$F:$F,"",0,1))</f>
        <v>6000</v>
      </c>
      <c r="G1294" s="4" t="str">
        <f>IF($C1294="","",_xlfn.XLOOKUP($C1294,Order!$C:$C,Order!$G:$G,"",0,1))</f>
        <v>6063T5</v>
      </c>
      <c r="H1294" s="4">
        <f>IF($C1294="","",_xlfn.XLOOKUP($C1294,Order!$C:$C,Order!$H:$H,"",0,1))</f>
        <v>1.423</v>
      </c>
      <c r="I1294" s="36">
        <f>IF($C1294="","",_xlfn.XLOOKUP($C1294,Order!$C:$C,Order!$L:$L,"",0,1))</f>
        <v>0</v>
      </c>
      <c r="J1294" s="4" t="str">
        <f>IF(C1294="","",Order!$L$16)</f>
        <v>BRONZE ANODIZED (FAYP03)</v>
      </c>
      <c r="K1294" s="36">
        <f>IF($C1294="","",_xlfn.XLOOKUP($C1294,Order!$C:$C,Order!$P:$P,"",0,1))</f>
        <v>0</v>
      </c>
      <c r="L1294" s="4">
        <f t="shared" si="20"/>
        <v>0</v>
      </c>
    </row>
    <row r="1295" spans="2:12" ht="23.25" hidden="1" customHeight="1" x14ac:dyDescent="0.25">
      <c r="B1295" s="4">
        <v>1290</v>
      </c>
      <c r="C1295" s="36" t="str">
        <f>IF(Order!$C$271="","",Order!$C$271)</f>
        <v>SU122</v>
      </c>
      <c r="D1295" s="36" t="str">
        <f>IF($C1295="","",_xlfn.XLOOKUP($C1295,Order!$C:$C,Order!$D:$D,"",0,1))</f>
        <v>SU122</v>
      </c>
      <c r="E1295" s="4" t="e" vm="454">
        <f>IF($C1295="","",_xlfn.XLOOKUP($C1295,Order!$C:$C,Order!$E:$E,"",0,1))</f>
        <v>#VALUE!</v>
      </c>
      <c r="F1295" s="4">
        <f>IF($C1295="","",_xlfn.XLOOKUP($C1295,Order!$C:$C,Order!$F:$F,"",0,1))</f>
        <v>6000</v>
      </c>
      <c r="G1295" s="4" t="str">
        <f>IF($C1295="","",_xlfn.XLOOKUP($C1295,Order!$C:$C,Order!$G:$G,"",0,1))</f>
        <v>6063T5</v>
      </c>
      <c r="H1295" s="4">
        <f>IF($C1295="","",_xlfn.XLOOKUP($C1295,Order!$C:$C,Order!$H:$H,"",0,1))</f>
        <v>1.46</v>
      </c>
      <c r="I1295" s="36">
        <f>IF($C1295="","",_xlfn.XLOOKUP($C1295,Order!$C:$C,Order!$L:$L,"",0,1))</f>
        <v>0</v>
      </c>
      <c r="J1295" s="4" t="str">
        <f>IF(C1295="","",Order!$L$16)</f>
        <v>BRONZE ANODIZED (FAYP03)</v>
      </c>
      <c r="K1295" s="36">
        <f>IF($C1295="","",_xlfn.XLOOKUP($C1295,Order!$C:$C,Order!$P:$P,"",0,1))</f>
        <v>0</v>
      </c>
      <c r="L1295" s="4">
        <f t="shared" si="20"/>
        <v>0</v>
      </c>
    </row>
    <row r="1296" spans="2:12" ht="23.25" hidden="1" customHeight="1" x14ac:dyDescent="0.25">
      <c r="B1296" s="4">
        <v>1291</v>
      </c>
      <c r="C1296" s="36" t="str">
        <f>IF(Order!$C$272="","",Order!$C$272)</f>
        <v>SU123</v>
      </c>
      <c r="D1296" s="36" t="str">
        <f>IF($C1296="","",_xlfn.XLOOKUP($C1296,Order!$C:$C,Order!$D:$D,"",0,1))</f>
        <v>SU123</v>
      </c>
      <c r="E1296" s="4" t="e" vm="455">
        <f>IF($C1296="","",_xlfn.XLOOKUP($C1296,Order!$C:$C,Order!$E:$E,"",0,1))</f>
        <v>#VALUE!</v>
      </c>
      <c r="F1296" s="4">
        <f>IF($C1296="","",_xlfn.XLOOKUP($C1296,Order!$C:$C,Order!$F:$F,"",0,1))</f>
        <v>6000</v>
      </c>
      <c r="G1296" s="4" t="str">
        <f>IF($C1296="","",_xlfn.XLOOKUP($C1296,Order!$C:$C,Order!$G:$G,"",0,1))</f>
        <v>6063T5</v>
      </c>
      <c r="H1296" s="4">
        <f>IF($C1296="","",_xlfn.XLOOKUP($C1296,Order!$C:$C,Order!$H:$H,"",0,1))</f>
        <v>0.84799999999999998</v>
      </c>
      <c r="I1296" s="36">
        <f>IF($C1296="","",_xlfn.XLOOKUP($C1296,Order!$C:$C,Order!$L:$L,"",0,1))</f>
        <v>0</v>
      </c>
      <c r="J1296" s="4" t="str">
        <f>IF(C1296="","",Order!$L$16)</f>
        <v>BRONZE ANODIZED (FAYP03)</v>
      </c>
      <c r="K1296" s="36">
        <f>IF($C1296="","",_xlfn.XLOOKUP($C1296,Order!$C:$C,Order!$P:$P,"",0,1))</f>
        <v>0</v>
      </c>
      <c r="L1296" s="4">
        <f t="shared" si="20"/>
        <v>0</v>
      </c>
    </row>
    <row r="1297" spans="2:12" ht="23.25" hidden="1" customHeight="1" x14ac:dyDescent="0.25">
      <c r="B1297" s="4">
        <v>1292</v>
      </c>
      <c r="C1297" s="36" t="str">
        <f>IF(Order!$C$273="","",Order!$C$273)</f>
        <v>SU230</v>
      </c>
      <c r="D1297" s="36" t="str">
        <f>IF($C1297="","",_xlfn.XLOOKUP($C1297,Order!$C:$C,Order!$D:$D,"",0,1))</f>
        <v>SU230</v>
      </c>
      <c r="E1297" s="4" t="e" vm="456">
        <f>IF($C1297="","",_xlfn.XLOOKUP($C1297,Order!$C:$C,Order!$E:$E,"",0,1))</f>
        <v>#VALUE!</v>
      </c>
      <c r="F1297" s="4">
        <f>IF($C1297="","",_xlfn.XLOOKUP($C1297,Order!$C:$C,Order!$F:$F,"",0,1))</f>
        <v>6000</v>
      </c>
      <c r="G1297" s="4" t="str">
        <f>IF($C1297="","",_xlfn.XLOOKUP($C1297,Order!$C:$C,Order!$G:$G,"",0,1))</f>
        <v>6063T5</v>
      </c>
      <c r="H1297" s="4">
        <f>IF($C1297="","",_xlfn.XLOOKUP($C1297,Order!$C:$C,Order!$H:$H,"",0,1))</f>
        <v>0.88100000000000001</v>
      </c>
      <c r="I1297" s="36">
        <f>IF($C1297="","",_xlfn.XLOOKUP($C1297,Order!$C:$C,Order!$L:$L,"",0,1))</f>
        <v>0</v>
      </c>
      <c r="J1297" s="4" t="str">
        <f>IF(C1297="","",Order!$L$16)</f>
        <v>BRONZE ANODIZED (FAYP03)</v>
      </c>
      <c r="K1297" s="36">
        <f>IF($C1297="","",_xlfn.XLOOKUP($C1297,Order!$C:$C,Order!$P:$P,"",0,1))</f>
        <v>0</v>
      </c>
      <c r="L1297" s="4">
        <f t="shared" si="20"/>
        <v>0</v>
      </c>
    </row>
    <row r="1298" spans="2:12" ht="23.25" hidden="1" customHeight="1" x14ac:dyDescent="0.25">
      <c r="B1298" s="4">
        <v>1293</v>
      </c>
      <c r="C1298" s="36" t="str">
        <f>IF(Order!$C$274="","",Order!$C$274)</f>
        <v>SU238</v>
      </c>
      <c r="D1298" s="36" t="str">
        <f>IF($C1298="","",_xlfn.XLOOKUP($C1298,Order!$C:$C,Order!$D:$D,"",0,1))</f>
        <v>SU238</v>
      </c>
      <c r="E1298" s="4" t="e" vm="457">
        <f>IF($C1298="","",_xlfn.XLOOKUP($C1298,Order!$C:$C,Order!$E:$E,"",0,1))</f>
        <v>#VALUE!</v>
      </c>
      <c r="F1298" s="4">
        <f>IF($C1298="","",_xlfn.XLOOKUP($C1298,Order!$C:$C,Order!$F:$F,"",0,1))</f>
        <v>6000</v>
      </c>
      <c r="G1298" s="4" t="str">
        <f>IF($C1298="","",_xlfn.XLOOKUP($C1298,Order!$C:$C,Order!$G:$G,"",0,1))</f>
        <v>6063T5</v>
      </c>
      <c r="H1298" s="4">
        <f>IF($C1298="","",_xlfn.XLOOKUP($C1298,Order!$C:$C,Order!$H:$H,"",0,1))</f>
        <v>0.72699999999999998</v>
      </c>
      <c r="I1298" s="36">
        <f>IF($C1298="","",_xlfn.XLOOKUP($C1298,Order!$C:$C,Order!$L:$L,"",0,1))</f>
        <v>0</v>
      </c>
      <c r="J1298" s="4" t="str">
        <f>IF(C1298="","",Order!$L$16)</f>
        <v>BRONZE ANODIZED (FAYP03)</v>
      </c>
      <c r="K1298" s="36">
        <f>IF($C1298="","",_xlfn.XLOOKUP($C1298,Order!$C:$C,Order!$P:$P,"",0,1))</f>
        <v>0</v>
      </c>
      <c r="L1298" s="4">
        <f t="shared" si="20"/>
        <v>0</v>
      </c>
    </row>
    <row r="1299" spans="2:12" ht="23.25" hidden="1" customHeight="1" x14ac:dyDescent="0.25">
      <c r="B1299" s="4">
        <v>1294</v>
      </c>
      <c r="C1299" s="36" t="str">
        <f>IF(Order!$C$275="","",Order!$C$275)</f>
        <v>SU250</v>
      </c>
      <c r="D1299" s="36" t="str">
        <f>IF($C1299="","",_xlfn.XLOOKUP($C1299,Order!$C:$C,Order!$D:$D,"",0,1))</f>
        <v>SU250</v>
      </c>
      <c r="E1299" s="4" t="e" vm="458">
        <f>IF($C1299="","",_xlfn.XLOOKUP($C1299,Order!$C:$C,Order!$E:$E,"",0,1))</f>
        <v>#VALUE!</v>
      </c>
      <c r="F1299" s="4">
        <f>IF($C1299="","",_xlfn.XLOOKUP($C1299,Order!$C:$C,Order!$F:$F,"",0,1))</f>
        <v>6000</v>
      </c>
      <c r="G1299" s="4" t="str">
        <f>IF($C1299="","",_xlfn.XLOOKUP($C1299,Order!$C:$C,Order!$G:$G,"",0,1))</f>
        <v>6063T5</v>
      </c>
      <c r="H1299" s="4">
        <f>IF($C1299="","",_xlfn.XLOOKUP($C1299,Order!$C:$C,Order!$H:$H,"",0,1))</f>
        <v>0.89400000000000002</v>
      </c>
      <c r="I1299" s="36">
        <f>IF($C1299="","",_xlfn.XLOOKUP($C1299,Order!$C:$C,Order!$L:$L,"",0,1))</f>
        <v>0</v>
      </c>
      <c r="J1299" s="4" t="str">
        <f>IF(C1299="","",Order!$L$16)</f>
        <v>BRONZE ANODIZED (FAYP03)</v>
      </c>
      <c r="K1299" s="36">
        <f>IF($C1299="","",_xlfn.XLOOKUP($C1299,Order!$C:$C,Order!$P:$P,"",0,1))</f>
        <v>0</v>
      </c>
      <c r="L1299" s="4">
        <f t="shared" si="20"/>
        <v>0</v>
      </c>
    </row>
    <row r="1300" spans="2:12" ht="23.25" hidden="1" customHeight="1" x14ac:dyDescent="0.25">
      <c r="B1300" s="4">
        <v>1295</v>
      </c>
      <c r="C1300" s="36" t="str">
        <f>IF(Order!$C$276="","",Order!$C$276)</f>
        <v>SU279</v>
      </c>
      <c r="D1300" s="36" t="str">
        <f>IF($C1300="","",_xlfn.XLOOKUP($C1300,Order!$C:$C,Order!$D:$D,"",0,1))</f>
        <v>SU279</v>
      </c>
      <c r="E1300" s="4" t="e" vm="459">
        <f>IF($C1300="","",_xlfn.XLOOKUP($C1300,Order!$C:$C,Order!$E:$E,"",0,1))</f>
        <v>#VALUE!</v>
      </c>
      <c r="F1300" s="4">
        <f>IF($C1300="","",_xlfn.XLOOKUP($C1300,Order!$C:$C,Order!$F:$F,"",0,1))</f>
        <v>6000</v>
      </c>
      <c r="G1300" s="4" t="str">
        <f>IF($C1300="","",_xlfn.XLOOKUP($C1300,Order!$C:$C,Order!$G:$G,"",0,1))</f>
        <v>6063T5</v>
      </c>
      <c r="H1300" s="4">
        <f>IF($C1300="","",_xlfn.XLOOKUP($C1300,Order!$C:$C,Order!$H:$H,"",0,1))</f>
        <v>0.45800000000000002</v>
      </c>
      <c r="I1300" s="36">
        <f>IF($C1300="","",_xlfn.XLOOKUP($C1300,Order!$C:$C,Order!$L:$L,"",0,1))</f>
        <v>0</v>
      </c>
      <c r="J1300" s="4" t="str">
        <f>IF(C1300="","",Order!$L$16)</f>
        <v>BRONZE ANODIZED (FAYP03)</v>
      </c>
      <c r="K1300" s="36">
        <f>IF($C1300="","",_xlfn.XLOOKUP($C1300,Order!$C:$C,Order!$P:$P,"",0,1))</f>
        <v>0</v>
      </c>
      <c r="L1300" s="4">
        <f t="shared" si="20"/>
        <v>0</v>
      </c>
    </row>
    <row r="1301" spans="2:12" ht="23.25" hidden="1" customHeight="1" x14ac:dyDescent="0.25">
      <c r="B1301" s="4">
        <v>1296</v>
      </c>
      <c r="C1301" s="36" t="str">
        <f>IF(Order!$C$277="","",Order!$C$277)</f>
        <v>SU352</v>
      </c>
      <c r="D1301" s="36" t="str">
        <f>IF($C1301="","",_xlfn.XLOOKUP($C1301,Order!$C:$C,Order!$D:$D,"",0,1))</f>
        <v>SU352</v>
      </c>
      <c r="E1301" s="4" t="e" vm="460">
        <f>IF($C1301="","",_xlfn.XLOOKUP($C1301,Order!$C:$C,Order!$E:$E,"",0,1))</f>
        <v>#VALUE!</v>
      </c>
      <c r="F1301" s="4">
        <f>IF($C1301="","",_xlfn.XLOOKUP($C1301,Order!$C:$C,Order!$F:$F,"",0,1))</f>
        <v>6000</v>
      </c>
      <c r="G1301" s="4" t="str">
        <f>IF($C1301="","",_xlfn.XLOOKUP($C1301,Order!$C:$C,Order!$G:$G,"",0,1))</f>
        <v>6063T5</v>
      </c>
      <c r="H1301" s="4">
        <f>IF($C1301="","",_xlfn.XLOOKUP($C1301,Order!$C:$C,Order!$H:$H,"",0,1))</f>
        <v>1.127</v>
      </c>
      <c r="I1301" s="36">
        <f>IF($C1301="","",_xlfn.XLOOKUP($C1301,Order!$C:$C,Order!$L:$L,"",0,1))</f>
        <v>0</v>
      </c>
      <c r="J1301" s="4" t="str">
        <f>IF(C1301="","",Order!$L$16)</f>
        <v>BRONZE ANODIZED (FAYP03)</v>
      </c>
      <c r="K1301" s="36">
        <f>IF($C1301="","",_xlfn.XLOOKUP($C1301,Order!$C:$C,Order!$P:$P,"",0,1))</f>
        <v>0</v>
      </c>
      <c r="L1301" s="4">
        <f t="shared" si="20"/>
        <v>0</v>
      </c>
    </row>
    <row r="1302" spans="2:12" ht="23.25" hidden="1" customHeight="1" x14ac:dyDescent="0.25">
      <c r="B1302" s="4">
        <v>1297</v>
      </c>
      <c r="C1302" s="36" t="str">
        <f>IF(Order!$C$278="","",Order!$C$278)</f>
        <v>FU350</v>
      </c>
      <c r="D1302" s="36" t="str">
        <f>IF($C1302="","",_xlfn.XLOOKUP($C1302,Order!$C:$C,Order!$D:$D,"",0,1))</f>
        <v>FU350</v>
      </c>
      <c r="E1302" s="4" t="e" vm="461">
        <f>IF($C1302="","",_xlfn.XLOOKUP($C1302,Order!$C:$C,Order!$E:$E,"",0,1))</f>
        <v>#VALUE!</v>
      </c>
      <c r="F1302" s="4">
        <f>IF($C1302="","",_xlfn.XLOOKUP($C1302,Order!$C:$C,Order!$F:$F,"",0,1))</f>
        <v>6000</v>
      </c>
      <c r="G1302" s="4" t="str">
        <f>IF($C1302="","",_xlfn.XLOOKUP($C1302,Order!$C:$C,Order!$G:$G,"",0,1))</f>
        <v>6063T5</v>
      </c>
      <c r="H1302" s="4">
        <f>IF($C1302="","",_xlfn.XLOOKUP($C1302,Order!$C:$C,Order!$H:$H,"",0,1))</f>
        <v>0.45400000000000001</v>
      </c>
      <c r="I1302" s="36">
        <f>IF($C1302="","",_xlfn.XLOOKUP($C1302,Order!$C:$C,Order!$L:$L,"",0,1))</f>
        <v>0</v>
      </c>
      <c r="J1302" s="4" t="str">
        <f>IF(C1302="","",Order!$L$16)</f>
        <v>BRONZE ANODIZED (FAYP03)</v>
      </c>
      <c r="K1302" s="36">
        <f>IF($C1302="","",_xlfn.XLOOKUP($C1302,Order!$C:$C,Order!$P:$P,"",0,1))</f>
        <v>0</v>
      </c>
      <c r="L1302" s="4">
        <f t="shared" si="20"/>
        <v>0</v>
      </c>
    </row>
    <row r="1303" spans="2:12" ht="23.25" hidden="1" customHeight="1" x14ac:dyDescent="0.25">
      <c r="B1303" s="4">
        <v>1298</v>
      </c>
      <c r="C1303" s="36" t="str">
        <f>IF(Order!$C$279="","",Order!$C$279)</f>
        <v>FU362</v>
      </c>
      <c r="D1303" s="36" t="str">
        <f>IF($C1303="","",_xlfn.XLOOKUP($C1303,Order!$C:$C,Order!$D:$D,"",0,1))</f>
        <v>FU362</v>
      </c>
      <c r="E1303" s="4" t="e" vm="462">
        <f>IF($C1303="","",_xlfn.XLOOKUP($C1303,Order!$C:$C,Order!$E:$E,"",0,1))</f>
        <v>#VALUE!</v>
      </c>
      <c r="F1303" s="4">
        <f>IF($C1303="","",_xlfn.XLOOKUP($C1303,Order!$C:$C,Order!$F:$F,"",0,1))</f>
        <v>6000</v>
      </c>
      <c r="G1303" s="4" t="str">
        <f>IF($C1303="","",_xlfn.XLOOKUP($C1303,Order!$C:$C,Order!$G:$G,"",0,1))</f>
        <v>6063T5</v>
      </c>
      <c r="H1303" s="4">
        <f>IF($C1303="","",_xlfn.XLOOKUP($C1303,Order!$C:$C,Order!$H:$H,"",0,1))</f>
        <v>0.66800000000000004</v>
      </c>
      <c r="I1303" s="36">
        <f>IF($C1303="","",_xlfn.XLOOKUP($C1303,Order!$C:$C,Order!$L:$L,"",0,1))</f>
        <v>0</v>
      </c>
      <c r="J1303" s="4" t="str">
        <f>IF(C1303="","",Order!$L$16)</f>
        <v>BRONZE ANODIZED (FAYP03)</v>
      </c>
      <c r="K1303" s="36">
        <f>IF($C1303="","",_xlfn.XLOOKUP($C1303,Order!$C:$C,Order!$P:$P,"",0,1))</f>
        <v>0</v>
      </c>
      <c r="L1303" s="4">
        <f t="shared" si="20"/>
        <v>0</v>
      </c>
    </row>
    <row r="1304" spans="2:12" ht="23.25" hidden="1" customHeight="1" x14ac:dyDescent="0.25">
      <c r="B1304" s="4">
        <v>1299</v>
      </c>
      <c r="C1304" s="36" t="str">
        <f>IF(Order!$C$280="","",Order!$C$280)</f>
        <v>FU363</v>
      </c>
      <c r="D1304" s="36" t="str">
        <f>IF($C1304="","",_xlfn.XLOOKUP($C1304,Order!$C:$C,Order!$D:$D,"",0,1))</f>
        <v>FU363</v>
      </c>
      <c r="E1304" s="4" t="e" vm="463">
        <f>IF($C1304="","",_xlfn.XLOOKUP($C1304,Order!$C:$C,Order!$E:$E,"",0,1))</f>
        <v>#VALUE!</v>
      </c>
      <c r="F1304" s="4">
        <f>IF($C1304="","",_xlfn.XLOOKUP($C1304,Order!$C:$C,Order!$F:$F,"",0,1))</f>
        <v>6000</v>
      </c>
      <c r="G1304" s="4" t="str">
        <f>IF($C1304="","",_xlfn.XLOOKUP($C1304,Order!$C:$C,Order!$G:$G,"",0,1))</f>
        <v>6063T5</v>
      </c>
      <c r="H1304" s="4">
        <f>IF($C1304="","",_xlfn.XLOOKUP($C1304,Order!$C:$C,Order!$H:$H,"",0,1))</f>
        <v>0.65300000000000002</v>
      </c>
      <c r="I1304" s="36">
        <f>IF($C1304="","",_xlfn.XLOOKUP($C1304,Order!$C:$C,Order!$L:$L,"",0,1))</f>
        <v>0</v>
      </c>
      <c r="J1304" s="4" t="str">
        <f>IF(C1304="","",Order!$L$16)</f>
        <v>BRONZE ANODIZED (FAYP03)</v>
      </c>
      <c r="K1304" s="36">
        <f>IF($C1304="","",_xlfn.XLOOKUP($C1304,Order!$C:$C,Order!$P:$P,"",0,1))</f>
        <v>0</v>
      </c>
      <c r="L1304" s="4">
        <f t="shared" si="20"/>
        <v>0</v>
      </c>
    </row>
    <row r="1305" spans="2:12" ht="23.25" hidden="1" customHeight="1" x14ac:dyDescent="0.25">
      <c r="B1305" s="4">
        <v>1300</v>
      </c>
      <c r="C1305" s="36" t="str">
        <f>IF(Order!$C$281="","",Order!$C$281)</f>
        <v>FU364</v>
      </c>
      <c r="D1305" s="36" t="str">
        <f>IF($C1305="","",_xlfn.XLOOKUP($C1305,Order!$C:$C,Order!$D:$D,"",0,1))</f>
        <v>FU364</v>
      </c>
      <c r="E1305" s="4" t="e" vm="464">
        <f>IF($C1305="","",_xlfn.XLOOKUP($C1305,Order!$C:$C,Order!$E:$E,"",0,1))</f>
        <v>#VALUE!</v>
      </c>
      <c r="F1305" s="4">
        <f>IF($C1305="","",_xlfn.XLOOKUP($C1305,Order!$C:$C,Order!$F:$F,"",0,1))</f>
        <v>6000</v>
      </c>
      <c r="G1305" s="4" t="str">
        <f>IF($C1305="","",_xlfn.XLOOKUP($C1305,Order!$C:$C,Order!$G:$G,"",0,1))</f>
        <v>6063T5</v>
      </c>
      <c r="H1305" s="4">
        <f>IF($C1305="","",_xlfn.XLOOKUP($C1305,Order!$C:$C,Order!$H:$H,"",0,1))</f>
        <v>0.61</v>
      </c>
      <c r="I1305" s="36">
        <f>IF($C1305="","",_xlfn.XLOOKUP($C1305,Order!$C:$C,Order!$L:$L,"",0,1))</f>
        <v>0</v>
      </c>
      <c r="J1305" s="4" t="str">
        <f>IF(C1305="","",Order!$L$16)</f>
        <v>BRONZE ANODIZED (FAYP03)</v>
      </c>
      <c r="K1305" s="36">
        <f>IF($C1305="","",_xlfn.XLOOKUP($C1305,Order!$C:$C,Order!$P:$P,"",0,1))</f>
        <v>0</v>
      </c>
      <c r="L1305" s="4">
        <f t="shared" si="20"/>
        <v>0</v>
      </c>
    </row>
    <row r="1306" spans="2:12" ht="23.25" hidden="1" customHeight="1" x14ac:dyDescent="0.25">
      <c r="B1306" s="4">
        <v>1301</v>
      </c>
      <c r="C1306" s="36" t="str">
        <f>IF(Order!$C$282="","",Order!$C$282)</f>
        <v>FU899</v>
      </c>
      <c r="D1306" s="36" t="str">
        <f>IF($C1306="","",_xlfn.XLOOKUP($C1306,Order!$C:$C,Order!$D:$D,"",0,1))</f>
        <v>FU899</v>
      </c>
      <c r="E1306" s="4" t="e" vm="465">
        <f>IF($C1306="","",_xlfn.XLOOKUP($C1306,Order!$C:$C,Order!$E:$E,"",0,1))</f>
        <v>#VALUE!</v>
      </c>
      <c r="F1306" s="4">
        <f>IF($C1306="","",_xlfn.XLOOKUP($C1306,Order!$C:$C,Order!$F:$F,"",0,1))</f>
        <v>6000</v>
      </c>
      <c r="G1306" s="4" t="str">
        <f>IF($C1306="","",_xlfn.XLOOKUP($C1306,Order!$C:$C,Order!$G:$G,"",0,1))</f>
        <v>6063T5</v>
      </c>
      <c r="H1306" s="4">
        <f>IF($C1306="","",_xlfn.XLOOKUP($C1306,Order!$C:$C,Order!$H:$H,"",0,1))</f>
        <v>0.52900000000000003</v>
      </c>
      <c r="I1306" s="36">
        <f>IF($C1306="","",_xlfn.XLOOKUP($C1306,Order!$C:$C,Order!$L:$L,"",0,1))</f>
        <v>0</v>
      </c>
      <c r="J1306" s="4" t="str">
        <f>IF(C1306="","",Order!$L$16)</f>
        <v>BRONZE ANODIZED (FAYP03)</v>
      </c>
      <c r="K1306" s="36">
        <f>IF($C1306="","",_xlfn.XLOOKUP($C1306,Order!$C:$C,Order!$P:$P,"",0,1))</f>
        <v>0</v>
      </c>
      <c r="L1306" s="4">
        <f t="shared" si="20"/>
        <v>0</v>
      </c>
    </row>
    <row r="1307" spans="2:12" ht="23.25" hidden="1" customHeight="1" x14ac:dyDescent="0.25">
      <c r="B1307" s="4">
        <v>1302</v>
      </c>
      <c r="C1307" s="36" t="str">
        <f>IF(Order!$C$283="","",Order!$C$283)</f>
        <v>FU900</v>
      </c>
      <c r="D1307" s="36" t="str">
        <f>IF($C1307="","",_xlfn.XLOOKUP($C1307,Order!$C:$C,Order!$D:$D,"",0,1))</f>
        <v>FU900</v>
      </c>
      <c r="E1307" s="4" t="e" vm="466">
        <f>IF($C1307="","",_xlfn.XLOOKUP($C1307,Order!$C:$C,Order!$E:$E,"",0,1))</f>
        <v>#VALUE!</v>
      </c>
      <c r="F1307" s="4">
        <f>IF($C1307="","",_xlfn.XLOOKUP($C1307,Order!$C:$C,Order!$F:$F,"",0,1))</f>
        <v>6000</v>
      </c>
      <c r="G1307" s="4" t="str">
        <f>IF($C1307="","",_xlfn.XLOOKUP($C1307,Order!$C:$C,Order!$G:$G,"",0,1))</f>
        <v>6063T5</v>
      </c>
      <c r="H1307" s="4">
        <f>IF($C1307="","",_xlfn.XLOOKUP($C1307,Order!$C:$C,Order!$H:$H,"",0,1))</f>
        <v>0.48499999999999999</v>
      </c>
      <c r="I1307" s="36">
        <f>IF($C1307="","",_xlfn.XLOOKUP($C1307,Order!$C:$C,Order!$L:$L,"",0,1))</f>
        <v>0</v>
      </c>
      <c r="J1307" s="4" t="str">
        <f>IF(C1307="","",Order!$L$16)</f>
        <v>BRONZE ANODIZED (FAYP03)</v>
      </c>
      <c r="K1307" s="36">
        <f>IF($C1307="","",_xlfn.XLOOKUP($C1307,Order!$C:$C,Order!$P:$P,"",0,1))</f>
        <v>0</v>
      </c>
      <c r="L1307" s="4">
        <f t="shared" si="20"/>
        <v>0</v>
      </c>
    </row>
    <row r="1308" spans="2:12" ht="23.25" hidden="1" customHeight="1" x14ac:dyDescent="0.25">
      <c r="B1308" s="4">
        <v>1303</v>
      </c>
      <c r="C1308" s="36" t="str">
        <f>IF(Order!$C$284="","",Order!$C$284)</f>
        <v>FU901</v>
      </c>
      <c r="D1308" s="36" t="str">
        <f>IF($C1308="","",_xlfn.XLOOKUP($C1308,Order!$C:$C,Order!$D:$D,"",0,1))</f>
        <v>FU901</v>
      </c>
      <c r="E1308" s="4" t="e" vm="467">
        <f>IF($C1308="","",_xlfn.XLOOKUP($C1308,Order!$C:$C,Order!$E:$E,"",0,1))</f>
        <v>#VALUE!</v>
      </c>
      <c r="F1308" s="4">
        <f>IF($C1308="","",_xlfn.XLOOKUP($C1308,Order!$C:$C,Order!$F:$F,"",0,1))</f>
        <v>6000</v>
      </c>
      <c r="G1308" s="4" t="str">
        <f>IF($C1308="","",_xlfn.XLOOKUP($C1308,Order!$C:$C,Order!$G:$G,"",0,1))</f>
        <v>6063T5</v>
      </c>
      <c r="H1308" s="4">
        <f>IF($C1308="","",_xlfn.XLOOKUP($C1308,Order!$C:$C,Order!$H:$H,"",0,1))</f>
        <v>0.54100000000000004</v>
      </c>
      <c r="I1308" s="36">
        <f>IF($C1308="","",_xlfn.XLOOKUP($C1308,Order!$C:$C,Order!$L:$L,"",0,1))</f>
        <v>0</v>
      </c>
      <c r="J1308" s="4" t="str">
        <f>IF(C1308="","",Order!$L$16)</f>
        <v>BRONZE ANODIZED (FAYP03)</v>
      </c>
      <c r="K1308" s="36">
        <f>IF($C1308="","",_xlfn.XLOOKUP($C1308,Order!$C:$C,Order!$P:$P,"",0,1))</f>
        <v>0</v>
      </c>
      <c r="L1308" s="4">
        <f t="shared" si="20"/>
        <v>0</v>
      </c>
    </row>
    <row r="1309" spans="2:12" ht="23.25" hidden="1" customHeight="1" x14ac:dyDescent="0.25">
      <c r="B1309" s="4">
        <v>1304</v>
      </c>
      <c r="C1309" s="36" t="str">
        <f>IF(Order!$C$285="","",Order!$C$285)</f>
        <v>MT0113</v>
      </c>
      <c r="D1309" s="36" t="str">
        <f>IF($C1309="","",_xlfn.XLOOKUP($C1309,Order!$C:$C,Order!$D:$D,"",0,1))</f>
        <v>MT0113</v>
      </c>
      <c r="E1309" s="4" t="e" vm="468">
        <f>IF($C1309="","",_xlfn.XLOOKUP($C1309,Order!$C:$C,Order!$E:$E,"",0,1))</f>
        <v>#VALUE!</v>
      </c>
      <c r="F1309" s="4">
        <f>IF($C1309="","",_xlfn.XLOOKUP($C1309,Order!$C:$C,Order!$F:$F,"",0,1))</f>
        <v>6000</v>
      </c>
      <c r="G1309" s="4" t="str">
        <f>IF($C1309="","",_xlfn.XLOOKUP($C1309,Order!$C:$C,Order!$G:$G,"",0,1))</f>
        <v>6063T5</v>
      </c>
      <c r="H1309" s="4">
        <f>IF($C1309="","",_xlfn.XLOOKUP($C1309,Order!$C:$C,Order!$H:$H,"",0,1))</f>
        <v>0.54400000000000004</v>
      </c>
      <c r="I1309" s="36">
        <f>IF($C1309="","",_xlfn.XLOOKUP($C1309,Order!$C:$C,Order!$L:$L,"",0,1))</f>
        <v>0</v>
      </c>
      <c r="J1309" s="4" t="str">
        <f>IF(C1309="","",Order!$L$16)</f>
        <v>BRONZE ANODIZED (FAYP03)</v>
      </c>
      <c r="K1309" s="36">
        <f>IF($C1309="","",_xlfn.XLOOKUP($C1309,Order!$C:$C,Order!$P:$P,"",0,1))</f>
        <v>0</v>
      </c>
      <c r="L1309" s="4">
        <f t="shared" si="20"/>
        <v>0</v>
      </c>
    </row>
    <row r="1310" spans="2:12" ht="23.25" hidden="1" customHeight="1" x14ac:dyDescent="0.25">
      <c r="B1310" s="4">
        <v>1305</v>
      </c>
      <c r="C1310" s="36" t="str">
        <f>IF(Order!$C$286="","",Order!$C$286)</f>
        <v>MT0117</v>
      </c>
      <c r="D1310" s="36" t="str">
        <f>IF($C1310="","",_xlfn.XLOOKUP($C1310,Order!$C:$C,Order!$D:$D,"",0,1))</f>
        <v>MT0117</v>
      </c>
      <c r="E1310" s="4" t="e" vm="469">
        <f>IF($C1310="","",_xlfn.XLOOKUP($C1310,Order!$C:$C,Order!$E:$E,"",0,1))</f>
        <v>#VALUE!</v>
      </c>
      <c r="F1310" s="4">
        <f>IF($C1310="","",_xlfn.XLOOKUP($C1310,Order!$C:$C,Order!$F:$F,"",0,1))</f>
        <v>6000</v>
      </c>
      <c r="G1310" s="4" t="str">
        <f>IF($C1310="","",_xlfn.XLOOKUP($C1310,Order!$C:$C,Order!$G:$G,"",0,1))</f>
        <v>6063T5</v>
      </c>
      <c r="H1310" s="4">
        <f>IF($C1310="","",_xlfn.XLOOKUP($C1310,Order!$C:$C,Order!$H:$H,"",0,1))</f>
        <v>0.76300000000000001</v>
      </c>
      <c r="I1310" s="36">
        <f>IF($C1310="","",_xlfn.XLOOKUP($C1310,Order!$C:$C,Order!$L:$L,"",0,1))</f>
        <v>0</v>
      </c>
      <c r="J1310" s="4" t="str">
        <f>IF(C1310="","",Order!$L$16)</f>
        <v>BRONZE ANODIZED (FAYP03)</v>
      </c>
      <c r="K1310" s="36">
        <f>IF($C1310="","",_xlfn.XLOOKUP($C1310,Order!$C:$C,Order!$P:$P,"",0,1))</f>
        <v>0</v>
      </c>
      <c r="L1310" s="4">
        <f t="shared" si="20"/>
        <v>0</v>
      </c>
    </row>
    <row r="1311" spans="2:12" ht="23.25" hidden="1" customHeight="1" x14ac:dyDescent="0.25">
      <c r="B1311" s="4">
        <v>1306</v>
      </c>
      <c r="C1311" s="36" t="str">
        <f>IF(Order!$C$287="","",Order!$C$287)</f>
        <v>MT0121</v>
      </c>
      <c r="D1311" s="36" t="str">
        <f>IF($C1311="","",_xlfn.XLOOKUP($C1311,Order!$C:$C,Order!$D:$D,"",0,1))</f>
        <v>MT0121</v>
      </c>
      <c r="E1311" s="4" t="e" vm="470">
        <f>IF($C1311="","",_xlfn.XLOOKUP($C1311,Order!$C:$C,Order!$E:$E,"",0,1))</f>
        <v>#VALUE!</v>
      </c>
      <c r="F1311" s="4">
        <f>IF($C1311="","",_xlfn.XLOOKUP($C1311,Order!$C:$C,Order!$F:$F,"",0,1))</f>
        <v>6000</v>
      </c>
      <c r="G1311" s="4" t="str">
        <f>IF($C1311="","",_xlfn.XLOOKUP($C1311,Order!$C:$C,Order!$G:$G,"",0,1))</f>
        <v>6063T5</v>
      </c>
      <c r="H1311" s="4">
        <f>IF($C1311="","",_xlfn.XLOOKUP($C1311,Order!$C:$C,Order!$H:$H,"",0,1))</f>
        <v>0.91500000000000004</v>
      </c>
      <c r="I1311" s="36">
        <f>IF($C1311="","",_xlfn.XLOOKUP($C1311,Order!$C:$C,Order!$L:$L,"",0,1))</f>
        <v>0</v>
      </c>
      <c r="J1311" s="4" t="str">
        <f>IF(C1311="","",Order!$L$16)</f>
        <v>BRONZE ANODIZED (FAYP03)</v>
      </c>
      <c r="K1311" s="36">
        <f>IF($C1311="","",_xlfn.XLOOKUP($C1311,Order!$C:$C,Order!$P:$P,"",0,1))</f>
        <v>0</v>
      </c>
      <c r="L1311" s="4">
        <f t="shared" si="20"/>
        <v>0</v>
      </c>
    </row>
    <row r="1312" spans="2:12" ht="23.25" hidden="1" customHeight="1" x14ac:dyDescent="0.25">
      <c r="B1312" s="4">
        <v>1307</v>
      </c>
      <c r="C1312" s="36" t="str">
        <f>IF(Order!$C$288="","",Order!$C$288)</f>
        <v>BX823</v>
      </c>
      <c r="D1312" s="36" t="str">
        <f>IF($C1312="","",_xlfn.XLOOKUP($C1312,Order!$C:$C,Order!$D:$D,"",0,1))</f>
        <v>BX823</v>
      </c>
      <c r="E1312" s="4" t="e" vm="471">
        <f>IF($C1312="","",_xlfn.XLOOKUP($C1312,Order!$C:$C,Order!$E:$E,"",0,1))</f>
        <v>#VALUE!</v>
      </c>
      <c r="F1312" s="4">
        <f>IF($C1312="","",_xlfn.XLOOKUP($C1312,Order!$C:$C,Order!$F:$F,"",0,1))</f>
        <v>6000</v>
      </c>
      <c r="G1312" s="4" t="str">
        <f>IF($C1312="","",_xlfn.XLOOKUP($C1312,Order!$C:$C,Order!$G:$G,"",0,1))</f>
        <v>6063T5</v>
      </c>
      <c r="H1312" s="4">
        <f>IF($C1312="","",_xlfn.XLOOKUP($C1312,Order!$C:$C,Order!$H:$H,"",0,1))</f>
        <v>0</v>
      </c>
      <c r="I1312" s="36">
        <f>IF($C1312="","",_xlfn.XLOOKUP($C1312,Order!$C:$C,Order!$L:$L,"",0,1))</f>
        <v>0</v>
      </c>
      <c r="J1312" s="4" t="str">
        <f>IF(C1312="","",Order!$L$16)</f>
        <v>BRONZE ANODIZED (FAYP03)</v>
      </c>
      <c r="K1312" s="36">
        <f>IF($C1312="","",_xlfn.XLOOKUP($C1312,Order!$C:$C,Order!$P:$P,"",0,1))</f>
        <v>0</v>
      </c>
      <c r="L1312" s="4">
        <f t="shared" si="20"/>
        <v>0</v>
      </c>
    </row>
    <row r="1313" spans="2:12" ht="23.25" hidden="1" customHeight="1" x14ac:dyDescent="0.25">
      <c r="B1313" s="4">
        <v>1308</v>
      </c>
      <c r="C1313" s="36" t="str">
        <f>IF(Order!$C$289="","",Order!$C$289)</f>
        <v>BX824</v>
      </c>
      <c r="D1313" s="36" t="str">
        <f>IF($C1313="","",_xlfn.XLOOKUP($C1313,Order!$C:$C,Order!$D:$D,"",0,1))</f>
        <v>BX824</v>
      </c>
      <c r="E1313" s="4" t="e" vm="472">
        <f>IF($C1313="","",_xlfn.XLOOKUP($C1313,Order!$C:$C,Order!$E:$E,"",0,1))</f>
        <v>#VALUE!</v>
      </c>
      <c r="F1313" s="4">
        <f>IF($C1313="","",_xlfn.XLOOKUP($C1313,Order!$C:$C,Order!$F:$F,"",0,1))</f>
        <v>6000</v>
      </c>
      <c r="G1313" s="4" t="str">
        <f>IF($C1313="","",_xlfn.XLOOKUP($C1313,Order!$C:$C,Order!$G:$G,"",0,1))</f>
        <v>6063T5</v>
      </c>
      <c r="H1313" s="4">
        <f>IF($C1313="","",_xlfn.XLOOKUP($C1313,Order!$C:$C,Order!$H:$H,"",0,1))</f>
        <v>0.47299999999999998</v>
      </c>
      <c r="I1313" s="36">
        <f>IF($C1313="","",_xlfn.XLOOKUP($C1313,Order!$C:$C,Order!$L:$L,"",0,1))</f>
        <v>0</v>
      </c>
      <c r="J1313" s="4" t="str">
        <f>IF(C1313="","",Order!$L$16)</f>
        <v>BRONZE ANODIZED (FAYP03)</v>
      </c>
      <c r="K1313" s="36">
        <f>IF($C1313="","",_xlfn.XLOOKUP($C1313,Order!$C:$C,Order!$P:$P,"",0,1))</f>
        <v>0</v>
      </c>
      <c r="L1313" s="4">
        <f t="shared" si="20"/>
        <v>0</v>
      </c>
    </row>
    <row r="1314" spans="2:12" ht="23.25" hidden="1" customHeight="1" x14ac:dyDescent="0.25">
      <c r="B1314" s="4">
        <v>1309</v>
      </c>
      <c r="C1314" s="36" t="str">
        <f>IF(Order!$C$290="","",Order!$C$290)</f>
        <v>BX825</v>
      </c>
      <c r="D1314" s="36" t="str">
        <f>IF($C1314="","",_xlfn.XLOOKUP($C1314,Order!$C:$C,Order!$D:$D,"",0,1))</f>
        <v>BX825</v>
      </c>
      <c r="E1314" s="4" t="e" vm="473">
        <f>IF($C1314="","",_xlfn.XLOOKUP($C1314,Order!$C:$C,Order!$E:$E,"",0,1))</f>
        <v>#VALUE!</v>
      </c>
      <c r="F1314" s="4">
        <f>IF($C1314="","",_xlfn.XLOOKUP($C1314,Order!$C:$C,Order!$F:$F,"",0,1))</f>
        <v>6000</v>
      </c>
      <c r="G1314" s="4" t="str">
        <f>IF($C1314="","",_xlfn.XLOOKUP($C1314,Order!$C:$C,Order!$G:$G,"",0,1))</f>
        <v>6063T5</v>
      </c>
      <c r="H1314" s="4">
        <f>IF($C1314="","",_xlfn.XLOOKUP($C1314,Order!$C:$C,Order!$H:$H,"",0,1))</f>
        <v>0</v>
      </c>
      <c r="I1314" s="36">
        <f>IF($C1314="","",_xlfn.XLOOKUP($C1314,Order!$C:$C,Order!$L:$L,"",0,1))</f>
        <v>0</v>
      </c>
      <c r="J1314" s="4" t="str">
        <f>IF(C1314="","",Order!$L$16)</f>
        <v>BRONZE ANODIZED (FAYP03)</v>
      </c>
      <c r="K1314" s="36">
        <f>IF($C1314="","",_xlfn.XLOOKUP($C1314,Order!$C:$C,Order!$P:$P,"",0,1))</f>
        <v>0</v>
      </c>
      <c r="L1314" s="4">
        <f t="shared" si="20"/>
        <v>0</v>
      </c>
    </row>
    <row r="1315" spans="2:12" ht="23.25" hidden="1" customHeight="1" x14ac:dyDescent="0.25">
      <c r="B1315" s="4">
        <v>1310</v>
      </c>
      <c r="C1315" s="36" t="str">
        <f>IF(Order!$C$291="","",Order!$C$291)</f>
        <v>BX826</v>
      </c>
      <c r="D1315" s="36" t="str">
        <f>IF($C1315="","",_xlfn.XLOOKUP($C1315,Order!$C:$C,Order!$D:$D,"",0,1))</f>
        <v>BX826</v>
      </c>
      <c r="E1315" s="4" t="e" vm="474">
        <f>IF($C1315="","",_xlfn.XLOOKUP($C1315,Order!$C:$C,Order!$E:$E,"",0,1))</f>
        <v>#VALUE!</v>
      </c>
      <c r="F1315" s="4">
        <f>IF($C1315="","",_xlfn.XLOOKUP($C1315,Order!$C:$C,Order!$F:$F,"",0,1))</f>
        <v>6000</v>
      </c>
      <c r="G1315" s="4" t="str">
        <f>IF($C1315="","",_xlfn.XLOOKUP($C1315,Order!$C:$C,Order!$G:$G,"",0,1))</f>
        <v>6063T5</v>
      </c>
      <c r="H1315" s="4">
        <f>IF($C1315="","",_xlfn.XLOOKUP($C1315,Order!$C:$C,Order!$H:$H,"",0,1))</f>
        <v>0.53800000000000003</v>
      </c>
      <c r="I1315" s="36">
        <f>IF($C1315="","",_xlfn.XLOOKUP($C1315,Order!$C:$C,Order!$L:$L,"",0,1))</f>
        <v>0</v>
      </c>
      <c r="J1315" s="4" t="str">
        <f>IF(C1315="","",Order!$L$16)</f>
        <v>BRONZE ANODIZED (FAYP03)</v>
      </c>
      <c r="K1315" s="36">
        <f>IF($C1315="","",_xlfn.XLOOKUP($C1315,Order!$C:$C,Order!$P:$P,"",0,1))</f>
        <v>0</v>
      </c>
      <c r="L1315" s="4">
        <f t="shared" si="20"/>
        <v>0</v>
      </c>
    </row>
    <row r="1316" spans="2:12" ht="23.25" hidden="1" customHeight="1" x14ac:dyDescent="0.25">
      <c r="B1316" s="4">
        <v>1311</v>
      </c>
      <c r="C1316" s="36" t="str">
        <f>IF(Order!$C$292="","",Order!$C$292)</f>
        <v>BX827</v>
      </c>
      <c r="D1316" s="36" t="str">
        <f>IF($C1316="","",_xlfn.XLOOKUP($C1316,Order!$C:$C,Order!$D:$D,"",0,1))</f>
        <v>BX827</v>
      </c>
      <c r="E1316" s="4" t="e" vm="475">
        <f>IF($C1316="","",_xlfn.XLOOKUP($C1316,Order!$C:$C,Order!$E:$E,"",0,1))</f>
        <v>#VALUE!</v>
      </c>
      <c r="F1316" s="4">
        <f>IF($C1316="","",_xlfn.XLOOKUP($C1316,Order!$C:$C,Order!$F:$F,"",0,1))</f>
        <v>6000</v>
      </c>
      <c r="G1316" s="4" t="str">
        <f>IF($C1316="","",_xlfn.XLOOKUP($C1316,Order!$C:$C,Order!$G:$G,"",0,1))</f>
        <v>6063T5</v>
      </c>
      <c r="H1316" s="4">
        <f>IF($C1316="","",_xlfn.XLOOKUP($C1316,Order!$C:$C,Order!$H:$H,"",0,1))</f>
        <v>0</v>
      </c>
      <c r="I1316" s="36">
        <f>IF($C1316="","",_xlfn.XLOOKUP($C1316,Order!$C:$C,Order!$L:$L,"",0,1))</f>
        <v>0</v>
      </c>
      <c r="J1316" s="4" t="str">
        <f>IF(C1316="","",Order!$L$16)</f>
        <v>BRONZE ANODIZED (FAYP03)</v>
      </c>
      <c r="K1316" s="36">
        <f>IF($C1316="","",_xlfn.XLOOKUP($C1316,Order!$C:$C,Order!$P:$P,"",0,1))</f>
        <v>0</v>
      </c>
      <c r="L1316" s="4">
        <f t="shared" si="20"/>
        <v>0</v>
      </c>
    </row>
    <row r="1317" spans="2:12" ht="23.25" hidden="1" customHeight="1" x14ac:dyDescent="0.25">
      <c r="B1317" s="4">
        <v>1312</v>
      </c>
      <c r="C1317" s="36" t="str">
        <f>IF(Order!$C$293="","",Order!$C$293)</f>
        <v>BX1087</v>
      </c>
      <c r="D1317" s="36" t="str">
        <f>IF($C1317="","",_xlfn.XLOOKUP($C1317,Order!$C:$C,Order!$D:$D,"",0,1))</f>
        <v>BX1087</v>
      </c>
      <c r="E1317" s="4" t="e" vm="476">
        <f>IF($C1317="","",_xlfn.XLOOKUP($C1317,Order!$C:$C,Order!$E:$E,"",0,1))</f>
        <v>#VALUE!</v>
      </c>
      <c r="F1317" s="4">
        <f>IF($C1317="","",_xlfn.XLOOKUP($C1317,Order!$C:$C,Order!$F:$F,"",0,1))</f>
        <v>6000</v>
      </c>
      <c r="G1317" s="4" t="str">
        <f>IF($C1317="","",_xlfn.XLOOKUP($C1317,Order!$C:$C,Order!$G:$G,"",0,1))</f>
        <v>6063T5</v>
      </c>
      <c r="H1317" s="4">
        <f>IF($C1317="","",_xlfn.XLOOKUP($C1317,Order!$C:$C,Order!$H:$H,"",0,1))</f>
        <v>0.58399999999999996</v>
      </c>
      <c r="I1317" s="36">
        <f>IF($C1317="","",_xlfn.XLOOKUP($C1317,Order!$C:$C,Order!$L:$L,"",0,1))</f>
        <v>0</v>
      </c>
      <c r="J1317" s="4" t="str">
        <f>IF(C1317="","",Order!$L$16)</f>
        <v>BRONZE ANODIZED (FAYP03)</v>
      </c>
      <c r="K1317" s="36">
        <f>IF($C1317="","",_xlfn.XLOOKUP($C1317,Order!$C:$C,Order!$P:$P,"",0,1))</f>
        <v>0</v>
      </c>
      <c r="L1317" s="4">
        <f t="shared" si="20"/>
        <v>0</v>
      </c>
    </row>
    <row r="1318" spans="2:12" ht="23.25" hidden="1" customHeight="1" x14ac:dyDescent="0.25">
      <c r="B1318" s="4">
        <v>1313</v>
      </c>
      <c r="C1318" s="36" t="str">
        <f>IF(Order!$C$294="","",Order!$C$294)</f>
        <v>ME013</v>
      </c>
      <c r="D1318" s="36" t="str">
        <f>IF($C1318="","",_xlfn.XLOOKUP($C1318,Order!$C:$C,Order!$D:$D,"",0,1))</f>
        <v>ME013</v>
      </c>
      <c r="E1318" s="4" t="e" vm="477">
        <f>IF($C1318="","",_xlfn.XLOOKUP($C1318,Order!$C:$C,Order!$E:$E,"",0,1))</f>
        <v>#VALUE!</v>
      </c>
      <c r="F1318" s="4">
        <f>IF($C1318="","",_xlfn.XLOOKUP($C1318,Order!$C:$C,Order!$F:$F,"",0,1))</f>
        <v>6000</v>
      </c>
      <c r="G1318" s="4" t="str">
        <f>IF($C1318="","",_xlfn.XLOOKUP($C1318,Order!$C:$C,Order!$G:$G,"",0,1))</f>
        <v>6063T5</v>
      </c>
      <c r="H1318" s="4">
        <f>IF($C1318="","",_xlfn.XLOOKUP($C1318,Order!$C:$C,Order!$H:$H,"",0,1))</f>
        <v>0.27600000000000002</v>
      </c>
      <c r="I1318" s="36">
        <f>IF($C1318="","",_xlfn.XLOOKUP($C1318,Order!$C:$C,Order!$L:$L,"",0,1))</f>
        <v>0</v>
      </c>
      <c r="J1318" s="4" t="str">
        <f>IF(C1318="","",Order!$L$16)</f>
        <v>BRONZE ANODIZED (FAYP03)</v>
      </c>
      <c r="K1318" s="36">
        <f>IF($C1318="","",_xlfn.XLOOKUP($C1318,Order!$C:$C,Order!$P:$P,"",0,1))</f>
        <v>0</v>
      </c>
      <c r="L1318" s="4">
        <f t="shared" si="20"/>
        <v>0</v>
      </c>
    </row>
    <row r="1319" spans="2:12" ht="23.25" hidden="1" customHeight="1" x14ac:dyDescent="0.25">
      <c r="B1319" s="4">
        <v>1314</v>
      </c>
      <c r="C1319" s="36" t="str">
        <f>IF(Order!$C$295="","",Order!$C$295)</f>
        <v/>
      </c>
      <c r="D1319" s="36" t="str">
        <f>IF($C1319="","",_xlfn.XLOOKUP($C1319,Order!$C:$C,Order!$D:$D,"",0,1))</f>
        <v/>
      </c>
      <c r="E1319" s="4" t="str">
        <f>IF($C1319="","",_xlfn.XLOOKUP($C1319,Order!$C:$C,Order!$E:$E,"",0,1))</f>
        <v/>
      </c>
      <c r="F1319" s="4" t="str">
        <f>IF($C1319="","",_xlfn.XLOOKUP($C1319,Order!$C:$C,Order!$F:$F,"",0,1))</f>
        <v/>
      </c>
      <c r="G1319" s="4" t="str">
        <f>IF($C1319="","",_xlfn.XLOOKUP($C1319,Order!$C:$C,Order!$G:$G,"",0,1))</f>
        <v/>
      </c>
      <c r="H1319" s="4" t="str">
        <f>IF($C1319="","",_xlfn.XLOOKUP($C1319,Order!$C:$C,Order!$H:$H,"",0,1))</f>
        <v/>
      </c>
      <c r="I1319" s="36" t="str">
        <f>IF($C1319="","",_xlfn.XLOOKUP($C1319,Order!$C:$C,Order!$L:$L,"",0,1))</f>
        <v/>
      </c>
      <c r="J1319" s="4" t="str">
        <f>IF(C1319="","",Order!$L$16)</f>
        <v/>
      </c>
      <c r="K1319" s="36" t="str">
        <f>IF($C1319="","",_xlfn.XLOOKUP($C1319,Order!$C:$C,Order!$P:$P,"",0,1))</f>
        <v/>
      </c>
      <c r="L1319" s="4" t="str">
        <f t="shared" si="20"/>
        <v/>
      </c>
    </row>
    <row r="1320" spans="2:12" ht="23.25" hidden="1" customHeight="1" x14ac:dyDescent="0.25">
      <c r="B1320" s="4">
        <v>1315</v>
      </c>
      <c r="C1320" s="36" t="str">
        <f>IF(Order!$C$296="","",Order!$C$296)</f>
        <v/>
      </c>
      <c r="D1320" s="36" t="str">
        <f>IF($C1320="","",_xlfn.XLOOKUP($C1320,Order!$C:$C,Order!$D:$D,"",0,1))</f>
        <v/>
      </c>
      <c r="E1320" s="4" t="str">
        <f>IF($C1320="","",_xlfn.XLOOKUP($C1320,Order!$C:$C,Order!$E:$E,"",0,1))</f>
        <v/>
      </c>
      <c r="F1320" s="4" t="str">
        <f>IF($C1320="","",_xlfn.XLOOKUP($C1320,Order!$C:$C,Order!$F:$F,"",0,1))</f>
        <v/>
      </c>
      <c r="G1320" s="4" t="str">
        <f>IF($C1320="","",_xlfn.XLOOKUP($C1320,Order!$C:$C,Order!$G:$G,"",0,1))</f>
        <v/>
      </c>
      <c r="H1320" s="4" t="str">
        <f>IF($C1320="","",_xlfn.XLOOKUP($C1320,Order!$C:$C,Order!$H:$H,"",0,1))</f>
        <v/>
      </c>
      <c r="I1320" s="36" t="str">
        <f>IF($C1320="","",_xlfn.XLOOKUP($C1320,Order!$C:$C,Order!$L:$L,"",0,1))</f>
        <v/>
      </c>
      <c r="J1320" s="4" t="str">
        <f>IF(C1320="","",Order!$L$16)</f>
        <v/>
      </c>
      <c r="K1320" s="36" t="str">
        <f>IF($C1320="","",_xlfn.XLOOKUP($C1320,Order!$C:$C,Order!$P:$P,"",0,1))</f>
        <v/>
      </c>
      <c r="L1320" s="4" t="str">
        <f t="shared" si="20"/>
        <v/>
      </c>
    </row>
    <row r="1321" spans="2:12" ht="23.25" hidden="1" customHeight="1" x14ac:dyDescent="0.25">
      <c r="B1321" s="4">
        <v>1316</v>
      </c>
      <c r="C1321" s="36" t="str">
        <f>IF(Order!$C$297="","",Order!$C$297)</f>
        <v/>
      </c>
      <c r="D1321" s="36" t="str">
        <f>IF($C1321="","",_xlfn.XLOOKUP($C1321,Order!$C:$C,Order!$D:$D,"",0,1))</f>
        <v/>
      </c>
      <c r="E1321" s="4" t="str">
        <f>IF($C1321="","",_xlfn.XLOOKUP($C1321,Order!$C:$C,Order!$E:$E,"",0,1))</f>
        <v/>
      </c>
      <c r="F1321" s="4" t="str">
        <f>IF($C1321="","",_xlfn.XLOOKUP($C1321,Order!$C:$C,Order!$F:$F,"",0,1))</f>
        <v/>
      </c>
      <c r="G1321" s="4" t="str">
        <f>IF($C1321="","",_xlfn.XLOOKUP($C1321,Order!$C:$C,Order!$G:$G,"",0,1))</f>
        <v/>
      </c>
      <c r="H1321" s="4" t="str">
        <f>IF($C1321="","",_xlfn.XLOOKUP($C1321,Order!$C:$C,Order!$H:$H,"",0,1))</f>
        <v/>
      </c>
      <c r="I1321" s="36" t="str">
        <f>IF($C1321="","",_xlfn.XLOOKUP($C1321,Order!$C:$C,Order!$L:$L,"",0,1))</f>
        <v/>
      </c>
      <c r="J1321" s="4" t="str">
        <f>IF(C1321="","",Order!$L$16)</f>
        <v/>
      </c>
      <c r="K1321" s="36" t="str">
        <f>IF($C1321="","",_xlfn.XLOOKUP($C1321,Order!$C:$C,Order!$P:$P,"",0,1))</f>
        <v/>
      </c>
      <c r="L1321" s="4" t="str">
        <f t="shared" si="20"/>
        <v/>
      </c>
    </row>
    <row r="1322" spans="2:12" ht="23.25" hidden="1" customHeight="1" x14ac:dyDescent="0.25">
      <c r="B1322" s="4">
        <v>1317</v>
      </c>
      <c r="C1322" s="36" t="str">
        <f>IF(Order!$C$298="","",Order!$C$298)</f>
        <v/>
      </c>
      <c r="D1322" s="36" t="str">
        <f>IF($C1322="","",_xlfn.XLOOKUP($C1322,Order!$C:$C,Order!$D:$D,"",0,1))</f>
        <v/>
      </c>
      <c r="E1322" s="4" t="str">
        <f>IF($C1322="","",_xlfn.XLOOKUP($C1322,Order!$C:$C,Order!$E:$E,"",0,1))</f>
        <v/>
      </c>
      <c r="F1322" s="4" t="str">
        <f>IF($C1322="","",_xlfn.XLOOKUP($C1322,Order!$C:$C,Order!$F:$F,"",0,1))</f>
        <v/>
      </c>
      <c r="G1322" s="4" t="str">
        <f>IF($C1322="","",_xlfn.XLOOKUP($C1322,Order!$C:$C,Order!$G:$G,"",0,1))</f>
        <v/>
      </c>
      <c r="H1322" s="4" t="str">
        <f>IF($C1322="","",_xlfn.XLOOKUP($C1322,Order!$C:$C,Order!$H:$H,"",0,1))</f>
        <v/>
      </c>
      <c r="I1322" s="36" t="str">
        <f>IF($C1322="","",_xlfn.XLOOKUP($C1322,Order!$C:$C,Order!$L:$L,"",0,1))</f>
        <v/>
      </c>
      <c r="J1322" s="4" t="str">
        <f>IF(C1322="","",Order!$L$16)</f>
        <v/>
      </c>
      <c r="K1322" s="36" t="str">
        <f>IF($C1322="","",_xlfn.XLOOKUP($C1322,Order!$C:$C,Order!$P:$P,"",0,1))</f>
        <v/>
      </c>
      <c r="L1322" s="4" t="str">
        <f t="shared" si="20"/>
        <v/>
      </c>
    </row>
    <row r="1323" spans="2:12" ht="23.25" hidden="1" customHeight="1" x14ac:dyDescent="0.25">
      <c r="B1323" s="4">
        <v>1318</v>
      </c>
      <c r="C1323" s="36" t="str">
        <f>IF(Order!$C$299="","",Order!$C$299)</f>
        <v/>
      </c>
      <c r="D1323" s="36" t="str">
        <f>IF($C1323="","",_xlfn.XLOOKUP($C1323,Order!$C:$C,Order!$D:$D,"",0,1))</f>
        <v/>
      </c>
      <c r="E1323" s="4" t="str">
        <f>IF($C1323="","",_xlfn.XLOOKUP($C1323,Order!$C:$C,Order!$E:$E,"",0,1))</f>
        <v/>
      </c>
      <c r="F1323" s="4" t="str">
        <f>IF($C1323="","",_xlfn.XLOOKUP($C1323,Order!$C:$C,Order!$F:$F,"",0,1))</f>
        <v/>
      </c>
      <c r="G1323" s="4" t="str">
        <f>IF($C1323="","",_xlfn.XLOOKUP($C1323,Order!$C:$C,Order!$G:$G,"",0,1))</f>
        <v/>
      </c>
      <c r="H1323" s="4" t="str">
        <f>IF($C1323="","",_xlfn.XLOOKUP($C1323,Order!$C:$C,Order!$H:$H,"",0,1))</f>
        <v/>
      </c>
      <c r="I1323" s="36" t="str">
        <f>IF($C1323="","",_xlfn.XLOOKUP($C1323,Order!$C:$C,Order!$L:$L,"",0,1))</f>
        <v/>
      </c>
      <c r="J1323" s="4" t="str">
        <f>IF(C1323="","",Order!$L$16)</f>
        <v/>
      </c>
      <c r="K1323" s="36" t="str">
        <f>IF($C1323="","",_xlfn.XLOOKUP($C1323,Order!$C:$C,Order!$P:$P,"",0,1))</f>
        <v/>
      </c>
      <c r="L1323" s="4" t="str">
        <f t="shared" si="20"/>
        <v/>
      </c>
    </row>
    <row r="1324" spans="2:12" ht="23.25" hidden="1" customHeight="1" x14ac:dyDescent="0.25">
      <c r="B1324" s="4">
        <v>1319</v>
      </c>
      <c r="C1324" s="36" t="str">
        <f>IF(Order!$C$300="","",Order!$C$300)</f>
        <v/>
      </c>
      <c r="D1324" s="36" t="str">
        <f>IF($C1324="","",_xlfn.XLOOKUP($C1324,Order!$C:$C,Order!$D:$D,"",0,1))</f>
        <v/>
      </c>
      <c r="E1324" s="4" t="str">
        <f>IF($C1324="","",_xlfn.XLOOKUP($C1324,Order!$C:$C,Order!$E:$E,"",0,1))</f>
        <v/>
      </c>
      <c r="F1324" s="4" t="str">
        <f>IF($C1324="","",_xlfn.XLOOKUP($C1324,Order!$C:$C,Order!$F:$F,"",0,1))</f>
        <v/>
      </c>
      <c r="G1324" s="4" t="str">
        <f>IF($C1324="","",_xlfn.XLOOKUP($C1324,Order!$C:$C,Order!$G:$G,"",0,1))</f>
        <v/>
      </c>
      <c r="H1324" s="4" t="str">
        <f>IF($C1324="","",_xlfn.XLOOKUP($C1324,Order!$C:$C,Order!$H:$H,"",0,1))</f>
        <v/>
      </c>
      <c r="I1324" s="36" t="str">
        <f>IF($C1324="","",_xlfn.XLOOKUP($C1324,Order!$C:$C,Order!$L:$L,"",0,1))</f>
        <v/>
      </c>
      <c r="J1324" s="4" t="str">
        <f>IF(C1324="","",Order!$L$16)</f>
        <v/>
      </c>
      <c r="K1324" s="36" t="str">
        <f>IF($C1324="","",_xlfn.XLOOKUP($C1324,Order!$C:$C,Order!$P:$P,"",0,1))</f>
        <v/>
      </c>
      <c r="L1324" s="4" t="str">
        <f t="shared" si="20"/>
        <v/>
      </c>
    </row>
    <row r="1325" spans="2:12" ht="23.25" hidden="1" customHeight="1" x14ac:dyDescent="0.25">
      <c r="B1325" s="4">
        <v>1320</v>
      </c>
      <c r="C1325" s="36" t="str">
        <f>IF(Order!$C$301="","",Order!$C$301)</f>
        <v/>
      </c>
      <c r="D1325" s="36" t="str">
        <f>IF($C1325="","",_xlfn.XLOOKUP($C1325,Order!$C:$C,Order!$D:$D,"",0,1))</f>
        <v/>
      </c>
      <c r="E1325" s="4" t="str">
        <f>IF($C1325="","",_xlfn.XLOOKUP($C1325,Order!$C:$C,Order!$E:$E,"",0,1))</f>
        <v/>
      </c>
      <c r="F1325" s="4" t="str">
        <f>IF($C1325="","",_xlfn.XLOOKUP($C1325,Order!$C:$C,Order!$F:$F,"",0,1))</f>
        <v/>
      </c>
      <c r="G1325" s="4" t="str">
        <f>IF($C1325="","",_xlfn.XLOOKUP($C1325,Order!$C:$C,Order!$G:$G,"",0,1))</f>
        <v/>
      </c>
      <c r="H1325" s="4" t="str">
        <f>IF($C1325="","",_xlfn.XLOOKUP($C1325,Order!$C:$C,Order!$H:$H,"",0,1))</f>
        <v/>
      </c>
      <c r="I1325" s="36" t="str">
        <f>IF($C1325="","",_xlfn.XLOOKUP($C1325,Order!$C:$C,Order!$L:$L,"",0,1))</f>
        <v/>
      </c>
      <c r="J1325" s="4" t="str">
        <f>IF(C1325="","",Order!$L$16)</f>
        <v/>
      </c>
      <c r="K1325" s="36" t="str">
        <f>IF($C1325="","",_xlfn.XLOOKUP($C1325,Order!$C:$C,Order!$P:$P,"",0,1))</f>
        <v/>
      </c>
      <c r="L1325" s="4" t="str">
        <f t="shared" si="20"/>
        <v/>
      </c>
    </row>
    <row r="1326" spans="2:12" ht="23.25" hidden="1" customHeight="1" x14ac:dyDescent="0.25">
      <c r="B1326" s="4">
        <v>1321</v>
      </c>
      <c r="C1326" s="36" t="str">
        <f>IF(Order!$C$302="","",Order!$C$302)</f>
        <v/>
      </c>
      <c r="D1326" s="36" t="str">
        <f>IF($C1326="","",_xlfn.XLOOKUP($C1326,Order!$C:$C,Order!$D:$D,"",0,1))</f>
        <v/>
      </c>
      <c r="E1326" s="4" t="str">
        <f>IF($C1326="","",_xlfn.XLOOKUP($C1326,Order!$C:$C,Order!$E:$E,"",0,1))</f>
        <v/>
      </c>
      <c r="F1326" s="4" t="str">
        <f>IF($C1326="","",_xlfn.XLOOKUP($C1326,Order!$C:$C,Order!$F:$F,"",0,1))</f>
        <v/>
      </c>
      <c r="G1326" s="4" t="str">
        <f>IF($C1326="","",_xlfn.XLOOKUP($C1326,Order!$C:$C,Order!$G:$G,"",0,1))</f>
        <v/>
      </c>
      <c r="H1326" s="4" t="str">
        <f>IF($C1326="","",_xlfn.XLOOKUP($C1326,Order!$C:$C,Order!$H:$H,"",0,1))</f>
        <v/>
      </c>
      <c r="I1326" s="36" t="str">
        <f>IF($C1326="","",_xlfn.XLOOKUP($C1326,Order!$C:$C,Order!$L:$L,"",0,1))</f>
        <v/>
      </c>
      <c r="J1326" s="4" t="str">
        <f>IF(C1326="","",Order!$L$16)</f>
        <v/>
      </c>
      <c r="K1326" s="36" t="str">
        <f>IF($C1326="","",_xlfn.XLOOKUP($C1326,Order!$C:$C,Order!$P:$P,"",0,1))</f>
        <v/>
      </c>
      <c r="L1326" s="4" t="str">
        <f t="shared" si="20"/>
        <v/>
      </c>
    </row>
    <row r="1327" spans="2:12" ht="23.25" hidden="1" customHeight="1" x14ac:dyDescent="0.25">
      <c r="B1327" s="4">
        <v>1322</v>
      </c>
      <c r="C1327" s="36" t="str">
        <f>IF(Order!$C$303="","",Order!$C$303)</f>
        <v/>
      </c>
      <c r="D1327" s="36" t="str">
        <f>IF($C1327="","",_xlfn.XLOOKUP($C1327,Order!$C:$C,Order!$D:$D,"",0,1))</f>
        <v/>
      </c>
      <c r="E1327" s="4" t="str">
        <f>IF($C1327="","",_xlfn.XLOOKUP($C1327,Order!$C:$C,Order!$E:$E,"",0,1))</f>
        <v/>
      </c>
      <c r="F1327" s="4" t="str">
        <f>IF($C1327="","",_xlfn.XLOOKUP($C1327,Order!$C:$C,Order!$F:$F,"",0,1))</f>
        <v/>
      </c>
      <c r="G1327" s="4" t="str">
        <f>IF($C1327="","",_xlfn.XLOOKUP($C1327,Order!$C:$C,Order!$G:$G,"",0,1))</f>
        <v/>
      </c>
      <c r="H1327" s="4" t="str">
        <f>IF($C1327="","",_xlfn.XLOOKUP($C1327,Order!$C:$C,Order!$H:$H,"",0,1))</f>
        <v/>
      </c>
      <c r="I1327" s="36" t="str">
        <f>IF($C1327="","",_xlfn.XLOOKUP($C1327,Order!$C:$C,Order!$L:$L,"",0,1))</f>
        <v/>
      </c>
      <c r="J1327" s="4" t="str">
        <f>IF(C1327="","",Order!$L$16)</f>
        <v/>
      </c>
      <c r="K1327" s="36" t="str">
        <f>IF($C1327="","",_xlfn.XLOOKUP($C1327,Order!$C:$C,Order!$P:$P,"",0,1))</f>
        <v/>
      </c>
      <c r="L1327" s="4" t="str">
        <f t="shared" si="20"/>
        <v/>
      </c>
    </row>
    <row r="1328" spans="2:12" ht="23.25" hidden="1" customHeight="1" x14ac:dyDescent="0.25">
      <c r="B1328" s="4">
        <v>1323</v>
      </c>
      <c r="C1328" s="36" t="str">
        <f>IF(Order!$C$304="","",Order!$C$304)</f>
        <v/>
      </c>
      <c r="D1328" s="36" t="str">
        <f>IF($C1328="","",_xlfn.XLOOKUP($C1328,Order!$C:$C,Order!$D:$D,"",0,1))</f>
        <v/>
      </c>
      <c r="E1328" s="4" t="str">
        <f>IF($C1328="","",_xlfn.XLOOKUP($C1328,Order!$C:$C,Order!$E:$E,"",0,1))</f>
        <v/>
      </c>
      <c r="F1328" s="4" t="str">
        <f>IF($C1328="","",_xlfn.XLOOKUP($C1328,Order!$C:$C,Order!$F:$F,"",0,1))</f>
        <v/>
      </c>
      <c r="G1328" s="4" t="str">
        <f>IF($C1328="","",_xlfn.XLOOKUP($C1328,Order!$C:$C,Order!$G:$G,"",0,1))</f>
        <v/>
      </c>
      <c r="H1328" s="4" t="str">
        <f>IF($C1328="","",_xlfn.XLOOKUP($C1328,Order!$C:$C,Order!$H:$H,"",0,1))</f>
        <v/>
      </c>
      <c r="I1328" s="36" t="str">
        <f>IF($C1328="","",_xlfn.XLOOKUP($C1328,Order!$C:$C,Order!$L:$L,"",0,1))</f>
        <v/>
      </c>
      <c r="J1328" s="4" t="str">
        <f>IF(C1328="","",Order!$L$16)</f>
        <v/>
      </c>
      <c r="K1328" s="36" t="str">
        <f>IF($C1328="","",_xlfn.XLOOKUP($C1328,Order!$C:$C,Order!$P:$P,"",0,1))</f>
        <v/>
      </c>
      <c r="L1328" s="4" t="str">
        <f t="shared" si="20"/>
        <v/>
      </c>
    </row>
    <row r="1329" spans="2:12" ht="23.25" hidden="1" customHeight="1" x14ac:dyDescent="0.25">
      <c r="B1329" s="4">
        <v>1324</v>
      </c>
      <c r="C1329" s="36" t="str">
        <f>IF(Order!$C$305="","",Order!$C$305)</f>
        <v/>
      </c>
      <c r="D1329" s="36" t="str">
        <f>IF($C1329="","",_xlfn.XLOOKUP($C1329,Order!$C:$C,Order!$D:$D,"",0,1))</f>
        <v/>
      </c>
      <c r="E1329" s="4" t="str">
        <f>IF($C1329="","",_xlfn.XLOOKUP($C1329,Order!$C:$C,Order!$E:$E,"",0,1))</f>
        <v/>
      </c>
      <c r="F1329" s="4" t="str">
        <f>IF($C1329="","",_xlfn.XLOOKUP($C1329,Order!$C:$C,Order!$F:$F,"",0,1))</f>
        <v/>
      </c>
      <c r="G1329" s="4" t="str">
        <f>IF($C1329="","",_xlfn.XLOOKUP($C1329,Order!$C:$C,Order!$G:$G,"",0,1))</f>
        <v/>
      </c>
      <c r="H1329" s="4" t="str">
        <f>IF($C1329="","",_xlfn.XLOOKUP($C1329,Order!$C:$C,Order!$H:$H,"",0,1))</f>
        <v/>
      </c>
      <c r="I1329" s="36" t="str">
        <f>IF($C1329="","",_xlfn.XLOOKUP($C1329,Order!$C:$C,Order!$L:$L,"",0,1))</f>
        <v/>
      </c>
      <c r="J1329" s="4" t="str">
        <f>IF(C1329="","",Order!$L$16)</f>
        <v/>
      </c>
      <c r="K1329" s="36" t="str">
        <f>IF($C1329="","",_xlfn.XLOOKUP($C1329,Order!$C:$C,Order!$P:$P,"",0,1))</f>
        <v/>
      </c>
      <c r="L1329" s="4" t="str">
        <f t="shared" si="20"/>
        <v/>
      </c>
    </row>
    <row r="1330" spans="2:12" ht="23.25" hidden="1" customHeight="1" x14ac:dyDescent="0.25">
      <c r="B1330" s="4">
        <v>1325</v>
      </c>
      <c r="C1330" s="36" t="str">
        <f>IF(Order!$C$306="","",Order!$C$306)</f>
        <v>BX662</v>
      </c>
      <c r="D1330" s="36" t="str">
        <f>IF($C1330="","",_xlfn.XLOOKUP($C1330,Order!$C:$C,Order!$D:$D,"",0,1))</f>
        <v>BX662</v>
      </c>
      <c r="E1330" s="4" t="e" vm="478">
        <f>IF($C1330="","",_xlfn.XLOOKUP($C1330,Order!$C:$C,Order!$E:$E,"",0,1))</f>
        <v>#VALUE!</v>
      </c>
      <c r="F1330" s="4">
        <f>IF($C1330="","",_xlfn.XLOOKUP($C1330,Order!$C:$C,Order!$F:$F,"",0,1))</f>
        <v>6000</v>
      </c>
      <c r="G1330" s="4" t="str">
        <f>IF($C1330="","",_xlfn.XLOOKUP($C1330,Order!$C:$C,Order!$G:$G,"",0,1))</f>
        <v>6063T5</v>
      </c>
      <c r="H1330" s="4">
        <f>IF($C1330="","",_xlfn.XLOOKUP($C1330,Order!$C:$C,Order!$H:$H,"",0,1))</f>
        <v>0.96499999999999997</v>
      </c>
      <c r="I1330" s="36">
        <f>IF($C1330="","",_xlfn.XLOOKUP($C1330,Order!$C:$C,Order!$L:$L,"",0,1))</f>
        <v>0</v>
      </c>
      <c r="J1330" s="4" t="str">
        <f>IF(C1330="","",Order!$L$16)</f>
        <v>BRONZE ANODIZED (FAYP03)</v>
      </c>
      <c r="K1330" s="36">
        <f>IF($C1330="","",_xlfn.XLOOKUP($C1330,Order!$C:$C,Order!$P:$P,"",0,1))</f>
        <v>0</v>
      </c>
      <c r="L1330" s="4">
        <f t="shared" si="20"/>
        <v>0</v>
      </c>
    </row>
    <row r="1331" spans="2:12" ht="23.25" hidden="1" customHeight="1" x14ac:dyDescent="0.25">
      <c r="B1331" s="4">
        <v>1326</v>
      </c>
      <c r="C1331" s="36" t="str">
        <f>IF(Order!$C$307="","",Order!$C$307)</f>
        <v>BX663</v>
      </c>
      <c r="D1331" s="36" t="str">
        <f>IF($C1331="","",_xlfn.XLOOKUP($C1331,Order!$C:$C,Order!$D:$D,"",0,1))</f>
        <v>BX663</v>
      </c>
      <c r="E1331" s="4" t="e" vm="479">
        <f>IF($C1331="","",_xlfn.XLOOKUP($C1331,Order!$C:$C,Order!$E:$E,"",0,1))</f>
        <v>#VALUE!</v>
      </c>
      <c r="F1331" s="4">
        <f>IF($C1331="","",_xlfn.XLOOKUP($C1331,Order!$C:$C,Order!$F:$F,"",0,1))</f>
        <v>6000</v>
      </c>
      <c r="G1331" s="4" t="str">
        <f>IF($C1331="","",_xlfn.XLOOKUP($C1331,Order!$C:$C,Order!$G:$G,"",0,1))</f>
        <v>6063T5</v>
      </c>
      <c r="H1331" s="4">
        <f>IF($C1331="","",_xlfn.XLOOKUP($C1331,Order!$C:$C,Order!$H:$H,"",0,1))</f>
        <v>0.58899999999999997</v>
      </c>
      <c r="I1331" s="36">
        <f>IF($C1331="","",_xlfn.XLOOKUP($C1331,Order!$C:$C,Order!$L:$L,"",0,1))</f>
        <v>0</v>
      </c>
      <c r="J1331" s="4" t="str">
        <f>IF(C1331="","",Order!$L$16)</f>
        <v>BRONZE ANODIZED (FAYP03)</v>
      </c>
      <c r="K1331" s="36">
        <f>IF($C1331="","",_xlfn.XLOOKUP($C1331,Order!$C:$C,Order!$P:$P,"",0,1))</f>
        <v>0</v>
      </c>
      <c r="L1331" s="4">
        <f t="shared" si="20"/>
        <v>0</v>
      </c>
    </row>
    <row r="1332" spans="2:12" ht="23.25" hidden="1" customHeight="1" x14ac:dyDescent="0.25">
      <c r="B1332" s="4">
        <v>1327</v>
      </c>
      <c r="C1332" s="36" t="str">
        <f>IF(Order!$C$308="","",Order!$C$308)</f>
        <v>BX664</v>
      </c>
      <c r="D1332" s="36" t="str">
        <f>IF($C1332="","",_xlfn.XLOOKUP($C1332,Order!$C:$C,Order!$D:$D,"",0,1))</f>
        <v>BX664</v>
      </c>
      <c r="E1332" s="4" t="e" vm="480">
        <f>IF($C1332="","",_xlfn.XLOOKUP($C1332,Order!$C:$C,Order!$E:$E,"",0,1))</f>
        <v>#VALUE!</v>
      </c>
      <c r="F1332" s="4">
        <f>IF($C1332="","",_xlfn.XLOOKUP($C1332,Order!$C:$C,Order!$F:$F,"",0,1))</f>
        <v>6000</v>
      </c>
      <c r="G1332" s="4" t="str">
        <f>IF($C1332="","",_xlfn.XLOOKUP($C1332,Order!$C:$C,Order!$G:$G,"",0,1))</f>
        <v>6063T5</v>
      </c>
      <c r="H1332" s="4">
        <f>IF($C1332="","",_xlfn.XLOOKUP($C1332,Order!$C:$C,Order!$H:$H,"",0,1))</f>
        <v>1.244</v>
      </c>
      <c r="I1332" s="36">
        <f>IF($C1332="","",_xlfn.XLOOKUP($C1332,Order!$C:$C,Order!$L:$L,"",0,1))</f>
        <v>0</v>
      </c>
      <c r="J1332" s="4" t="str">
        <f>IF(C1332="","",Order!$L$16)</f>
        <v>BRONZE ANODIZED (FAYP03)</v>
      </c>
      <c r="K1332" s="36">
        <f>IF($C1332="","",_xlfn.XLOOKUP($C1332,Order!$C:$C,Order!$P:$P,"",0,1))</f>
        <v>0</v>
      </c>
      <c r="L1332" s="4">
        <f t="shared" si="20"/>
        <v>0</v>
      </c>
    </row>
    <row r="1333" spans="2:12" ht="23.25" hidden="1" customHeight="1" x14ac:dyDescent="0.25">
      <c r="B1333" s="4">
        <v>1328</v>
      </c>
      <c r="C1333" s="36" t="str">
        <f>IF(Order!$C$309="","",Order!$C$309)</f>
        <v>BX665</v>
      </c>
      <c r="D1333" s="36" t="str">
        <f>IF($C1333="","",_xlfn.XLOOKUP($C1333,Order!$C:$C,Order!$D:$D,"",0,1))</f>
        <v>BX665</v>
      </c>
      <c r="E1333" s="4" t="e" vm="481">
        <f>IF($C1333="","",_xlfn.XLOOKUP($C1333,Order!$C:$C,Order!$E:$E,"",0,1))</f>
        <v>#VALUE!</v>
      </c>
      <c r="F1333" s="4">
        <f>IF($C1333="","",_xlfn.XLOOKUP($C1333,Order!$C:$C,Order!$F:$F,"",0,1))</f>
        <v>6000</v>
      </c>
      <c r="G1333" s="4" t="str">
        <f>IF($C1333="","",_xlfn.XLOOKUP($C1333,Order!$C:$C,Order!$G:$G,"",0,1))</f>
        <v>6063T5</v>
      </c>
      <c r="H1333" s="4">
        <f>IF($C1333="","",_xlfn.XLOOKUP($C1333,Order!$C:$C,Order!$H:$H,"",0,1))</f>
        <v>0.192</v>
      </c>
      <c r="I1333" s="36">
        <f>IF($C1333="","",_xlfn.XLOOKUP($C1333,Order!$C:$C,Order!$L:$L,"",0,1))</f>
        <v>0</v>
      </c>
      <c r="J1333" s="4" t="str">
        <f>IF(C1333="","",Order!$L$16)</f>
        <v>BRONZE ANODIZED (FAYP03)</v>
      </c>
      <c r="K1333" s="36">
        <f>IF($C1333="","",_xlfn.XLOOKUP($C1333,Order!$C:$C,Order!$P:$P,"",0,1))</f>
        <v>0</v>
      </c>
      <c r="L1333" s="4">
        <f t="shared" si="20"/>
        <v>0</v>
      </c>
    </row>
    <row r="1334" spans="2:12" ht="23.25" hidden="1" customHeight="1" x14ac:dyDescent="0.25">
      <c r="B1334" s="4">
        <v>1329</v>
      </c>
      <c r="C1334" s="36" t="str">
        <f>IF(Order!$C$310="","",Order!$C$310)</f>
        <v>BX666</v>
      </c>
      <c r="D1334" s="36" t="str">
        <f>IF($C1334="","",_xlfn.XLOOKUP($C1334,Order!$C:$C,Order!$D:$D,"",0,1))</f>
        <v>BX666</v>
      </c>
      <c r="E1334" s="4" t="e" vm="482">
        <f>IF($C1334="","",_xlfn.XLOOKUP($C1334,Order!$C:$C,Order!$E:$E,"",0,1))</f>
        <v>#VALUE!</v>
      </c>
      <c r="F1334" s="4">
        <f>IF($C1334="","",_xlfn.XLOOKUP($C1334,Order!$C:$C,Order!$F:$F,"",0,1))</f>
        <v>6000</v>
      </c>
      <c r="G1334" s="4" t="str">
        <f>IF($C1334="","",_xlfn.XLOOKUP($C1334,Order!$C:$C,Order!$G:$G,"",0,1))</f>
        <v>6063T5</v>
      </c>
      <c r="H1334" s="4">
        <f>IF($C1334="","",_xlfn.XLOOKUP($C1334,Order!$C:$C,Order!$H:$H,"",0,1))</f>
        <v>0.48799999999999999</v>
      </c>
      <c r="I1334" s="36">
        <f>IF($C1334="","",_xlfn.XLOOKUP($C1334,Order!$C:$C,Order!$L:$L,"",0,1))</f>
        <v>0</v>
      </c>
      <c r="J1334" s="4" t="str">
        <f>IF(C1334="","",Order!$L$16)</f>
        <v>BRONZE ANODIZED (FAYP03)</v>
      </c>
      <c r="K1334" s="36">
        <f>IF($C1334="","",_xlfn.XLOOKUP($C1334,Order!$C:$C,Order!$P:$P,"",0,1))</f>
        <v>0</v>
      </c>
      <c r="L1334" s="4">
        <f t="shared" si="20"/>
        <v>0</v>
      </c>
    </row>
    <row r="1335" spans="2:12" ht="23.25" hidden="1" customHeight="1" x14ac:dyDescent="0.25">
      <c r="B1335" s="4">
        <v>1330</v>
      </c>
      <c r="C1335" s="36" t="str">
        <f>IF(Order!$C$311="","",Order!$C$311)</f>
        <v>BX667</v>
      </c>
      <c r="D1335" s="36" t="str">
        <f>IF($C1335="","",_xlfn.XLOOKUP($C1335,Order!$C:$C,Order!$D:$D,"",0,1))</f>
        <v>BX667</v>
      </c>
      <c r="E1335" s="4" t="e" vm="483">
        <f>IF($C1335="","",_xlfn.XLOOKUP($C1335,Order!$C:$C,Order!$E:$E,"",0,1))</f>
        <v>#VALUE!</v>
      </c>
      <c r="F1335" s="4">
        <f>IF($C1335="","",_xlfn.XLOOKUP($C1335,Order!$C:$C,Order!$F:$F,"",0,1))</f>
        <v>6000</v>
      </c>
      <c r="G1335" s="4" t="str">
        <f>IF($C1335="","",_xlfn.XLOOKUP($C1335,Order!$C:$C,Order!$G:$G,"",0,1))</f>
        <v>6063T5</v>
      </c>
      <c r="H1335" s="4">
        <f>IF($C1335="","",_xlfn.XLOOKUP($C1335,Order!$C:$C,Order!$H:$H,"",0,1))</f>
        <v>0.48299999999999998</v>
      </c>
      <c r="I1335" s="36">
        <f>IF($C1335="","",_xlfn.XLOOKUP($C1335,Order!$C:$C,Order!$L:$L,"",0,1))</f>
        <v>0</v>
      </c>
      <c r="J1335" s="4" t="str">
        <f>IF(C1335="","",Order!$L$16)</f>
        <v>BRONZE ANODIZED (FAYP03)</v>
      </c>
      <c r="K1335" s="36">
        <f>IF($C1335="","",_xlfn.XLOOKUP($C1335,Order!$C:$C,Order!$P:$P,"",0,1))</f>
        <v>0</v>
      </c>
      <c r="L1335" s="4">
        <f t="shared" si="20"/>
        <v>0</v>
      </c>
    </row>
    <row r="1336" spans="2:12" ht="23.25" hidden="1" customHeight="1" x14ac:dyDescent="0.25">
      <c r="B1336" s="4">
        <v>1331</v>
      </c>
      <c r="C1336" s="36" t="str">
        <f>IF(Order!$C$312="","",Order!$C$312)</f>
        <v>BX709</v>
      </c>
      <c r="D1336" s="36" t="str">
        <f>IF($C1336="","",_xlfn.XLOOKUP($C1336,Order!$C:$C,Order!$D:$D,"",0,1))</f>
        <v>BX709</v>
      </c>
      <c r="E1336" s="4" t="e" vm="484">
        <f>IF($C1336="","",_xlfn.XLOOKUP($C1336,Order!$C:$C,Order!$E:$E,"",0,1))</f>
        <v>#VALUE!</v>
      </c>
      <c r="F1336" s="4">
        <f>IF($C1336="","",_xlfn.XLOOKUP($C1336,Order!$C:$C,Order!$F:$F,"",0,1))</f>
        <v>6000</v>
      </c>
      <c r="G1336" s="4" t="str">
        <f>IF($C1336="","",_xlfn.XLOOKUP($C1336,Order!$C:$C,Order!$G:$G,"",0,1))</f>
        <v>6063T5</v>
      </c>
      <c r="H1336" s="4">
        <f>IF($C1336="","",_xlfn.XLOOKUP($C1336,Order!$C:$C,Order!$H:$H,"",0,1))</f>
        <v>1.595</v>
      </c>
      <c r="I1336" s="36">
        <f>IF($C1336="","",_xlfn.XLOOKUP($C1336,Order!$C:$C,Order!$L:$L,"",0,1))</f>
        <v>0</v>
      </c>
      <c r="J1336" s="4" t="str">
        <f>IF(C1336="","",Order!$L$16)</f>
        <v>BRONZE ANODIZED (FAYP03)</v>
      </c>
      <c r="K1336" s="36">
        <f>IF($C1336="","",_xlfn.XLOOKUP($C1336,Order!$C:$C,Order!$P:$P,"",0,1))</f>
        <v>0</v>
      </c>
      <c r="L1336" s="4">
        <f t="shared" si="20"/>
        <v>0</v>
      </c>
    </row>
    <row r="1337" spans="2:12" ht="23.25" hidden="1" customHeight="1" x14ac:dyDescent="0.25">
      <c r="B1337" s="4">
        <v>1332</v>
      </c>
      <c r="C1337" s="36" t="str">
        <f>IF(Order!$C$313="","",Order!$C$313)</f>
        <v>BX710</v>
      </c>
      <c r="D1337" s="36" t="str">
        <f>IF($C1337="","",_xlfn.XLOOKUP($C1337,Order!$C:$C,Order!$D:$D,"",0,1))</f>
        <v>BX710</v>
      </c>
      <c r="E1337" s="4" t="e" vm="485">
        <f>IF($C1337="","",_xlfn.XLOOKUP($C1337,Order!$C:$C,Order!$E:$E,"",0,1))</f>
        <v>#VALUE!</v>
      </c>
      <c r="F1337" s="4">
        <f>IF($C1337="","",_xlfn.XLOOKUP($C1337,Order!$C:$C,Order!$F:$F,"",0,1))</f>
        <v>6000</v>
      </c>
      <c r="G1337" s="4" t="str">
        <f>IF($C1337="","",_xlfn.XLOOKUP($C1337,Order!$C:$C,Order!$G:$G,"",0,1))</f>
        <v>6063T5</v>
      </c>
      <c r="H1337" s="4">
        <f>IF($C1337="","",_xlfn.XLOOKUP($C1337,Order!$C:$C,Order!$H:$H,"",0,1))</f>
        <v>2.125</v>
      </c>
      <c r="I1337" s="36">
        <f>IF($C1337="","",_xlfn.XLOOKUP($C1337,Order!$C:$C,Order!$L:$L,"",0,1))</f>
        <v>0</v>
      </c>
      <c r="J1337" s="4" t="str">
        <f>IF(C1337="","",Order!$L$16)</f>
        <v>BRONZE ANODIZED (FAYP03)</v>
      </c>
      <c r="K1337" s="36">
        <f>IF($C1337="","",_xlfn.XLOOKUP($C1337,Order!$C:$C,Order!$P:$P,"",0,1))</f>
        <v>0</v>
      </c>
      <c r="L1337" s="4">
        <f t="shared" si="20"/>
        <v>0</v>
      </c>
    </row>
    <row r="1338" spans="2:12" ht="23.25" hidden="1" customHeight="1" x14ac:dyDescent="0.25">
      <c r="B1338" s="4">
        <v>1333</v>
      </c>
      <c r="C1338" s="36" t="str">
        <f>IF(Order!$C$314="","",Order!$C$314)</f>
        <v>BX713</v>
      </c>
      <c r="D1338" s="36" t="str">
        <f>IF($C1338="","",_xlfn.XLOOKUP($C1338,Order!$C:$C,Order!$D:$D,"",0,1))</f>
        <v>BX713</v>
      </c>
      <c r="E1338" s="4" t="e" vm="486">
        <f>IF($C1338="","",_xlfn.XLOOKUP($C1338,Order!$C:$C,Order!$E:$E,"",0,1))</f>
        <v>#VALUE!</v>
      </c>
      <c r="F1338" s="4">
        <f>IF($C1338="","",_xlfn.XLOOKUP($C1338,Order!$C:$C,Order!$F:$F,"",0,1))</f>
        <v>6000</v>
      </c>
      <c r="G1338" s="4" t="str">
        <f>IF($C1338="","",_xlfn.XLOOKUP($C1338,Order!$C:$C,Order!$G:$G,"",0,1))</f>
        <v>6063T5</v>
      </c>
      <c r="H1338" s="4">
        <f>IF($C1338="","",_xlfn.XLOOKUP($C1338,Order!$C:$C,Order!$H:$H,"",0,1))</f>
        <v>1.169</v>
      </c>
      <c r="I1338" s="36">
        <f>IF($C1338="","",_xlfn.XLOOKUP($C1338,Order!$C:$C,Order!$L:$L,"",0,1))</f>
        <v>0</v>
      </c>
      <c r="J1338" s="4" t="str">
        <f>IF(C1338="","",Order!$L$16)</f>
        <v>BRONZE ANODIZED (FAYP03)</v>
      </c>
      <c r="K1338" s="36">
        <f>IF($C1338="","",_xlfn.XLOOKUP($C1338,Order!$C:$C,Order!$P:$P,"",0,1))</f>
        <v>0</v>
      </c>
      <c r="L1338" s="4">
        <f t="shared" si="20"/>
        <v>0</v>
      </c>
    </row>
    <row r="1339" spans="2:12" ht="23.25" hidden="1" customHeight="1" x14ac:dyDescent="0.25">
      <c r="B1339" s="4">
        <v>1334</v>
      </c>
      <c r="C1339" s="36" t="str">
        <f>IF(Order!$C$315="","",Order!$C$315)</f>
        <v>BX716</v>
      </c>
      <c r="D1339" s="36" t="str">
        <f>IF($C1339="","",_xlfn.XLOOKUP($C1339,Order!$C:$C,Order!$D:$D,"",0,1))</f>
        <v>BX716</v>
      </c>
      <c r="E1339" s="4" t="e" vm="487">
        <f>IF($C1339="","",_xlfn.XLOOKUP($C1339,Order!$C:$C,Order!$E:$E,"",0,1))</f>
        <v>#VALUE!</v>
      </c>
      <c r="F1339" s="4">
        <f>IF($C1339="","",_xlfn.XLOOKUP($C1339,Order!$C:$C,Order!$F:$F,"",0,1))</f>
        <v>6000</v>
      </c>
      <c r="G1339" s="4" t="str">
        <f>IF($C1339="","",_xlfn.XLOOKUP($C1339,Order!$C:$C,Order!$G:$G,"",0,1))</f>
        <v>6063T5</v>
      </c>
      <c r="H1339" s="4">
        <f>IF($C1339="","",_xlfn.XLOOKUP($C1339,Order!$C:$C,Order!$H:$H,"",0,1))</f>
        <v>0.71699999999999997</v>
      </c>
      <c r="I1339" s="36">
        <f>IF($C1339="","",_xlfn.XLOOKUP($C1339,Order!$C:$C,Order!$L:$L,"",0,1))</f>
        <v>0</v>
      </c>
      <c r="J1339" s="4" t="str">
        <f>IF(C1339="","",Order!$L$16)</f>
        <v>BRONZE ANODIZED (FAYP03)</v>
      </c>
      <c r="K1339" s="36">
        <f>IF($C1339="","",_xlfn.XLOOKUP($C1339,Order!$C:$C,Order!$P:$P,"",0,1))</f>
        <v>0</v>
      </c>
      <c r="L1339" s="4">
        <f t="shared" si="20"/>
        <v>0</v>
      </c>
    </row>
    <row r="1340" spans="2:12" ht="23.25" hidden="1" customHeight="1" x14ac:dyDescent="0.25">
      <c r="B1340" s="4">
        <v>1335</v>
      </c>
      <c r="C1340" s="36" t="str">
        <f>IF(Order!$C$316="","",Order!$C$316)</f>
        <v>BX717A</v>
      </c>
      <c r="D1340" s="36" t="str">
        <f>IF($C1340="","",_xlfn.XLOOKUP($C1340,Order!$C:$C,Order!$D:$D,"",0,1))</f>
        <v>BX717A</v>
      </c>
      <c r="E1340" s="4" t="e" vm="488">
        <f>IF($C1340="","",_xlfn.XLOOKUP($C1340,Order!$C:$C,Order!$E:$E,"",0,1))</f>
        <v>#VALUE!</v>
      </c>
      <c r="F1340" s="4">
        <f>IF($C1340="","",_xlfn.XLOOKUP($C1340,Order!$C:$C,Order!$F:$F,"",0,1))</f>
        <v>6000</v>
      </c>
      <c r="G1340" s="4" t="str">
        <f>IF($C1340="","",_xlfn.XLOOKUP($C1340,Order!$C:$C,Order!$G:$G,"",0,1))</f>
        <v>6063T5</v>
      </c>
      <c r="H1340" s="4">
        <f>IF($C1340="","",_xlfn.XLOOKUP($C1340,Order!$C:$C,Order!$H:$H,"",0,1))</f>
        <v>0.68500000000000005</v>
      </c>
      <c r="I1340" s="36">
        <f>IF($C1340="","",_xlfn.XLOOKUP($C1340,Order!$C:$C,Order!$L:$L,"",0,1))</f>
        <v>0</v>
      </c>
      <c r="J1340" s="4" t="str">
        <f>IF(C1340="","",Order!$L$16)</f>
        <v>BRONZE ANODIZED (FAYP03)</v>
      </c>
      <c r="K1340" s="36">
        <f>IF($C1340="","",_xlfn.XLOOKUP($C1340,Order!$C:$C,Order!$P:$P,"",0,1))</f>
        <v>0</v>
      </c>
      <c r="L1340" s="4">
        <f t="shared" si="20"/>
        <v>0</v>
      </c>
    </row>
    <row r="1341" spans="2:12" ht="23.25" hidden="1" customHeight="1" x14ac:dyDescent="0.25">
      <c r="B1341" s="4">
        <v>1336</v>
      </c>
      <c r="C1341" s="36" t="str">
        <f>IF(Order!$C$317="","",Order!$C$317)</f>
        <v>BX1096 (FC-261)</v>
      </c>
      <c r="D1341" s="36" t="str">
        <f>IF($C1341="","",_xlfn.XLOOKUP($C1341,Order!$C:$C,Order!$D:$D,"",0,1))</f>
        <v>BX1096</v>
      </c>
      <c r="E1341" s="4" t="e" vm="489">
        <f>IF($C1341="","",_xlfn.XLOOKUP($C1341,Order!$C:$C,Order!$E:$E,"",0,1))</f>
        <v>#VALUE!</v>
      </c>
      <c r="F1341" s="4">
        <f>IF($C1341="","",_xlfn.XLOOKUP($C1341,Order!$C:$C,Order!$F:$F,"",0,1))</f>
        <v>6000</v>
      </c>
      <c r="G1341" s="4" t="str">
        <f>IF($C1341="","",_xlfn.XLOOKUP($C1341,Order!$C:$C,Order!$G:$G,"",0,1))</f>
        <v>6063T5</v>
      </c>
      <c r="H1341" s="4">
        <f>IF($C1341="","",_xlfn.XLOOKUP($C1341,Order!$C:$C,Order!$H:$H,"",0,1))</f>
        <v>0.46899999999999997</v>
      </c>
      <c r="I1341" s="36">
        <f>IF($C1341="","",_xlfn.XLOOKUP($C1341,Order!$C:$C,Order!$L:$L,"",0,1))</f>
        <v>0</v>
      </c>
      <c r="J1341" s="4" t="str">
        <f>IF(C1341="","",Order!$L$16)</f>
        <v>BRONZE ANODIZED (FAYP03)</v>
      </c>
      <c r="K1341" s="36">
        <f>IF($C1341="","",_xlfn.XLOOKUP($C1341,Order!$C:$C,Order!$P:$P,"",0,1))</f>
        <v>0</v>
      </c>
      <c r="L1341" s="4">
        <f t="shared" si="20"/>
        <v>0</v>
      </c>
    </row>
    <row r="1342" spans="2:12" ht="23.25" hidden="1" customHeight="1" x14ac:dyDescent="0.25">
      <c r="B1342" s="4">
        <v>1337</v>
      </c>
      <c r="C1342" s="36" t="str">
        <f>IF(Order!$C$318="","",Order!$C$318)</f>
        <v>BX1099 (FC-225)</v>
      </c>
      <c r="D1342" s="36" t="str">
        <f>IF($C1342="","",_xlfn.XLOOKUP($C1342,Order!$C:$C,Order!$D:$D,"",0,1))</f>
        <v>BX1099</v>
      </c>
      <c r="E1342" s="4" t="e" vm="490">
        <f>IF($C1342="","",_xlfn.XLOOKUP($C1342,Order!$C:$C,Order!$E:$E,"",0,1))</f>
        <v>#VALUE!</v>
      </c>
      <c r="F1342" s="4">
        <f>IF($C1342="","",_xlfn.XLOOKUP($C1342,Order!$C:$C,Order!$F:$F,"",0,1))</f>
        <v>6000</v>
      </c>
      <c r="G1342" s="4" t="str">
        <f>IF($C1342="","",_xlfn.XLOOKUP($C1342,Order!$C:$C,Order!$G:$G,"",0,1))</f>
        <v>6063T5</v>
      </c>
      <c r="H1342" s="4">
        <f>IF($C1342="","",_xlfn.XLOOKUP($C1342,Order!$C:$C,Order!$H:$H,"",0,1))</f>
        <v>0.51600000000000001</v>
      </c>
      <c r="I1342" s="36">
        <f>IF($C1342="","",_xlfn.XLOOKUP($C1342,Order!$C:$C,Order!$L:$L,"",0,1))</f>
        <v>0</v>
      </c>
      <c r="J1342" s="4" t="str">
        <f>IF(C1342="","",Order!$L$16)</f>
        <v>BRONZE ANODIZED (FAYP03)</v>
      </c>
      <c r="K1342" s="36">
        <f>IF($C1342="","",_xlfn.XLOOKUP($C1342,Order!$C:$C,Order!$P:$P,"",0,1))</f>
        <v>0</v>
      </c>
      <c r="L1342" s="4">
        <f t="shared" si="20"/>
        <v>0</v>
      </c>
    </row>
    <row r="1343" spans="2:12" ht="23.25" hidden="1" customHeight="1" x14ac:dyDescent="0.25">
      <c r="B1343" s="4">
        <v>1338</v>
      </c>
      <c r="C1343" s="36" t="str">
        <f>IF(Order!$C$319="","",Order!$C$319)</f>
        <v/>
      </c>
      <c r="D1343" s="36" t="str">
        <f>IF($C1343="","",_xlfn.XLOOKUP($C1343,Order!$C:$C,Order!$D:$D,"",0,1))</f>
        <v/>
      </c>
      <c r="E1343" s="4" t="str">
        <f>IF($C1343="","",_xlfn.XLOOKUP($C1343,Order!$C:$C,Order!$E:$E,"",0,1))</f>
        <v/>
      </c>
      <c r="F1343" s="4" t="str">
        <f>IF($C1343="","",_xlfn.XLOOKUP($C1343,Order!$C:$C,Order!$F:$F,"",0,1))</f>
        <v/>
      </c>
      <c r="G1343" s="4" t="str">
        <f>IF($C1343="","",_xlfn.XLOOKUP($C1343,Order!$C:$C,Order!$G:$G,"",0,1))</f>
        <v/>
      </c>
      <c r="H1343" s="4" t="str">
        <f>IF($C1343="","",_xlfn.XLOOKUP($C1343,Order!$C:$C,Order!$H:$H,"",0,1))</f>
        <v/>
      </c>
      <c r="I1343" s="36" t="str">
        <f>IF($C1343="","",_xlfn.XLOOKUP($C1343,Order!$C:$C,Order!$L:$L,"",0,1))</f>
        <v/>
      </c>
      <c r="J1343" s="4" t="str">
        <f>IF(C1343="","",Order!$L$16)</f>
        <v/>
      </c>
      <c r="K1343" s="36" t="str">
        <f>IF($C1343="","",_xlfn.XLOOKUP($C1343,Order!$C:$C,Order!$P:$P,"",0,1))</f>
        <v/>
      </c>
      <c r="L1343" s="4" t="str">
        <f t="shared" si="20"/>
        <v/>
      </c>
    </row>
    <row r="1344" spans="2:12" ht="23.25" hidden="1" customHeight="1" x14ac:dyDescent="0.25">
      <c r="B1344" s="4">
        <v>1339</v>
      </c>
      <c r="C1344" s="36" t="str">
        <f>IF(Order!$C$320="","",Order!$C$320)</f>
        <v/>
      </c>
      <c r="D1344" s="36" t="str">
        <f>IF($C1344="","",_xlfn.XLOOKUP($C1344,Order!$C:$C,Order!$D:$D,"",0,1))</f>
        <v/>
      </c>
      <c r="E1344" s="4" t="str">
        <f>IF($C1344="","",_xlfn.XLOOKUP($C1344,Order!$C:$C,Order!$E:$E,"",0,1))</f>
        <v/>
      </c>
      <c r="F1344" s="4" t="str">
        <f>IF($C1344="","",_xlfn.XLOOKUP($C1344,Order!$C:$C,Order!$F:$F,"",0,1))</f>
        <v/>
      </c>
      <c r="G1344" s="4" t="str">
        <f>IF($C1344="","",_xlfn.XLOOKUP($C1344,Order!$C:$C,Order!$G:$G,"",0,1))</f>
        <v/>
      </c>
      <c r="H1344" s="4" t="str">
        <f>IF($C1344="","",_xlfn.XLOOKUP($C1344,Order!$C:$C,Order!$H:$H,"",0,1))</f>
        <v/>
      </c>
      <c r="I1344" s="36" t="str">
        <f>IF($C1344="","",_xlfn.XLOOKUP($C1344,Order!$C:$C,Order!$L:$L,"",0,1))</f>
        <v/>
      </c>
      <c r="J1344" s="4" t="str">
        <f>IF(C1344="","",Order!$L$16)</f>
        <v/>
      </c>
      <c r="K1344" s="36" t="str">
        <f>IF($C1344="","",_xlfn.XLOOKUP($C1344,Order!$C:$C,Order!$P:$P,"",0,1))</f>
        <v/>
      </c>
      <c r="L1344" s="4" t="str">
        <f t="shared" si="20"/>
        <v/>
      </c>
    </row>
    <row r="1345" spans="2:12" ht="23.25" hidden="1" customHeight="1" x14ac:dyDescent="0.25">
      <c r="B1345" s="4">
        <v>1340</v>
      </c>
      <c r="C1345" s="36" t="str">
        <f>IF(Order!$C$321="","",Order!$C$321)</f>
        <v/>
      </c>
      <c r="D1345" s="36" t="str">
        <f>IF($C1345="","",_xlfn.XLOOKUP($C1345,Order!$C:$C,Order!$D:$D,"",0,1))</f>
        <v/>
      </c>
      <c r="E1345" s="4" t="str">
        <f>IF($C1345="","",_xlfn.XLOOKUP($C1345,Order!$C:$C,Order!$E:$E,"",0,1))</f>
        <v/>
      </c>
      <c r="F1345" s="4" t="str">
        <f>IF($C1345="","",_xlfn.XLOOKUP($C1345,Order!$C:$C,Order!$F:$F,"",0,1))</f>
        <v/>
      </c>
      <c r="G1345" s="4" t="str">
        <f>IF($C1345="","",_xlfn.XLOOKUP($C1345,Order!$C:$C,Order!$G:$G,"",0,1))</f>
        <v/>
      </c>
      <c r="H1345" s="4" t="str">
        <f>IF($C1345="","",_xlfn.XLOOKUP($C1345,Order!$C:$C,Order!$H:$H,"",0,1))</f>
        <v/>
      </c>
      <c r="I1345" s="36" t="str">
        <f>IF($C1345="","",_xlfn.XLOOKUP($C1345,Order!$C:$C,Order!$L:$L,"",0,1))</f>
        <v/>
      </c>
      <c r="J1345" s="4" t="str">
        <f>IF(C1345="","",Order!$L$16)</f>
        <v/>
      </c>
      <c r="K1345" s="36" t="str">
        <f>IF($C1345="","",_xlfn.XLOOKUP($C1345,Order!$C:$C,Order!$P:$P,"",0,1))</f>
        <v/>
      </c>
      <c r="L1345" s="4" t="str">
        <f t="shared" si="20"/>
        <v/>
      </c>
    </row>
    <row r="1346" spans="2:12" ht="23.25" hidden="1" customHeight="1" x14ac:dyDescent="0.25">
      <c r="B1346" s="4">
        <v>1341</v>
      </c>
      <c r="C1346" s="36" t="str">
        <f>IF(Order!$C$322="","",Order!$C$322)</f>
        <v/>
      </c>
      <c r="D1346" s="36" t="str">
        <f>IF($C1346="","",_xlfn.XLOOKUP($C1346,Order!$C:$C,Order!$D:$D,"",0,1))</f>
        <v/>
      </c>
      <c r="E1346" s="4" t="str">
        <f>IF($C1346="","",_xlfn.XLOOKUP($C1346,Order!$C:$C,Order!$E:$E,"",0,1))</f>
        <v/>
      </c>
      <c r="F1346" s="4" t="str">
        <f>IF($C1346="","",_xlfn.XLOOKUP($C1346,Order!$C:$C,Order!$F:$F,"",0,1))</f>
        <v/>
      </c>
      <c r="G1346" s="4" t="str">
        <f>IF($C1346="","",_xlfn.XLOOKUP($C1346,Order!$C:$C,Order!$G:$G,"",0,1))</f>
        <v/>
      </c>
      <c r="H1346" s="4" t="str">
        <f>IF($C1346="","",_xlfn.XLOOKUP($C1346,Order!$C:$C,Order!$H:$H,"",0,1))</f>
        <v/>
      </c>
      <c r="I1346" s="36" t="str">
        <f>IF($C1346="","",_xlfn.XLOOKUP($C1346,Order!$C:$C,Order!$L:$L,"",0,1))</f>
        <v/>
      </c>
      <c r="J1346" s="4" t="str">
        <f>IF(C1346="","",Order!$L$16)</f>
        <v/>
      </c>
      <c r="K1346" s="36" t="str">
        <f>IF($C1346="","",_xlfn.XLOOKUP($C1346,Order!$C:$C,Order!$P:$P,"",0,1))</f>
        <v/>
      </c>
      <c r="L1346" s="4" t="str">
        <f t="shared" si="20"/>
        <v/>
      </c>
    </row>
    <row r="1347" spans="2:12" ht="23.25" hidden="1" customHeight="1" x14ac:dyDescent="0.25">
      <c r="B1347" s="4">
        <v>1342</v>
      </c>
      <c r="C1347" s="36" t="str">
        <f>IF(Order!$C$323="","",Order!$C$323)</f>
        <v/>
      </c>
      <c r="D1347" s="36" t="str">
        <f>IF($C1347="","",_xlfn.XLOOKUP($C1347,Order!$C:$C,Order!$D:$D,"",0,1))</f>
        <v/>
      </c>
      <c r="E1347" s="4" t="str">
        <f>IF($C1347="","",_xlfn.XLOOKUP($C1347,Order!$C:$C,Order!$E:$E,"",0,1))</f>
        <v/>
      </c>
      <c r="F1347" s="4" t="str">
        <f>IF($C1347="","",_xlfn.XLOOKUP($C1347,Order!$C:$C,Order!$F:$F,"",0,1))</f>
        <v/>
      </c>
      <c r="G1347" s="4" t="str">
        <f>IF($C1347="","",_xlfn.XLOOKUP($C1347,Order!$C:$C,Order!$G:$G,"",0,1))</f>
        <v/>
      </c>
      <c r="H1347" s="4" t="str">
        <f>IF($C1347="","",_xlfn.XLOOKUP($C1347,Order!$C:$C,Order!$H:$H,"",0,1))</f>
        <v/>
      </c>
      <c r="I1347" s="36" t="str">
        <f>IF($C1347="","",_xlfn.XLOOKUP($C1347,Order!$C:$C,Order!$L:$L,"",0,1))</f>
        <v/>
      </c>
      <c r="J1347" s="4" t="str">
        <f>IF(C1347="","",Order!$L$16)</f>
        <v/>
      </c>
      <c r="K1347" s="36" t="str">
        <f>IF($C1347="","",_xlfn.XLOOKUP($C1347,Order!$C:$C,Order!$P:$P,"",0,1))</f>
        <v/>
      </c>
      <c r="L1347" s="4" t="str">
        <f t="shared" si="20"/>
        <v/>
      </c>
    </row>
    <row r="1348" spans="2:12" ht="23.25" hidden="1" customHeight="1" x14ac:dyDescent="0.25">
      <c r="B1348" s="4">
        <v>1343</v>
      </c>
      <c r="C1348" s="36" t="str">
        <f>IF(Order!$C$324="","",Order!$C$324)</f>
        <v>BX1095</v>
      </c>
      <c r="D1348" s="36" t="str">
        <f>IF($C1348="","",_xlfn.XLOOKUP($C1348,Order!$C:$C,Order!$D:$D,"",0,1))</f>
        <v>BX1095</v>
      </c>
      <c r="E1348" s="4" t="e" vm="491">
        <f>IF($C1348="","",_xlfn.XLOOKUP($C1348,Order!$C:$C,Order!$E:$E,"",0,1))</f>
        <v>#VALUE!</v>
      </c>
      <c r="F1348" s="4">
        <f>IF($C1348="","",_xlfn.XLOOKUP($C1348,Order!$C:$C,Order!$F:$F,"",0,1))</f>
        <v>6000</v>
      </c>
      <c r="G1348" s="4" t="str">
        <f>IF($C1348="","",_xlfn.XLOOKUP($C1348,Order!$C:$C,Order!$G:$G,"",0,1))</f>
        <v>6063T5</v>
      </c>
      <c r="H1348" s="4">
        <f>IF($C1348="","",_xlfn.XLOOKUP($C1348,Order!$C:$C,Order!$H:$H,"",0,1))</f>
        <v>0.64400000000000002</v>
      </c>
      <c r="I1348" s="36">
        <f>IF($C1348="","",_xlfn.XLOOKUP($C1348,Order!$C:$C,Order!$L:$L,"",0,1))</f>
        <v>0</v>
      </c>
      <c r="J1348" s="4" t="str">
        <f>IF(C1348="","",Order!$L$16)</f>
        <v>BRONZE ANODIZED (FAYP03)</v>
      </c>
      <c r="K1348" s="36">
        <f>IF($C1348="","",_xlfn.XLOOKUP($C1348,Order!$C:$C,Order!$P:$P,"",0,1))</f>
        <v>0</v>
      </c>
      <c r="L1348" s="4">
        <f t="shared" si="20"/>
        <v>0</v>
      </c>
    </row>
    <row r="1349" spans="2:12" ht="23.25" hidden="1" customHeight="1" x14ac:dyDescent="0.25">
      <c r="B1349" s="4">
        <v>1344</v>
      </c>
      <c r="C1349" s="36" t="str">
        <f>IF(Order!$C$325="","",Order!$C$325)</f>
        <v>BX1097</v>
      </c>
      <c r="D1349" s="36" t="str">
        <f>IF($C1349="","",_xlfn.XLOOKUP($C1349,Order!$C:$C,Order!$D:$D,"",0,1))</f>
        <v>BX1097</v>
      </c>
      <c r="E1349" s="4" t="e" vm="492">
        <f>IF($C1349="","",_xlfn.XLOOKUP($C1349,Order!$C:$C,Order!$E:$E,"",0,1))</f>
        <v>#VALUE!</v>
      </c>
      <c r="F1349" s="4">
        <f>IF($C1349="","",_xlfn.XLOOKUP($C1349,Order!$C:$C,Order!$F:$F,"",0,1))</f>
        <v>6000</v>
      </c>
      <c r="G1349" s="4" t="str">
        <f>IF($C1349="","",_xlfn.XLOOKUP($C1349,Order!$C:$C,Order!$G:$G,"",0,1))</f>
        <v>6063T5</v>
      </c>
      <c r="H1349" s="4">
        <f>IF($C1349="","",_xlfn.XLOOKUP($C1349,Order!$C:$C,Order!$H:$H,"",0,1))</f>
        <v>0.57499999999999996</v>
      </c>
      <c r="I1349" s="36">
        <f>IF($C1349="","",_xlfn.XLOOKUP($C1349,Order!$C:$C,Order!$L:$L,"",0,1))</f>
        <v>0</v>
      </c>
      <c r="J1349" s="4" t="str">
        <f>IF(C1349="","",Order!$L$16)</f>
        <v>BRONZE ANODIZED (FAYP03)</v>
      </c>
      <c r="K1349" s="36">
        <f>IF($C1349="","",_xlfn.XLOOKUP($C1349,Order!$C:$C,Order!$P:$P,"",0,1))</f>
        <v>0</v>
      </c>
      <c r="L1349" s="4">
        <f t="shared" si="20"/>
        <v>0</v>
      </c>
    </row>
    <row r="1350" spans="2:12" ht="23.25" hidden="1" customHeight="1" x14ac:dyDescent="0.25">
      <c r="B1350" s="4">
        <v>1345</v>
      </c>
      <c r="C1350" s="36" t="str">
        <f>IF(Order!$C$326="","",Order!$C$326)</f>
        <v>BX1103</v>
      </c>
      <c r="D1350" s="36" t="str">
        <f>IF($C1350="","",_xlfn.XLOOKUP($C1350,Order!$C:$C,Order!$D:$D,"",0,1))</f>
        <v>BX1103</v>
      </c>
      <c r="E1350" s="4" t="e" vm="493">
        <f>IF($C1350="","",_xlfn.XLOOKUP($C1350,Order!$C:$C,Order!$E:$E,"",0,1))</f>
        <v>#VALUE!</v>
      </c>
      <c r="F1350" s="4">
        <f>IF($C1350="","",_xlfn.XLOOKUP($C1350,Order!$C:$C,Order!$F:$F,"",0,1))</f>
        <v>6000</v>
      </c>
      <c r="G1350" s="4" t="str">
        <f>IF($C1350="","",_xlfn.XLOOKUP($C1350,Order!$C:$C,Order!$G:$G,"",0,1))</f>
        <v>6063T5</v>
      </c>
      <c r="H1350" s="4">
        <f>IF($C1350="","",_xlfn.XLOOKUP($C1350,Order!$C:$C,Order!$H:$H,"",0,1))</f>
        <v>0.6</v>
      </c>
      <c r="I1350" s="36">
        <f>IF($C1350="","",_xlfn.XLOOKUP($C1350,Order!$C:$C,Order!$L:$L,"",0,1))</f>
        <v>0</v>
      </c>
      <c r="J1350" s="4" t="str">
        <f>IF(C1350="","",Order!$L$16)</f>
        <v>BRONZE ANODIZED (FAYP03)</v>
      </c>
      <c r="K1350" s="36">
        <f>IF($C1350="","",_xlfn.XLOOKUP($C1350,Order!$C:$C,Order!$P:$P,"",0,1))</f>
        <v>0</v>
      </c>
      <c r="L1350" s="4">
        <f t="shared" si="20"/>
        <v>0</v>
      </c>
    </row>
    <row r="1351" spans="2:12" ht="23.25" hidden="1" customHeight="1" x14ac:dyDescent="0.25">
      <c r="B1351" s="4">
        <v>1346</v>
      </c>
      <c r="C1351" s="36" t="str">
        <f>IF(Order!$C$327="","",Order!$C$327)</f>
        <v/>
      </c>
      <c r="D1351" s="36" t="str">
        <f>IF($C1351="","",_xlfn.XLOOKUP($C1351,Order!$C:$C,Order!$D:$D,"",0,1))</f>
        <v/>
      </c>
      <c r="E1351" s="4" t="str">
        <f>IF($C1351="","",_xlfn.XLOOKUP($C1351,Order!$C:$C,Order!$E:$E,"",0,1))</f>
        <v/>
      </c>
      <c r="F1351" s="4" t="str">
        <f>IF($C1351="","",_xlfn.XLOOKUP($C1351,Order!$C:$C,Order!$F:$F,"",0,1))</f>
        <v/>
      </c>
      <c r="G1351" s="4" t="str">
        <f>IF($C1351="","",_xlfn.XLOOKUP($C1351,Order!$C:$C,Order!$G:$G,"",0,1))</f>
        <v/>
      </c>
      <c r="H1351" s="4" t="str">
        <f>IF($C1351="","",_xlfn.XLOOKUP($C1351,Order!$C:$C,Order!$H:$H,"",0,1))</f>
        <v/>
      </c>
      <c r="I1351" s="36" t="str">
        <f>IF($C1351="","",_xlfn.XLOOKUP($C1351,Order!$C:$C,Order!$L:$L,"",0,1))</f>
        <v/>
      </c>
      <c r="J1351" s="4" t="str">
        <f>IF(C1351="","",Order!$L$16)</f>
        <v/>
      </c>
      <c r="K1351" s="36" t="str">
        <f>IF($C1351="","",_xlfn.XLOOKUP($C1351,Order!$C:$C,Order!$P:$P,"",0,1))</f>
        <v/>
      </c>
      <c r="L1351" s="4" t="str">
        <f t="shared" ref="L1351:L1414" si="21">IF(C1351="","",F1351/1000*H1351*I1351)</f>
        <v/>
      </c>
    </row>
    <row r="1352" spans="2:12" ht="23.25" hidden="1" customHeight="1" x14ac:dyDescent="0.25">
      <c r="B1352" s="4">
        <v>1347</v>
      </c>
      <c r="C1352" s="36" t="str">
        <f>IF(Order!$C$328="","",Order!$C$328)</f>
        <v/>
      </c>
      <c r="D1352" s="36" t="str">
        <f>IF($C1352="","",_xlfn.XLOOKUP($C1352,Order!$C:$C,Order!$D:$D,"",0,1))</f>
        <v/>
      </c>
      <c r="E1352" s="4" t="str">
        <f>IF($C1352="","",_xlfn.XLOOKUP($C1352,Order!$C:$C,Order!$E:$E,"",0,1))</f>
        <v/>
      </c>
      <c r="F1352" s="4" t="str">
        <f>IF($C1352="","",_xlfn.XLOOKUP($C1352,Order!$C:$C,Order!$F:$F,"",0,1))</f>
        <v/>
      </c>
      <c r="G1352" s="4" t="str">
        <f>IF($C1352="","",_xlfn.XLOOKUP($C1352,Order!$C:$C,Order!$G:$G,"",0,1))</f>
        <v/>
      </c>
      <c r="H1352" s="4" t="str">
        <f>IF($C1352="","",_xlfn.XLOOKUP($C1352,Order!$C:$C,Order!$H:$H,"",0,1))</f>
        <v/>
      </c>
      <c r="I1352" s="36" t="str">
        <f>IF($C1352="","",_xlfn.XLOOKUP($C1352,Order!$C:$C,Order!$L:$L,"",0,1))</f>
        <v/>
      </c>
      <c r="J1352" s="4" t="str">
        <f>IF(C1352="","",Order!$L$16)</f>
        <v/>
      </c>
      <c r="K1352" s="36" t="str">
        <f>IF($C1352="","",_xlfn.XLOOKUP($C1352,Order!$C:$C,Order!$P:$P,"",0,1))</f>
        <v/>
      </c>
      <c r="L1352" s="4" t="str">
        <f t="shared" si="21"/>
        <v/>
      </c>
    </row>
    <row r="1353" spans="2:12" ht="23.25" hidden="1" customHeight="1" x14ac:dyDescent="0.25">
      <c r="B1353" s="4">
        <v>1348</v>
      </c>
      <c r="C1353" s="36" t="str">
        <f>IF(Order!$C$329="","",Order!$C$329)</f>
        <v/>
      </c>
      <c r="D1353" s="36" t="str">
        <f>IF($C1353="","",_xlfn.XLOOKUP($C1353,Order!$C:$C,Order!$D:$D,"",0,1))</f>
        <v/>
      </c>
      <c r="E1353" s="4" t="str">
        <f>IF($C1353="","",_xlfn.XLOOKUP($C1353,Order!$C:$C,Order!$E:$E,"",0,1))</f>
        <v/>
      </c>
      <c r="F1353" s="4" t="str">
        <f>IF($C1353="","",_xlfn.XLOOKUP($C1353,Order!$C:$C,Order!$F:$F,"",0,1))</f>
        <v/>
      </c>
      <c r="G1353" s="4" t="str">
        <f>IF($C1353="","",_xlfn.XLOOKUP($C1353,Order!$C:$C,Order!$G:$G,"",0,1))</f>
        <v/>
      </c>
      <c r="H1353" s="4" t="str">
        <f>IF($C1353="","",_xlfn.XLOOKUP($C1353,Order!$C:$C,Order!$H:$H,"",0,1))</f>
        <v/>
      </c>
      <c r="I1353" s="36" t="str">
        <f>IF($C1353="","",_xlfn.XLOOKUP($C1353,Order!$C:$C,Order!$L:$L,"",0,1))</f>
        <v/>
      </c>
      <c r="J1353" s="4" t="str">
        <f>IF(C1353="","",Order!$L$16)</f>
        <v/>
      </c>
      <c r="K1353" s="36" t="str">
        <f>IF($C1353="","",_xlfn.XLOOKUP($C1353,Order!$C:$C,Order!$P:$P,"",0,1))</f>
        <v/>
      </c>
      <c r="L1353" s="4" t="str">
        <f t="shared" si="21"/>
        <v/>
      </c>
    </row>
    <row r="1354" spans="2:12" ht="23.25" hidden="1" customHeight="1" x14ac:dyDescent="0.25">
      <c r="B1354" s="4">
        <v>1349</v>
      </c>
      <c r="C1354" s="36" t="str">
        <f>IF(Order!$C$330="","",Order!$C$330)</f>
        <v/>
      </c>
      <c r="D1354" s="36" t="str">
        <f>IF($C1354="","",_xlfn.XLOOKUP($C1354,Order!$C:$C,Order!$D:$D,"",0,1))</f>
        <v/>
      </c>
      <c r="E1354" s="4" t="str">
        <f>IF($C1354="","",_xlfn.XLOOKUP($C1354,Order!$C:$C,Order!$E:$E,"",0,1))</f>
        <v/>
      </c>
      <c r="F1354" s="4" t="str">
        <f>IF($C1354="","",_xlfn.XLOOKUP($C1354,Order!$C:$C,Order!$F:$F,"",0,1))</f>
        <v/>
      </c>
      <c r="G1354" s="4" t="str">
        <f>IF($C1354="","",_xlfn.XLOOKUP($C1354,Order!$C:$C,Order!$G:$G,"",0,1))</f>
        <v/>
      </c>
      <c r="H1354" s="4" t="str">
        <f>IF($C1354="","",_xlfn.XLOOKUP($C1354,Order!$C:$C,Order!$H:$H,"",0,1))</f>
        <v/>
      </c>
      <c r="I1354" s="36" t="str">
        <f>IF($C1354="","",_xlfn.XLOOKUP($C1354,Order!$C:$C,Order!$L:$L,"",0,1))</f>
        <v/>
      </c>
      <c r="J1354" s="4" t="str">
        <f>IF(C1354="","",Order!$L$16)</f>
        <v/>
      </c>
      <c r="K1354" s="36" t="str">
        <f>IF($C1354="","",_xlfn.XLOOKUP($C1354,Order!$C:$C,Order!$P:$P,"",0,1))</f>
        <v/>
      </c>
      <c r="L1354" s="4" t="str">
        <f t="shared" si="21"/>
        <v/>
      </c>
    </row>
    <row r="1355" spans="2:12" ht="23.25" hidden="1" customHeight="1" x14ac:dyDescent="0.25">
      <c r="B1355" s="4">
        <v>1350</v>
      </c>
      <c r="C1355" s="36" t="str">
        <f>IF(Order!$C$331="","",Order!$C$331)</f>
        <v/>
      </c>
      <c r="D1355" s="36" t="str">
        <f>IF($C1355="","",_xlfn.XLOOKUP($C1355,Order!$C:$C,Order!$D:$D,"",0,1))</f>
        <v/>
      </c>
      <c r="E1355" s="4" t="str">
        <f>IF($C1355="","",_xlfn.XLOOKUP($C1355,Order!$C:$C,Order!$E:$E,"",0,1))</f>
        <v/>
      </c>
      <c r="F1355" s="4" t="str">
        <f>IF($C1355="","",_xlfn.XLOOKUP($C1355,Order!$C:$C,Order!$F:$F,"",0,1))</f>
        <v/>
      </c>
      <c r="G1355" s="4" t="str">
        <f>IF($C1355="","",_xlfn.XLOOKUP($C1355,Order!$C:$C,Order!$G:$G,"",0,1))</f>
        <v/>
      </c>
      <c r="H1355" s="4" t="str">
        <f>IF($C1355="","",_xlfn.XLOOKUP($C1355,Order!$C:$C,Order!$H:$H,"",0,1))</f>
        <v/>
      </c>
      <c r="I1355" s="36" t="str">
        <f>IF($C1355="","",_xlfn.XLOOKUP($C1355,Order!$C:$C,Order!$L:$L,"",0,1))</f>
        <v/>
      </c>
      <c r="J1355" s="4" t="str">
        <f>IF(C1355="","",Order!$L$16)</f>
        <v/>
      </c>
      <c r="K1355" s="36" t="str">
        <f>IF($C1355="","",_xlfn.XLOOKUP($C1355,Order!$C:$C,Order!$P:$P,"",0,1))</f>
        <v/>
      </c>
      <c r="L1355" s="4" t="str">
        <f t="shared" si="21"/>
        <v/>
      </c>
    </row>
    <row r="1356" spans="2:12" ht="23.25" hidden="1" customHeight="1" x14ac:dyDescent="0.25">
      <c r="B1356" s="4">
        <v>1351</v>
      </c>
      <c r="C1356" s="36" t="str">
        <f>IF(Order!$C$332="","",Order!$C$332)</f>
        <v/>
      </c>
      <c r="D1356" s="36" t="str">
        <f>IF($C1356="","",_xlfn.XLOOKUP($C1356,Order!$C:$C,Order!$D:$D,"",0,1))</f>
        <v/>
      </c>
      <c r="E1356" s="4" t="str">
        <f>IF($C1356="","",_xlfn.XLOOKUP($C1356,Order!$C:$C,Order!$E:$E,"",0,1))</f>
        <v/>
      </c>
      <c r="F1356" s="4" t="str">
        <f>IF($C1356="","",_xlfn.XLOOKUP($C1356,Order!$C:$C,Order!$F:$F,"",0,1))</f>
        <v/>
      </c>
      <c r="G1356" s="4" t="str">
        <f>IF($C1356="","",_xlfn.XLOOKUP($C1356,Order!$C:$C,Order!$G:$G,"",0,1))</f>
        <v/>
      </c>
      <c r="H1356" s="4" t="str">
        <f>IF($C1356="","",_xlfn.XLOOKUP($C1356,Order!$C:$C,Order!$H:$H,"",0,1))</f>
        <v/>
      </c>
      <c r="I1356" s="36" t="str">
        <f>IF($C1356="","",_xlfn.XLOOKUP($C1356,Order!$C:$C,Order!$L:$L,"",0,1))</f>
        <v/>
      </c>
      <c r="J1356" s="4" t="str">
        <f>IF(C1356="","",Order!$L$16)</f>
        <v/>
      </c>
      <c r="K1356" s="36" t="str">
        <f>IF($C1356="","",_xlfn.XLOOKUP($C1356,Order!$C:$C,Order!$P:$P,"",0,1))</f>
        <v/>
      </c>
      <c r="L1356" s="4" t="str">
        <f t="shared" si="21"/>
        <v/>
      </c>
    </row>
    <row r="1357" spans="2:12" ht="23.25" hidden="1" customHeight="1" x14ac:dyDescent="0.25">
      <c r="B1357" s="4">
        <v>1352</v>
      </c>
      <c r="C1357" s="36" t="str">
        <f>IF(Order!$C$333="","",Order!$C$333)</f>
        <v/>
      </c>
      <c r="D1357" s="36" t="str">
        <f>IF($C1357="","",_xlfn.XLOOKUP($C1357,Order!$C:$C,Order!$D:$D,"",0,1))</f>
        <v/>
      </c>
      <c r="E1357" s="4" t="str">
        <f>IF($C1357="","",_xlfn.XLOOKUP($C1357,Order!$C:$C,Order!$E:$E,"",0,1))</f>
        <v/>
      </c>
      <c r="F1357" s="4" t="str">
        <f>IF($C1357="","",_xlfn.XLOOKUP($C1357,Order!$C:$C,Order!$F:$F,"",0,1))</f>
        <v/>
      </c>
      <c r="G1357" s="4" t="str">
        <f>IF($C1357="","",_xlfn.XLOOKUP($C1357,Order!$C:$C,Order!$G:$G,"",0,1))</f>
        <v/>
      </c>
      <c r="H1357" s="4" t="str">
        <f>IF($C1357="","",_xlfn.XLOOKUP($C1357,Order!$C:$C,Order!$H:$H,"",0,1))</f>
        <v/>
      </c>
      <c r="I1357" s="36" t="str">
        <f>IF($C1357="","",_xlfn.XLOOKUP($C1357,Order!$C:$C,Order!$L:$L,"",0,1))</f>
        <v/>
      </c>
      <c r="J1357" s="4" t="str">
        <f>IF(C1357="","",Order!$L$16)</f>
        <v/>
      </c>
      <c r="K1357" s="36" t="str">
        <f>IF($C1357="","",_xlfn.XLOOKUP($C1357,Order!$C:$C,Order!$P:$P,"",0,1))</f>
        <v/>
      </c>
      <c r="L1357" s="4" t="str">
        <f t="shared" si="21"/>
        <v/>
      </c>
    </row>
    <row r="1358" spans="2:12" ht="23.25" hidden="1" customHeight="1" x14ac:dyDescent="0.25">
      <c r="B1358" s="4">
        <v>1353</v>
      </c>
      <c r="C1358" s="36" t="str">
        <f>IF(Order!$C$334="","",Order!$C$334)</f>
        <v/>
      </c>
      <c r="D1358" s="36" t="str">
        <f>IF($C1358="","",_xlfn.XLOOKUP($C1358,Order!$C:$C,Order!$D:$D,"",0,1))</f>
        <v/>
      </c>
      <c r="E1358" s="4" t="str">
        <f>IF($C1358="","",_xlfn.XLOOKUP($C1358,Order!$C:$C,Order!$E:$E,"",0,1))</f>
        <v/>
      </c>
      <c r="F1358" s="4" t="str">
        <f>IF($C1358="","",_xlfn.XLOOKUP($C1358,Order!$C:$C,Order!$F:$F,"",0,1))</f>
        <v/>
      </c>
      <c r="G1358" s="4" t="str">
        <f>IF($C1358="","",_xlfn.XLOOKUP($C1358,Order!$C:$C,Order!$G:$G,"",0,1))</f>
        <v/>
      </c>
      <c r="H1358" s="4" t="str">
        <f>IF($C1358="","",_xlfn.XLOOKUP($C1358,Order!$C:$C,Order!$H:$H,"",0,1))</f>
        <v/>
      </c>
      <c r="I1358" s="36" t="str">
        <f>IF($C1358="","",_xlfn.XLOOKUP($C1358,Order!$C:$C,Order!$L:$L,"",0,1))</f>
        <v/>
      </c>
      <c r="J1358" s="4" t="str">
        <f>IF(C1358="","",Order!$L$16)</f>
        <v/>
      </c>
      <c r="K1358" s="36" t="str">
        <f>IF($C1358="","",_xlfn.XLOOKUP($C1358,Order!$C:$C,Order!$P:$P,"",0,1))</f>
        <v/>
      </c>
      <c r="L1358" s="4" t="str">
        <f t="shared" si="21"/>
        <v/>
      </c>
    </row>
    <row r="1359" spans="2:12" ht="23.25" hidden="1" customHeight="1" x14ac:dyDescent="0.25">
      <c r="B1359" s="4">
        <v>1354</v>
      </c>
      <c r="C1359" s="36" t="str">
        <f>IF(Order!$C$335="","",Order!$C$335)</f>
        <v/>
      </c>
      <c r="D1359" s="36" t="str">
        <f>IF($C1359="","",_xlfn.XLOOKUP($C1359,Order!$C:$C,Order!$D:$D,"",0,1))</f>
        <v/>
      </c>
      <c r="E1359" s="4" t="str">
        <f>IF($C1359="","",_xlfn.XLOOKUP($C1359,Order!$C:$C,Order!$E:$E,"",0,1))</f>
        <v/>
      </c>
      <c r="F1359" s="4" t="str">
        <f>IF($C1359="","",_xlfn.XLOOKUP($C1359,Order!$C:$C,Order!$F:$F,"",0,1))</f>
        <v/>
      </c>
      <c r="G1359" s="4" t="str">
        <f>IF($C1359="","",_xlfn.XLOOKUP($C1359,Order!$C:$C,Order!$G:$G,"",0,1))</f>
        <v/>
      </c>
      <c r="H1359" s="4" t="str">
        <f>IF($C1359="","",_xlfn.XLOOKUP($C1359,Order!$C:$C,Order!$H:$H,"",0,1))</f>
        <v/>
      </c>
      <c r="I1359" s="36" t="str">
        <f>IF($C1359="","",_xlfn.XLOOKUP($C1359,Order!$C:$C,Order!$L:$L,"",0,1))</f>
        <v/>
      </c>
      <c r="J1359" s="4" t="str">
        <f>IF(C1359="","",Order!$L$16)</f>
        <v/>
      </c>
      <c r="K1359" s="36" t="str">
        <f>IF($C1359="","",_xlfn.XLOOKUP($C1359,Order!$C:$C,Order!$P:$P,"",0,1))</f>
        <v/>
      </c>
      <c r="L1359" s="4" t="str">
        <f t="shared" si="21"/>
        <v/>
      </c>
    </row>
    <row r="1360" spans="2:12" ht="23.25" hidden="1" customHeight="1" x14ac:dyDescent="0.25">
      <c r="B1360" s="4">
        <v>1355</v>
      </c>
      <c r="C1360" s="36" t="str">
        <f>IF(Order!$C$336="","",Order!$C$336)</f>
        <v/>
      </c>
      <c r="D1360" s="36" t="str">
        <f>IF($C1360="","",_xlfn.XLOOKUP($C1360,Order!$C:$C,Order!$D:$D,"",0,1))</f>
        <v/>
      </c>
      <c r="E1360" s="4" t="str">
        <f>IF($C1360="","",_xlfn.XLOOKUP($C1360,Order!$C:$C,Order!$E:$E,"",0,1))</f>
        <v/>
      </c>
      <c r="F1360" s="4" t="str">
        <f>IF($C1360="","",_xlfn.XLOOKUP($C1360,Order!$C:$C,Order!$F:$F,"",0,1))</f>
        <v/>
      </c>
      <c r="G1360" s="4" t="str">
        <f>IF($C1360="","",_xlfn.XLOOKUP($C1360,Order!$C:$C,Order!$G:$G,"",0,1))</f>
        <v/>
      </c>
      <c r="H1360" s="4" t="str">
        <f>IF($C1360="","",_xlfn.XLOOKUP($C1360,Order!$C:$C,Order!$H:$H,"",0,1))</f>
        <v/>
      </c>
      <c r="I1360" s="36" t="str">
        <f>IF($C1360="","",_xlfn.XLOOKUP($C1360,Order!$C:$C,Order!$L:$L,"",0,1))</f>
        <v/>
      </c>
      <c r="J1360" s="4" t="str">
        <f>IF(C1360="","",Order!$L$16)</f>
        <v/>
      </c>
      <c r="K1360" s="36" t="str">
        <f>IF($C1360="","",_xlfn.XLOOKUP($C1360,Order!$C:$C,Order!$P:$P,"",0,1))</f>
        <v/>
      </c>
      <c r="L1360" s="4" t="str">
        <f t="shared" si="21"/>
        <v/>
      </c>
    </row>
    <row r="1361" spans="2:12" ht="23.25" hidden="1" customHeight="1" x14ac:dyDescent="0.25">
      <c r="B1361" s="4">
        <v>1356</v>
      </c>
      <c r="C1361" s="36" t="str">
        <f>IF(Order!$C$337="","",Order!$C$337)</f>
        <v xml:space="preserve"> BX352 (MT0077-Perfilpara tela de mosquito)</v>
      </c>
      <c r="D1361" s="36" t="str">
        <f>IF($C1361="","",_xlfn.XLOOKUP($C1361,Order!$C:$C,Order!$D:$D,"",0,1))</f>
        <v>BX352</v>
      </c>
      <c r="E1361" s="4" t="e" vm="494">
        <f>IF($C1361="","",_xlfn.XLOOKUP($C1361,Order!$C:$C,Order!$E:$E,"",0,1))</f>
        <v>#VALUE!</v>
      </c>
      <c r="F1361" s="4">
        <f>IF($C1361="","",_xlfn.XLOOKUP($C1361,Order!$C:$C,Order!$F:$F,"",0,1))</f>
        <v>6000</v>
      </c>
      <c r="G1361" s="4" t="str">
        <f>IF($C1361="","",_xlfn.XLOOKUP($C1361,Order!$C:$C,Order!$G:$G,"",0,1))</f>
        <v>6063T5</v>
      </c>
      <c r="H1361" s="4">
        <f>IF($C1361="","",_xlfn.XLOOKUP($C1361,Order!$C:$C,Order!$H:$H,"",0,1))</f>
        <v>0.192</v>
      </c>
      <c r="I1361" s="36">
        <f>IF($C1361="","",_xlfn.XLOOKUP($C1361,Order!$C:$C,Order!$L:$L,"",0,1))</f>
        <v>0</v>
      </c>
      <c r="J1361" s="4" t="str">
        <f>IF(C1361="","",Order!$L$16)</f>
        <v>BRONZE ANODIZED (FAYP03)</v>
      </c>
      <c r="K1361" s="36">
        <f>IF($C1361="","",_xlfn.XLOOKUP($C1361,Order!$C:$C,Order!$P:$P,"",0,1))</f>
        <v>0</v>
      </c>
      <c r="L1361" s="4">
        <f t="shared" si="21"/>
        <v>0</v>
      </c>
    </row>
    <row r="1362" spans="2:12" ht="23.25" hidden="1" customHeight="1" x14ac:dyDescent="0.25">
      <c r="B1362" s="4">
        <v>1357</v>
      </c>
      <c r="C1362" s="36" t="str">
        <f>IF(Order!$C$338="","",Order!$C$338)</f>
        <v/>
      </c>
      <c r="D1362" s="36" t="str">
        <f>IF($C1362="","",_xlfn.XLOOKUP($C1362,Order!$C:$C,Order!$D:$D,"",0,1))</f>
        <v/>
      </c>
      <c r="E1362" s="4" t="str">
        <f>IF($C1362="","",_xlfn.XLOOKUP($C1362,Order!$C:$C,Order!$E:$E,"",0,1))</f>
        <v/>
      </c>
      <c r="F1362" s="4" t="str">
        <f>IF($C1362="","",_xlfn.XLOOKUP($C1362,Order!$C:$C,Order!$F:$F,"",0,1))</f>
        <v/>
      </c>
      <c r="G1362" s="4" t="str">
        <f>IF($C1362="","",_xlfn.XLOOKUP($C1362,Order!$C:$C,Order!$G:$G,"",0,1))</f>
        <v/>
      </c>
      <c r="H1362" s="4" t="str">
        <f>IF($C1362="","",_xlfn.XLOOKUP($C1362,Order!$C:$C,Order!$H:$H,"",0,1))</f>
        <v/>
      </c>
      <c r="I1362" s="36" t="str">
        <f>IF($C1362="","",_xlfn.XLOOKUP($C1362,Order!$C:$C,Order!$L:$L,"",0,1))</f>
        <v/>
      </c>
      <c r="J1362" s="4" t="str">
        <f>IF(C1362="","",Order!$L$16)</f>
        <v/>
      </c>
      <c r="K1362" s="36" t="str">
        <f>IF($C1362="","",_xlfn.XLOOKUP($C1362,Order!$C:$C,Order!$P:$P,"",0,1))</f>
        <v/>
      </c>
      <c r="L1362" s="4" t="str">
        <f t="shared" si="21"/>
        <v/>
      </c>
    </row>
    <row r="1363" spans="2:12" ht="23.25" hidden="1" customHeight="1" x14ac:dyDescent="0.25">
      <c r="B1363" s="4">
        <v>1358</v>
      </c>
      <c r="C1363" s="36" t="str">
        <f>IF(Order!$C$339="","",Order!$C$339)</f>
        <v/>
      </c>
      <c r="D1363" s="36" t="str">
        <f>IF($C1363="","",_xlfn.XLOOKUP($C1363,Order!$C:$C,Order!$D:$D,"",0,1))</f>
        <v/>
      </c>
      <c r="E1363" s="4" t="str">
        <f>IF($C1363="","",_xlfn.XLOOKUP($C1363,Order!$C:$C,Order!$E:$E,"",0,1))</f>
        <v/>
      </c>
      <c r="F1363" s="4" t="str">
        <f>IF($C1363="","",_xlfn.XLOOKUP($C1363,Order!$C:$C,Order!$F:$F,"",0,1))</f>
        <v/>
      </c>
      <c r="G1363" s="4" t="str">
        <f>IF($C1363="","",_xlfn.XLOOKUP($C1363,Order!$C:$C,Order!$G:$G,"",0,1))</f>
        <v/>
      </c>
      <c r="H1363" s="4" t="str">
        <f>IF($C1363="","",_xlfn.XLOOKUP($C1363,Order!$C:$C,Order!$H:$H,"",0,1))</f>
        <v/>
      </c>
      <c r="I1363" s="36" t="str">
        <f>IF($C1363="","",_xlfn.XLOOKUP($C1363,Order!$C:$C,Order!$L:$L,"",0,1))</f>
        <v/>
      </c>
      <c r="J1363" s="4" t="str">
        <f>IF(C1363="","",Order!$L$16)</f>
        <v/>
      </c>
      <c r="K1363" s="36" t="str">
        <f>IF($C1363="","",_xlfn.XLOOKUP($C1363,Order!$C:$C,Order!$P:$P,"",0,1))</f>
        <v/>
      </c>
      <c r="L1363" s="4" t="str">
        <f t="shared" si="21"/>
        <v/>
      </c>
    </row>
    <row r="1364" spans="2:12" ht="23.25" hidden="1" customHeight="1" x14ac:dyDescent="0.25">
      <c r="B1364" s="4">
        <v>1359</v>
      </c>
      <c r="C1364" s="36" t="str">
        <f>IF(Order!$C$340="","",Order!$C$340)</f>
        <v/>
      </c>
      <c r="D1364" s="36" t="str">
        <f>IF($C1364="","",_xlfn.XLOOKUP($C1364,Order!$C:$C,Order!$D:$D,"",0,1))</f>
        <v/>
      </c>
      <c r="E1364" s="4" t="str">
        <f>IF($C1364="","",_xlfn.XLOOKUP($C1364,Order!$C:$C,Order!$E:$E,"",0,1))</f>
        <v/>
      </c>
      <c r="F1364" s="4" t="str">
        <f>IF($C1364="","",_xlfn.XLOOKUP($C1364,Order!$C:$C,Order!$F:$F,"",0,1))</f>
        <v/>
      </c>
      <c r="G1364" s="4" t="str">
        <f>IF($C1364="","",_xlfn.XLOOKUP($C1364,Order!$C:$C,Order!$G:$G,"",0,1))</f>
        <v/>
      </c>
      <c r="H1364" s="4" t="str">
        <f>IF($C1364="","",_xlfn.XLOOKUP($C1364,Order!$C:$C,Order!$H:$H,"",0,1))</f>
        <v/>
      </c>
      <c r="I1364" s="36" t="str">
        <f>IF($C1364="","",_xlfn.XLOOKUP($C1364,Order!$C:$C,Order!$L:$L,"",0,1))</f>
        <v/>
      </c>
      <c r="J1364" s="4" t="str">
        <f>IF(C1364="","",Order!$L$16)</f>
        <v/>
      </c>
      <c r="K1364" s="36" t="str">
        <f>IF($C1364="","",_xlfn.XLOOKUP($C1364,Order!$C:$C,Order!$P:$P,"",0,1))</f>
        <v/>
      </c>
      <c r="L1364" s="4" t="str">
        <f t="shared" si="21"/>
        <v/>
      </c>
    </row>
    <row r="1365" spans="2:12" ht="23.25" hidden="1" customHeight="1" x14ac:dyDescent="0.25">
      <c r="B1365" s="4">
        <v>1360</v>
      </c>
      <c r="C1365" s="36" t="str">
        <f>IF(Order!$C$341="","",Order!$C$341)</f>
        <v xml:space="preserve"> U 15 (PU 004 5/8 x 1/16")  </v>
      </c>
      <c r="D1365" s="36" t="str">
        <f>IF($C1365="","",_xlfn.XLOOKUP($C1365,Order!$C:$C,Order!$D:$D,"",0,1))</f>
        <v>BX567</v>
      </c>
      <c r="E1365" s="4" t="e" vm="495">
        <f>IF($C1365="","",_xlfn.XLOOKUP($C1365,Order!$C:$C,Order!$E:$E,"",0,1))</f>
        <v>#VALUE!</v>
      </c>
      <c r="F1365" s="4">
        <f>IF($C1365="","",_xlfn.XLOOKUP($C1365,Order!$C:$C,Order!$F:$F,"",0,1))</f>
        <v>6000</v>
      </c>
      <c r="G1365" s="4" t="str">
        <f>IF($C1365="","",_xlfn.XLOOKUP($C1365,Order!$C:$C,Order!$G:$G,"",0,1))</f>
        <v>6063T5</v>
      </c>
      <c r="H1365" s="4">
        <f>IF($C1365="","",_xlfn.XLOOKUP($C1365,Order!$C:$C,Order!$H:$H,"",0,1))</f>
        <v>0.17100000000000001</v>
      </c>
      <c r="I1365" s="36">
        <f>IF($C1365="","",_xlfn.XLOOKUP($C1365,Order!$C:$C,Order!$L:$L,"",0,1))</f>
        <v>0</v>
      </c>
      <c r="J1365" s="4" t="str">
        <f>IF(C1365="","",Order!$L$16)</f>
        <v>BRONZE ANODIZED (FAYP03)</v>
      </c>
      <c r="K1365" s="36">
        <f>IF($C1365="","",_xlfn.XLOOKUP($C1365,Order!$C:$C,Order!$P:$P,"",0,1))</f>
        <v>0</v>
      </c>
      <c r="L1365" s="4">
        <f t="shared" si="21"/>
        <v>0</v>
      </c>
    </row>
    <row r="1366" spans="2:12" ht="23.25" hidden="1" customHeight="1" x14ac:dyDescent="0.25">
      <c r="B1366" s="4">
        <v>1361</v>
      </c>
      <c r="C1366" s="36" t="str">
        <f>IF(Order!$C$342="","",Order!$C$342)</f>
        <v/>
      </c>
      <c r="D1366" s="36" t="str">
        <f>IF($C1366="","",_xlfn.XLOOKUP($C1366,Order!$C:$C,Order!$D:$D,"",0,1))</f>
        <v/>
      </c>
      <c r="E1366" s="4" t="str">
        <f>IF($C1366="","",_xlfn.XLOOKUP($C1366,Order!$C:$C,Order!$E:$E,"",0,1))</f>
        <v/>
      </c>
      <c r="F1366" s="4" t="str">
        <f>IF($C1366="","",_xlfn.XLOOKUP($C1366,Order!$C:$C,Order!$F:$F,"",0,1))</f>
        <v/>
      </c>
      <c r="G1366" s="4" t="str">
        <f>IF($C1366="","",_xlfn.XLOOKUP($C1366,Order!$C:$C,Order!$G:$G,"",0,1))</f>
        <v/>
      </c>
      <c r="H1366" s="4" t="str">
        <f>IF($C1366="","",_xlfn.XLOOKUP($C1366,Order!$C:$C,Order!$H:$H,"",0,1))</f>
        <v/>
      </c>
      <c r="I1366" s="36" t="str">
        <f>IF($C1366="","",_xlfn.XLOOKUP($C1366,Order!$C:$C,Order!$L:$L,"",0,1))</f>
        <v/>
      </c>
      <c r="J1366" s="4" t="str">
        <f>IF(C1366="","",Order!$L$16)</f>
        <v/>
      </c>
      <c r="K1366" s="36" t="str">
        <f>IF($C1366="","",_xlfn.XLOOKUP($C1366,Order!$C:$C,Order!$P:$P,"",0,1))</f>
        <v/>
      </c>
      <c r="L1366" s="4" t="str">
        <f t="shared" si="21"/>
        <v/>
      </c>
    </row>
    <row r="1367" spans="2:12" ht="23.25" hidden="1" customHeight="1" x14ac:dyDescent="0.25">
      <c r="B1367" s="4">
        <v>1362</v>
      </c>
      <c r="C1367" s="36" t="str">
        <f>IF(Order!$C$343="","",Order!$C$343)</f>
        <v/>
      </c>
      <c r="D1367" s="36" t="str">
        <f>IF($C1367="","",_xlfn.XLOOKUP($C1367,Order!$C:$C,Order!$D:$D,"",0,1))</f>
        <v/>
      </c>
      <c r="E1367" s="4" t="str">
        <f>IF($C1367="","",_xlfn.XLOOKUP($C1367,Order!$C:$C,Order!$E:$E,"",0,1))</f>
        <v/>
      </c>
      <c r="F1367" s="4" t="str">
        <f>IF($C1367="","",_xlfn.XLOOKUP($C1367,Order!$C:$C,Order!$F:$F,"",0,1))</f>
        <v/>
      </c>
      <c r="G1367" s="4" t="str">
        <f>IF($C1367="","",_xlfn.XLOOKUP($C1367,Order!$C:$C,Order!$G:$G,"",0,1))</f>
        <v/>
      </c>
      <c r="H1367" s="4" t="str">
        <f>IF($C1367="","",_xlfn.XLOOKUP($C1367,Order!$C:$C,Order!$H:$H,"",0,1))</f>
        <v/>
      </c>
      <c r="I1367" s="36" t="str">
        <f>IF($C1367="","",_xlfn.XLOOKUP($C1367,Order!$C:$C,Order!$L:$L,"",0,1))</f>
        <v/>
      </c>
      <c r="J1367" s="4" t="str">
        <f>IF(C1367="","",Order!$L$16)</f>
        <v/>
      </c>
      <c r="K1367" s="36" t="str">
        <f>IF($C1367="","",_xlfn.XLOOKUP($C1367,Order!$C:$C,Order!$P:$P,"",0,1))</f>
        <v/>
      </c>
      <c r="L1367" s="4" t="str">
        <f t="shared" si="21"/>
        <v/>
      </c>
    </row>
    <row r="1368" spans="2:12" ht="23.25" hidden="1" customHeight="1" x14ac:dyDescent="0.25">
      <c r="B1368" s="4">
        <v>1363</v>
      </c>
      <c r="C1368" s="36" t="str">
        <f>IF(Order!$C$344="","",Order!$C$344)</f>
        <v/>
      </c>
      <c r="D1368" s="36" t="str">
        <f>IF($C1368="","",_xlfn.XLOOKUP($C1368,Order!$C:$C,Order!$D:$D,"",0,1))</f>
        <v/>
      </c>
      <c r="E1368" s="4" t="str">
        <f>IF($C1368="","",_xlfn.XLOOKUP($C1368,Order!$C:$C,Order!$E:$E,"",0,1))</f>
        <v/>
      </c>
      <c r="F1368" s="4" t="str">
        <f>IF($C1368="","",_xlfn.XLOOKUP($C1368,Order!$C:$C,Order!$F:$F,"",0,1))</f>
        <v/>
      </c>
      <c r="G1368" s="4" t="str">
        <f>IF($C1368="","",_xlfn.XLOOKUP($C1368,Order!$C:$C,Order!$G:$G,"",0,1))</f>
        <v/>
      </c>
      <c r="H1368" s="4" t="str">
        <f>IF($C1368="","",_xlfn.XLOOKUP($C1368,Order!$C:$C,Order!$H:$H,"",0,1))</f>
        <v/>
      </c>
      <c r="I1368" s="36" t="str">
        <f>IF($C1368="","",_xlfn.XLOOKUP($C1368,Order!$C:$C,Order!$L:$L,"",0,1))</f>
        <v/>
      </c>
      <c r="J1368" s="4" t="str">
        <f>IF(C1368="","",Order!$L$16)</f>
        <v/>
      </c>
      <c r="K1368" s="36" t="str">
        <f>IF($C1368="","",_xlfn.XLOOKUP($C1368,Order!$C:$C,Order!$P:$P,"",0,1))</f>
        <v/>
      </c>
      <c r="L1368" s="4" t="str">
        <f t="shared" si="21"/>
        <v/>
      </c>
    </row>
    <row r="1369" spans="2:12" ht="23.25" hidden="1" customHeight="1" x14ac:dyDescent="0.25">
      <c r="B1369" s="4">
        <v>1364</v>
      </c>
      <c r="C1369" s="36" t="str">
        <f>IF(Order!$C$345="","",Order!$C$345)</f>
        <v/>
      </c>
      <c r="D1369" s="36" t="str">
        <f>IF($C1369="","",_xlfn.XLOOKUP($C1369,Order!$C:$C,Order!$D:$D,"",0,1))</f>
        <v/>
      </c>
      <c r="E1369" s="4" t="str">
        <f>IF($C1369="","",_xlfn.XLOOKUP($C1369,Order!$C:$C,Order!$E:$E,"",0,1))</f>
        <v/>
      </c>
      <c r="F1369" s="4" t="str">
        <f>IF($C1369="","",_xlfn.XLOOKUP($C1369,Order!$C:$C,Order!$F:$F,"",0,1))</f>
        <v/>
      </c>
      <c r="G1369" s="4" t="str">
        <f>IF($C1369="","",_xlfn.XLOOKUP($C1369,Order!$C:$C,Order!$G:$G,"",0,1))</f>
        <v/>
      </c>
      <c r="H1369" s="4" t="str">
        <f>IF($C1369="","",_xlfn.XLOOKUP($C1369,Order!$C:$C,Order!$H:$H,"",0,1))</f>
        <v/>
      </c>
      <c r="I1369" s="36" t="str">
        <f>IF($C1369="","",_xlfn.XLOOKUP($C1369,Order!$C:$C,Order!$L:$L,"",0,1))</f>
        <v/>
      </c>
      <c r="J1369" s="4" t="str">
        <f>IF(C1369="","",Order!$L$16)</f>
        <v/>
      </c>
      <c r="K1369" s="36" t="str">
        <f>IF($C1369="","",_xlfn.XLOOKUP($C1369,Order!$C:$C,Order!$P:$P,"",0,1))</f>
        <v/>
      </c>
      <c r="L1369" s="4" t="str">
        <f t="shared" si="21"/>
        <v/>
      </c>
    </row>
    <row r="1370" spans="2:12" ht="23.25" hidden="1" customHeight="1" x14ac:dyDescent="0.25">
      <c r="B1370" s="4">
        <v>1365</v>
      </c>
      <c r="C1370" s="36" t="str">
        <f>IF(Order!$C$346="","",Order!$C$346)</f>
        <v/>
      </c>
      <c r="D1370" s="36" t="str">
        <f>IF($C1370="","",_xlfn.XLOOKUP($C1370,Order!$C:$C,Order!$D:$D,"",0,1))</f>
        <v/>
      </c>
      <c r="E1370" s="4" t="str">
        <f>IF($C1370="","",_xlfn.XLOOKUP($C1370,Order!$C:$C,Order!$E:$E,"",0,1))</f>
        <v/>
      </c>
      <c r="F1370" s="4" t="str">
        <f>IF($C1370="","",_xlfn.XLOOKUP($C1370,Order!$C:$C,Order!$F:$F,"",0,1))</f>
        <v/>
      </c>
      <c r="G1370" s="4" t="str">
        <f>IF($C1370="","",_xlfn.XLOOKUP($C1370,Order!$C:$C,Order!$G:$G,"",0,1))</f>
        <v/>
      </c>
      <c r="H1370" s="4" t="str">
        <f>IF($C1370="","",_xlfn.XLOOKUP($C1370,Order!$C:$C,Order!$H:$H,"",0,1))</f>
        <v/>
      </c>
      <c r="I1370" s="36" t="str">
        <f>IF($C1370="","",_xlfn.XLOOKUP($C1370,Order!$C:$C,Order!$L:$L,"",0,1))</f>
        <v/>
      </c>
      <c r="J1370" s="4" t="str">
        <f>IF(C1370="","",Order!$L$16)</f>
        <v/>
      </c>
      <c r="K1370" s="36" t="str">
        <f>IF($C1370="","",_xlfn.XLOOKUP($C1370,Order!$C:$C,Order!$P:$P,"",0,1))</f>
        <v/>
      </c>
      <c r="L1370" s="4" t="str">
        <f t="shared" si="21"/>
        <v/>
      </c>
    </row>
    <row r="1371" spans="2:12" ht="23.25" hidden="1" customHeight="1" x14ac:dyDescent="0.25">
      <c r="B1371" s="4">
        <v>1366</v>
      </c>
      <c r="C1371" s="36" t="str">
        <f>IF(Order!$C$347="","",Order!$C$347)</f>
        <v/>
      </c>
      <c r="D1371" s="36" t="str">
        <f>IF($C1371="","",_xlfn.XLOOKUP($C1371,Order!$C:$C,Order!$D:$D,"",0,1))</f>
        <v/>
      </c>
      <c r="E1371" s="4" t="str">
        <f>IF($C1371="","",_xlfn.XLOOKUP($C1371,Order!$C:$C,Order!$E:$E,"",0,1))</f>
        <v/>
      </c>
      <c r="F1371" s="4" t="str">
        <f>IF($C1371="","",_xlfn.XLOOKUP($C1371,Order!$C:$C,Order!$F:$F,"",0,1))</f>
        <v/>
      </c>
      <c r="G1371" s="4" t="str">
        <f>IF($C1371="","",_xlfn.XLOOKUP($C1371,Order!$C:$C,Order!$G:$G,"",0,1))</f>
        <v/>
      </c>
      <c r="H1371" s="4" t="str">
        <f>IF($C1371="","",_xlfn.XLOOKUP($C1371,Order!$C:$C,Order!$H:$H,"",0,1))</f>
        <v/>
      </c>
      <c r="I1371" s="36" t="str">
        <f>IF($C1371="","",_xlfn.XLOOKUP($C1371,Order!$C:$C,Order!$L:$L,"",0,1))</f>
        <v/>
      </c>
      <c r="J1371" s="4" t="str">
        <f>IF(C1371="","",Order!$L$16)</f>
        <v/>
      </c>
      <c r="K1371" s="36" t="str">
        <f>IF($C1371="","",_xlfn.XLOOKUP($C1371,Order!$C:$C,Order!$P:$P,"",0,1))</f>
        <v/>
      </c>
      <c r="L1371" s="4" t="str">
        <f t="shared" si="21"/>
        <v/>
      </c>
    </row>
    <row r="1372" spans="2:12" ht="23.25" hidden="1" customHeight="1" x14ac:dyDescent="0.25">
      <c r="B1372" s="4">
        <v>1367</v>
      </c>
      <c r="C1372" s="36" t="str">
        <f>IF(Order!$C$348="","",Order!$C$348)</f>
        <v/>
      </c>
      <c r="D1372" s="36" t="str">
        <f>IF($C1372="","",_xlfn.XLOOKUP($C1372,Order!$C:$C,Order!$D:$D,"",0,1))</f>
        <v/>
      </c>
      <c r="E1372" s="4" t="str">
        <f>IF($C1372="","",_xlfn.XLOOKUP($C1372,Order!$C:$C,Order!$E:$E,"",0,1))</f>
        <v/>
      </c>
      <c r="F1372" s="4" t="str">
        <f>IF($C1372="","",_xlfn.XLOOKUP($C1372,Order!$C:$C,Order!$F:$F,"",0,1))</f>
        <v/>
      </c>
      <c r="G1372" s="4" t="str">
        <f>IF($C1372="","",_xlfn.XLOOKUP($C1372,Order!$C:$C,Order!$G:$G,"",0,1))</f>
        <v/>
      </c>
      <c r="H1372" s="4" t="str">
        <f>IF($C1372="","",_xlfn.XLOOKUP($C1372,Order!$C:$C,Order!$H:$H,"",0,1))</f>
        <v/>
      </c>
      <c r="I1372" s="36" t="str">
        <f>IF($C1372="","",_xlfn.XLOOKUP($C1372,Order!$C:$C,Order!$L:$L,"",0,1))</f>
        <v/>
      </c>
      <c r="J1372" s="4" t="str">
        <f>IF(C1372="","",Order!$L$16)</f>
        <v/>
      </c>
      <c r="K1372" s="36" t="str">
        <f>IF($C1372="","",_xlfn.XLOOKUP($C1372,Order!$C:$C,Order!$P:$P,"",0,1))</f>
        <v/>
      </c>
      <c r="L1372" s="4" t="str">
        <f t="shared" si="21"/>
        <v/>
      </c>
    </row>
    <row r="1373" spans="2:12" ht="23.25" hidden="1" customHeight="1" x14ac:dyDescent="0.25">
      <c r="B1373" s="4">
        <v>1368</v>
      </c>
      <c r="C1373" s="36" t="str">
        <f>IF(Order!$C$349="","",Order!$C$349)</f>
        <v/>
      </c>
      <c r="D1373" s="36" t="str">
        <f>IF($C1373="","",_xlfn.XLOOKUP($C1373,Order!$C:$C,Order!$D:$D,"",0,1))</f>
        <v/>
      </c>
      <c r="E1373" s="4" t="str">
        <f>IF($C1373="","",_xlfn.XLOOKUP($C1373,Order!$C:$C,Order!$E:$E,"",0,1))</f>
        <v/>
      </c>
      <c r="F1373" s="4" t="str">
        <f>IF($C1373="","",_xlfn.XLOOKUP($C1373,Order!$C:$C,Order!$F:$F,"",0,1))</f>
        <v/>
      </c>
      <c r="G1373" s="4" t="str">
        <f>IF($C1373="","",_xlfn.XLOOKUP($C1373,Order!$C:$C,Order!$G:$G,"",0,1))</f>
        <v/>
      </c>
      <c r="H1373" s="4" t="str">
        <f>IF($C1373="","",_xlfn.XLOOKUP($C1373,Order!$C:$C,Order!$H:$H,"",0,1))</f>
        <v/>
      </c>
      <c r="I1373" s="36" t="str">
        <f>IF($C1373="","",_xlfn.XLOOKUP($C1373,Order!$C:$C,Order!$L:$L,"",0,1))</f>
        <v/>
      </c>
      <c r="J1373" s="4" t="str">
        <f>IF(C1373="","",Order!$L$16)</f>
        <v/>
      </c>
      <c r="K1373" s="36" t="str">
        <f>IF($C1373="","",_xlfn.XLOOKUP($C1373,Order!$C:$C,Order!$P:$P,"",0,1))</f>
        <v/>
      </c>
      <c r="L1373" s="4" t="str">
        <f t="shared" si="21"/>
        <v/>
      </c>
    </row>
    <row r="1374" spans="2:12" ht="23.25" hidden="1" customHeight="1" x14ac:dyDescent="0.25">
      <c r="B1374" s="4">
        <v>1369</v>
      </c>
      <c r="C1374" s="36" t="str">
        <f>IF(Order!$C$350="","",Order!$C$350)</f>
        <v/>
      </c>
      <c r="D1374" s="36" t="str">
        <f>IF($C1374="","",_xlfn.XLOOKUP($C1374,Order!$C:$C,Order!$D:$D,"",0,1))</f>
        <v/>
      </c>
      <c r="E1374" s="4" t="str">
        <f>IF($C1374="","",_xlfn.XLOOKUP($C1374,Order!$C:$C,Order!$E:$E,"",0,1))</f>
        <v/>
      </c>
      <c r="F1374" s="4" t="str">
        <f>IF($C1374="","",_xlfn.XLOOKUP($C1374,Order!$C:$C,Order!$F:$F,"",0,1))</f>
        <v/>
      </c>
      <c r="G1374" s="4" t="str">
        <f>IF($C1374="","",_xlfn.XLOOKUP($C1374,Order!$C:$C,Order!$G:$G,"",0,1))</f>
        <v/>
      </c>
      <c r="H1374" s="4" t="str">
        <f>IF($C1374="","",_xlfn.XLOOKUP($C1374,Order!$C:$C,Order!$H:$H,"",0,1))</f>
        <v/>
      </c>
      <c r="I1374" s="36" t="str">
        <f>IF($C1374="","",_xlfn.XLOOKUP($C1374,Order!$C:$C,Order!$L:$L,"",0,1))</f>
        <v/>
      </c>
      <c r="J1374" s="4" t="str">
        <f>IF(C1374="","",Order!$L$16)</f>
        <v/>
      </c>
      <c r="K1374" s="36" t="str">
        <f>IF($C1374="","",_xlfn.XLOOKUP($C1374,Order!$C:$C,Order!$P:$P,"",0,1))</f>
        <v/>
      </c>
      <c r="L1374" s="4" t="str">
        <f t="shared" si="21"/>
        <v/>
      </c>
    </row>
    <row r="1375" spans="2:12" ht="23.25" hidden="1" customHeight="1" x14ac:dyDescent="0.25">
      <c r="B1375" s="4">
        <v>1370</v>
      </c>
      <c r="C1375" s="36" t="str">
        <f>IF(Order!$C$351="","",Order!$C$351)</f>
        <v/>
      </c>
      <c r="D1375" s="36" t="str">
        <f>IF($C1375="","",_xlfn.XLOOKUP($C1375,Order!$C:$C,Order!$D:$D,"",0,1))</f>
        <v/>
      </c>
      <c r="E1375" s="4" t="str">
        <f>IF($C1375="","",_xlfn.XLOOKUP($C1375,Order!$C:$C,Order!$E:$E,"",0,1))</f>
        <v/>
      </c>
      <c r="F1375" s="4" t="str">
        <f>IF($C1375="","",_xlfn.XLOOKUP($C1375,Order!$C:$C,Order!$F:$F,"",0,1))</f>
        <v/>
      </c>
      <c r="G1375" s="4" t="str">
        <f>IF($C1375="","",_xlfn.XLOOKUP($C1375,Order!$C:$C,Order!$G:$G,"",0,1))</f>
        <v/>
      </c>
      <c r="H1375" s="4" t="str">
        <f>IF($C1375="","",_xlfn.XLOOKUP($C1375,Order!$C:$C,Order!$H:$H,"",0,1))</f>
        <v/>
      </c>
      <c r="I1375" s="36" t="str">
        <f>IF($C1375="","",_xlfn.XLOOKUP($C1375,Order!$C:$C,Order!$L:$L,"",0,1))</f>
        <v/>
      </c>
      <c r="J1375" s="4" t="str">
        <f>IF(C1375="","",Order!$L$16)</f>
        <v/>
      </c>
      <c r="K1375" s="36" t="str">
        <f>IF($C1375="","",_xlfn.XLOOKUP($C1375,Order!$C:$C,Order!$P:$P,"",0,1))</f>
        <v/>
      </c>
      <c r="L1375" s="4" t="str">
        <f t="shared" si="21"/>
        <v/>
      </c>
    </row>
    <row r="1376" spans="2:12" ht="23.25" hidden="1" customHeight="1" x14ac:dyDescent="0.25">
      <c r="B1376" s="4">
        <v>1371</v>
      </c>
      <c r="C1376" s="36" t="str">
        <f>IF(Order!$C$352="","",Order!$C$352)</f>
        <v/>
      </c>
      <c r="D1376" s="36" t="str">
        <f>IF($C1376="","",_xlfn.XLOOKUP($C1376,Order!$C:$C,Order!$D:$D,"",0,1))</f>
        <v/>
      </c>
      <c r="E1376" s="4" t="str">
        <f>IF($C1376="","",_xlfn.XLOOKUP($C1376,Order!$C:$C,Order!$E:$E,"",0,1))</f>
        <v/>
      </c>
      <c r="F1376" s="4" t="str">
        <f>IF($C1376="","",_xlfn.XLOOKUP($C1376,Order!$C:$C,Order!$F:$F,"",0,1))</f>
        <v/>
      </c>
      <c r="G1376" s="4" t="str">
        <f>IF($C1376="","",_xlfn.XLOOKUP($C1376,Order!$C:$C,Order!$G:$G,"",0,1))</f>
        <v/>
      </c>
      <c r="H1376" s="4" t="str">
        <f>IF($C1376="","",_xlfn.XLOOKUP($C1376,Order!$C:$C,Order!$H:$H,"",0,1))</f>
        <v/>
      </c>
      <c r="I1376" s="36" t="str">
        <f>IF($C1376="","",_xlfn.XLOOKUP($C1376,Order!$C:$C,Order!$L:$L,"",0,1))</f>
        <v/>
      </c>
      <c r="J1376" s="4" t="str">
        <f>IF(C1376="","",Order!$L$16)</f>
        <v/>
      </c>
      <c r="K1376" s="36" t="str">
        <f>IF($C1376="","",_xlfn.XLOOKUP($C1376,Order!$C:$C,Order!$P:$P,"",0,1))</f>
        <v/>
      </c>
      <c r="L1376" s="4" t="str">
        <f t="shared" si="21"/>
        <v/>
      </c>
    </row>
    <row r="1377" spans="2:12" ht="23.25" hidden="1" customHeight="1" x14ac:dyDescent="0.25">
      <c r="B1377" s="4">
        <v>1372</v>
      </c>
      <c r="C1377" s="36" t="str">
        <f>IF(Order!$C$353="","",Order!$C$353)</f>
        <v/>
      </c>
      <c r="D1377" s="36" t="str">
        <f>IF($C1377="","",_xlfn.XLOOKUP($C1377,Order!$C:$C,Order!$D:$D,"",0,1))</f>
        <v/>
      </c>
      <c r="E1377" s="4" t="str">
        <f>IF($C1377="","",_xlfn.XLOOKUP($C1377,Order!$C:$C,Order!$E:$E,"",0,1))</f>
        <v/>
      </c>
      <c r="F1377" s="4" t="str">
        <f>IF($C1377="","",_xlfn.XLOOKUP($C1377,Order!$C:$C,Order!$F:$F,"",0,1))</f>
        <v/>
      </c>
      <c r="G1377" s="4" t="str">
        <f>IF($C1377="","",_xlfn.XLOOKUP($C1377,Order!$C:$C,Order!$G:$G,"",0,1))</f>
        <v/>
      </c>
      <c r="H1377" s="4" t="str">
        <f>IF($C1377="","",_xlfn.XLOOKUP($C1377,Order!$C:$C,Order!$H:$H,"",0,1))</f>
        <v/>
      </c>
      <c r="I1377" s="36" t="str">
        <f>IF($C1377="","",_xlfn.XLOOKUP($C1377,Order!$C:$C,Order!$L:$L,"",0,1))</f>
        <v/>
      </c>
      <c r="J1377" s="4" t="str">
        <f>IF(C1377="","",Order!$L$16)</f>
        <v/>
      </c>
      <c r="K1377" s="36" t="str">
        <f>IF($C1377="","",_xlfn.XLOOKUP($C1377,Order!$C:$C,Order!$P:$P,"",0,1))</f>
        <v/>
      </c>
      <c r="L1377" s="4" t="str">
        <f t="shared" si="21"/>
        <v/>
      </c>
    </row>
    <row r="1378" spans="2:12" ht="23.25" hidden="1" customHeight="1" x14ac:dyDescent="0.25">
      <c r="B1378" s="4">
        <v>1373</v>
      </c>
      <c r="C1378" s="36" t="str">
        <f>IF(Order!$C$354="","",Order!$C$354)</f>
        <v/>
      </c>
      <c r="D1378" s="36" t="str">
        <f>IF($C1378="","",_xlfn.XLOOKUP($C1378,Order!$C:$C,Order!$D:$D,"",0,1))</f>
        <v/>
      </c>
      <c r="E1378" s="4" t="str">
        <f>IF($C1378="","",_xlfn.XLOOKUP($C1378,Order!$C:$C,Order!$E:$E,"",0,1))</f>
        <v/>
      </c>
      <c r="F1378" s="4" t="str">
        <f>IF($C1378="","",_xlfn.XLOOKUP($C1378,Order!$C:$C,Order!$F:$F,"",0,1))</f>
        <v/>
      </c>
      <c r="G1378" s="4" t="str">
        <f>IF($C1378="","",_xlfn.XLOOKUP($C1378,Order!$C:$C,Order!$G:$G,"",0,1))</f>
        <v/>
      </c>
      <c r="H1378" s="4" t="str">
        <f>IF($C1378="","",_xlfn.XLOOKUP($C1378,Order!$C:$C,Order!$H:$H,"",0,1))</f>
        <v/>
      </c>
      <c r="I1378" s="36" t="str">
        <f>IF($C1378="","",_xlfn.XLOOKUP($C1378,Order!$C:$C,Order!$L:$L,"",0,1))</f>
        <v/>
      </c>
      <c r="J1378" s="4" t="str">
        <f>IF(C1378="","",Order!$L$16)</f>
        <v/>
      </c>
      <c r="K1378" s="36" t="str">
        <f>IF($C1378="","",_xlfn.XLOOKUP($C1378,Order!$C:$C,Order!$P:$P,"",0,1))</f>
        <v/>
      </c>
      <c r="L1378" s="4" t="str">
        <f t="shared" si="21"/>
        <v/>
      </c>
    </row>
    <row r="1379" spans="2:12" ht="23.25" hidden="1" customHeight="1" x14ac:dyDescent="0.25">
      <c r="B1379" s="4">
        <v>1374</v>
      </c>
      <c r="C1379" s="36" t="str">
        <f>IF(Order!$C$355="","",Order!$C$355)</f>
        <v/>
      </c>
      <c r="D1379" s="36" t="str">
        <f>IF($C1379="","",_xlfn.XLOOKUP($C1379,Order!$C:$C,Order!$D:$D,"",0,1))</f>
        <v/>
      </c>
      <c r="E1379" s="4" t="str">
        <f>IF($C1379="","",_xlfn.XLOOKUP($C1379,Order!$C:$C,Order!$E:$E,"",0,1))</f>
        <v/>
      </c>
      <c r="F1379" s="4" t="str">
        <f>IF($C1379="","",_xlfn.XLOOKUP($C1379,Order!$C:$C,Order!$F:$F,"",0,1))</f>
        <v/>
      </c>
      <c r="G1379" s="4" t="str">
        <f>IF($C1379="","",_xlfn.XLOOKUP($C1379,Order!$C:$C,Order!$G:$G,"",0,1))</f>
        <v/>
      </c>
      <c r="H1379" s="4" t="str">
        <f>IF($C1379="","",_xlfn.XLOOKUP($C1379,Order!$C:$C,Order!$H:$H,"",0,1))</f>
        <v/>
      </c>
      <c r="I1379" s="36" t="str">
        <f>IF($C1379="","",_xlfn.XLOOKUP($C1379,Order!$C:$C,Order!$L:$L,"",0,1))</f>
        <v/>
      </c>
      <c r="J1379" s="4" t="str">
        <f>IF(C1379="","",Order!$L$16)</f>
        <v/>
      </c>
      <c r="K1379" s="36" t="str">
        <f>IF($C1379="","",_xlfn.XLOOKUP($C1379,Order!$C:$C,Order!$P:$P,"",0,1))</f>
        <v/>
      </c>
      <c r="L1379" s="4" t="str">
        <f t="shared" si="21"/>
        <v/>
      </c>
    </row>
    <row r="1380" spans="2:12" ht="23.25" hidden="1" customHeight="1" x14ac:dyDescent="0.25">
      <c r="B1380" s="4">
        <v>1375</v>
      </c>
      <c r="C1380" s="36" t="str">
        <f>IF(Order!$C$356="","",Order!$C$356)</f>
        <v/>
      </c>
      <c r="D1380" s="36" t="str">
        <f>IF($C1380="","",_xlfn.XLOOKUP($C1380,Order!$C:$C,Order!$D:$D,"",0,1))</f>
        <v/>
      </c>
      <c r="E1380" s="4" t="str">
        <f>IF($C1380="","",_xlfn.XLOOKUP($C1380,Order!$C:$C,Order!$E:$E,"",0,1))</f>
        <v/>
      </c>
      <c r="F1380" s="4" t="str">
        <f>IF($C1380="","",_xlfn.XLOOKUP($C1380,Order!$C:$C,Order!$F:$F,"",0,1))</f>
        <v/>
      </c>
      <c r="G1380" s="4" t="str">
        <f>IF($C1380="","",_xlfn.XLOOKUP($C1380,Order!$C:$C,Order!$G:$G,"",0,1))</f>
        <v/>
      </c>
      <c r="H1380" s="4" t="str">
        <f>IF($C1380="","",_xlfn.XLOOKUP($C1380,Order!$C:$C,Order!$H:$H,"",0,1))</f>
        <v/>
      </c>
      <c r="I1380" s="36" t="str">
        <f>IF($C1380="","",_xlfn.XLOOKUP($C1380,Order!$C:$C,Order!$L:$L,"",0,1))</f>
        <v/>
      </c>
      <c r="J1380" s="4" t="str">
        <f>IF(C1380="","",Order!$L$16)</f>
        <v/>
      </c>
      <c r="K1380" s="36" t="str">
        <f>IF($C1380="","",_xlfn.XLOOKUP($C1380,Order!$C:$C,Order!$P:$P,"",0,1))</f>
        <v/>
      </c>
      <c r="L1380" s="4" t="str">
        <f t="shared" si="21"/>
        <v/>
      </c>
    </row>
    <row r="1381" spans="2:12" ht="23.25" hidden="1" customHeight="1" x14ac:dyDescent="0.25">
      <c r="B1381" s="4">
        <v>1376</v>
      </c>
      <c r="C1381" s="36" t="str">
        <f>IF(Order!$C$357="","",Order!$C$357)</f>
        <v/>
      </c>
      <c r="D1381" s="36" t="str">
        <f>IF($C1381="","",_xlfn.XLOOKUP($C1381,Order!$C:$C,Order!$D:$D,"",0,1))</f>
        <v/>
      </c>
      <c r="E1381" s="4" t="str">
        <f>IF($C1381="","",_xlfn.XLOOKUP($C1381,Order!$C:$C,Order!$E:$E,"",0,1))</f>
        <v/>
      </c>
      <c r="F1381" s="4" t="str">
        <f>IF($C1381="","",_xlfn.XLOOKUP($C1381,Order!$C:$C,Order!$F:$F,"",0,1))</f>
        <v/>
      </c>
      <c r="G1381" s="4" t="str">
        <f>IF($C1381="","",_xlfn.XLOOKUP($C1381,Order!$C:$C,Order!$G:$G,"",0,1))</f>
        <v/>
      </c>
      <c r="H1381" s="4" t="str">
        <f>IF($C1381="","",_xlfn.XLOOKUP($C1381,Order!$C:$C,Order!$H:$H,"",0,1))</f>
        <v/>
      </c>
      <c r="I1381" s="36" t="str">
        <f>IF($C1381="","",_xlfn.XLOOKUP($C1381,Order!$C:$C,Order!$L:$L,"",0,1))</f>
        <v/>
      </c>
      <c r="J1381" s="4" t="str">
        <f>IF(C1381="","",Order!$L$16)</f>
        <v/>
      </c>
      <c r="K1381" s="36" t="str">
        <f>IF($C1381="","",_xlfn.XLOOKUP($C1381,Order!$C:$C,Order!$P:$P,"",0,1))</f>
        <v/>
      </c>
      <c r="L1381" s="4" t="str">
        <f t="shared" si="21"/>
        <v/>
      </c>
    </row>
    <row r="1382" spans="2:12" ht="23.25" hidden="1" customHeight="1" x14ac:dyDescent="0.25">
      <c r="B1382" s="4">
        <v>1377</v>
      </c>
      <c r="C1382" s="36" t="str">
        <f>IF(Order!$C$358="","",Order!$C$358)</f>
        <v/>
      </c>
      <c r="D1382" s="36" t="str">
        <f>IF($C1382="","",_xlfn.XLOOKUP($C1382,Order!$C:$C,Order!$D:$D,"",0,1))</f>
        <v/>
      </c>
      <c r="E1382" s="4" t="str">
        <f>IF($C1382="","",_xlfn.XLOOKUP($C1382,Order!$C:$C,Order!$E:$E,"",0,1))</f>
        <v/>
      </c>
      <c r="F1382" s="4" t="str">
        <f>IF($C1382="","",_xlfn.XLOOKUP($C1382,Order!$C:$C,Order!$F:$F,"",0,1))</f>
        <v/>
      </c>
      <c r="G1382" s="4" t="str">
        <f>IF($C1382="","",_xlfn.XLOOKUP($C1382,Order!$C:$C,Order!$G:$G,"",0,1))</f>
        <v/>
      </c>
      <c r="H1382" s="4" t="str">
        <f>IF($C1382="","",_xlfn.XLOOKUP($C1382,Order!$C:$C,Order!$H:$H,"",0,1))</f>
        <v/>
      </c>
      <c r="I1382" s="36" t="str">
        <f>IF($C1382="","",_xlfn.XLOOKUP($C1382,Order!$C:$C,Order!$L:$L,"",0,1))</f>
        <v/>
      </c>
      <c r="J1382" s="4" t="str">
        <f>IF(C1382="","",Order!$L$16)</f>
        <v/>
      </c>
      <c r="K1382" s="36" t="str">
        <f>IF($C1382="","",_xlfn.XLOOKUP($C1382,Order!$C:$C,Order!$P:$P,"",0,1))</f>
        <v/>
      </c>
      <c r="L1382" s="4" t="str">
        <f t="shared" si="21"/>
        <v/>
      </c>
    </row>
    <row r="1383" spans="2:12" ht="23.25" hidden="1" customHeight="1" x14ac:dyDescent="0.25">
      <c r="B1383" s="4">
        <v>1378</v>
      </c>
      <c r="C1383" s="36" t="str">
        <f>IF(Order!$C$359="","",Order!$C$359)</f>
        <v/>
      </c>
      <c r="D1383" s="36" t="str">
        <f>IF($C1383="","",_xlfn.XLOOKUP($C1383,Order!$C:$C,Order!$D:$D,"",0,1))</f>
        <v/>
      </c>
      <c r="E1383" s="4" t="str">
        <f>IF($C1383="","",_xlfn.XLOOKUP($C1383,Order!$C:$C,Order!$E:$E,"",0,1))</f>
        <v/>
      </c>
      <c r="F1383" s="4" t="str">
        <f>IF($C1383="","",_xlfn.XLOOKUP($C1383,Order!$C:$C,Order!$F:$F,"",0,1))</f>
        <v/>
      </c>
      <c r="G1383" s="4" t="str">
        <f>IF($C1383="","",_xlfn.XLOOKUP($C1383,Order!$C:$C,Order!$G:$G,"",0,1))</f>
        <v/>
      </c>
      <c r="H1383" s="4" t="str">
        <f>IF($C1383="","",_xlfn.XLOOKUP($C1383,Order!$C:$C,Order!$H:$H,"",0,1))</f>
        <v/>
      </c>
      <c r="I1383" s="36" t="str">
        <f>IF($C1383="","",_xlfn.XLOOKUP($C1383,Order!$C:$C,Order!$L:$L,"",0,1))</f>
        <v/>
      </c>
      <c r="J1383" s="4" t="str">
        <f>IF(C1383="","",Order!$L$16)</f>
        <v/>
      </c>
      <c r="K1383" s="36" t="str">
        <f>IF($C1383="","",_xlfn.XLOOKUP($C1383,Order!$C:$C,Order!$P:$P,"",0,1))</f>
        <v/>
      </c>
      <c r="L1383" s="4" t="str">
        <f t="shared" si="21"/>
        <v/>
      </c>
    </row>
    <row r="1384" spans="2:12" ht="23.25" hidden="1" customHeight="1" x14ac:dyDescent="0.25">
      <c r="B1384" s="4">
        <v>1379</v>
      </c>
      <c r="C1384" s="36" t="str">
        <f>IF(Order!$C$360="","",Order!$C$360)</f>
        <v/>
      </c>
      <c r="D1384" s="36" t="str">
        <f>IF($C1384="","",_xlfn.XLOOKUP($C1384,Order!$C:$C,Order!$D:$D,"",0,1))</f>
        <v/>
      </c>
      <c r="E1384" s="4" t="str">
        <f>IF($C1384="","",_xlfn.XLOOKUP($C1384,Order!$C:$C,Order!$E:$E,"",0,1))</f>
        <v/>
      </c>
      <c r="F1384" s="4" t="str">
        <f>IF($C1384="","",_xlfn.XLOOKUP($C1384,Order!$C:$C,Order!$F:$F,"",0,1))</f>
        <v/>
      </c>
      <c r="G1384" s="4" t="str">
        <f>IF($C1384="","",_xlfn.XLOOKUP($C1384,Order!$C:$C,Order!$G:$G,"",0,1))</f>
        <v/>
      </c>
      <c r="H1384" s="4" t="str">
        <f>IF($C1384="","",_xlfn.XLOOKUP($C1384,Order!$C:$C,Order!$H:$H,"",0,1))</f>
        <v/>
      </c>
      <c r="I1384" s="36" t="str">
        <f>IF($C1384="","",_xlfn.XLOOKUP($C1384,Order!$C:$C,Order!$L:$L,"",0,1))</f>
        <v/>
      </c>
      <c r="J1384" s="4" t="str">
        <f>IF(C1384="","",Order!$L$16)</f>
        <v/>
      </c>
      <c r="K1384" s="36" t="str">
        <f>IF($C1384="","",_xlfn.XLOOKUP($C1384,Order!$C:$C,Order!$P:$P,"",0,1))</f>
        <v/>
      </c>
      <c r="L1384" s="4" t="str">
        <f t="shared" si="21"/>
        <v/>
      </c>
    </row>
    <row r="1385" spans="2:12" ht="23.25" hidden="1" customHeight="1" x14ac:dyDescent="0.25">
      <c r="B1385" s="4">
        <v>1380</v>
      </c>
      <c r="C1385" s="36" t="str">
        <f>IF(Order!$C$361="","",Order!$C$361)</f>
        <v/>
      </c>
      <c r="D1385" s="36" t="str">
        <f>IF($C1385="","",_xlfn.XLOOKUP($C1385,Order!$C:$C,Order!$D:$D,"",0,1))</f>
        <v/>
      </c>
      <c r="E1385" s="4" t="str">
        <f>IF($C1385="","",_xlfn.XLOOKUP($C1385,Order!$C:$C,Order!$E:$E,"",0,1))</f>
        <v/>
      </c>
      <c r="F1385" s="4" t="str">
        <f>IF($C1385="","",_xlfn.XLOOKUP($C1385,Order!$C:$C,Order!$F:$F,"",0,1))</f>
        <v/>
      </c>
      <c r="G1385" s="4" t="str">
        <f>IF($C1385="","",_xlfn.XLOOKUP($C1385,Order!$C:$C,Order!$G:$G,"",0,1))</f>
        <v/>
      </c>
      <c r="H1385" s="4" t="str">
        <f>IF($C1385="","",_xlfn.XLOOKUP($C1385,Order!$C:$C,Order!$H:$H,"",0,1))</f>
        <v/>
      </c>
      <c r="I1385" s="36" t="str">
        <f>IF($C1385="","",_xlfn.XLOOKUP($C1385,Order!$C:$C,Order!$L:$L,"",0,1))</f>
        <v/>
      </c>
      <c r="J1385" s="4" t="str">
        <f>IF(C1385="","",Order!$L$16)</f>
        <v/>
      </c>
      <c r="K1385" s="36" t="str">
        <f>IF($C1385="","",_xlfn.XLOOKUP($C1385,Order!$C:$C,Order!$P:$P,"",0,1))</f>
        <v/>
      </c>
      <c r="L1385" s="4" t="str">
        <f t="shared" si="21"/>
        <v/>
      </c>
    </row>
    <row r="1386" spans="2:12" s="1" customFormat="1" ht="23.25" hidden="1" customHeight="1" x14ac:dyDescent="0.25">
      <c r="B1386" s="4">
        <v>1381</v>
      </c>
      <c r="C1386" s="36" t="str">
        <f>IF(Order!$C$17="","",Order!$C$17)</f>
        <v>BC 1/2X1/8 (Flat bar 1/2 X 1/8" )</v>
      </c>
      <c r="D1386" s="36" t="str">
        <f>IF($C1386="","",_xlfn.XLOOKUP($C1386,Order!$C:$C,Order!$D:$D,"",0,1))</f>
        <v>BC1/2X1/8</v>
      </c>
      <c r="E1386" s="4" t="e" vm="249">
        <f>IF($C1386="","",_xlfn.XLOOKUP($C1386,Order!$C:$C,Order!$E:$E,"",0,1))</f>
        <v>#VALUE!</v>
      </c>
      <c r="F1386" s="4">
        <f>IF($C1386="","",_xlfn.XLOOKUP($C1386,Order!$C:$C,Order!$F:$F,"",0,1))</f>
        <v>6000</v>
      </c>
      <c r="G1386" s="4" t="str">
        <f>IF($C1386="","",_xlfn.XLOOKUP($C1386,Order!$C:$C,Order!$G:$G,"",0,1))</f>
        <v>6063T5</v>
      </c>
      <c r="H1386" s="4">
        <f>IF($C1386="","",_xlfn.XLOOKUP($C1386,Order!$C:$C,Order!$H:$H,"",0,1))</f>
        <v>0.11</v>
      </c>
      <c r="I1386" s="36">
        <f>IF($C1386="","",_xlfn.XLOOKUP($C1386,Order!$C:$C,Order!$M:$M,"",0,1))</f>
        <v>0</v>
      </c>
      <c r="J1386" s="4" t="str">
        <f>IF(C1386="","",Order!$M$16)</f>
        <v>BLACK ANODIZED (FAYP06)</v>
      </c>
      <c r="K1386" s="36">
        <f>IF($C1386="","",_xlfn.XLOOKUP($C1386,Order!$C:$C,Order!$P:$P,"",0,1))</f>
        <v>0</v>
      </c>
      <c r="L1386" s="4">
        <f t="shared" si="21"/>
        <v>0</v>
      </c>
    </row>
    <row r="1387" spans="2:12" s="1" customFormat="1" ht="23.25" hidden="1" customHeight="1" x14ac:dyDescent="0.25">
      <c r="B1387" s="4">
        <v>1382</v>
      </c>
      <c r="C1387" s="36" t="str">
        <f>IF(Order!$C$18="","",Order!$C$18)</f>
        <v>BC 1X1/8 (Flat bar 1 X 1/8")</v>
      </c>
      <c r="D1387" s="36" t="str">
        <f>IF($C1387="","",_xlfn.XLOOKUP($C1387,Order!$C:$C,Order!$D:$D,"",0,1))</f>
        <v>BC1X1/8</v>
      </c>
      <c r="E1387" s="4" t="e" vm="250">
        <f>IF($C1387="","",_xlfn.XLOOKUP($C1387,Order!$C:$C,Order!$E:$E,"",0,1))</f>
        <v>#VALUE!</v>
      </c>
      <c r="F1387" s="4">
        <f>IF($C1387="","",_xlfn.XLOOKUP($C1387,Order!$C:$C,Order!$F:$F,"",0,1))</f>
        <v>6000</v>
      </c>
      <c r="G1387" s="4" t="str">
        <f>IF($C1387="","",_xlfn.XLOOKUP($C1387,Order!$C:$C,Order!$G:$G,"",0,1))</f>
        <v>6063T5</v>
      </c>
      <c r="H1387" s="4">
        <f>IF($C1387="","",_xlfn.XLOOKUP($C1387,Order!$C:$C,Order!$H:$H,"",0,1))</f>
        <v>0.221</v>
      </c>
      <c r="I1387" s="36">
        <f>IF($C1387="","",_xlfn.XLOOKUP($C1387,Order!$C:$C,Order!$M:$M,"",0,1))</f>
        <v>0</v>
      </c>
      <c r="J1387" s="4" t="str">
        <f>IF(C1387="","",Order!$M$16)</f>
        <v>BLACK ANODIZED (FAYP06)</v>
      </c>
      <c r="K1387" s="36">
        <f>IF($C1387="","",_xlfn.XLOOKUP($C1387,Order!$C:$C,Order!$P:$P,"",0,1))</f>
        <v>0</v>
      </c>
      <c r="L1387" s="4">
        <f t="shared" si="21"/>
        <v>0</v>
      </c>
    </row>
    <row r="1388" spans="2:12" ht="23.25" hidden="1" customHeight="1" x14ac:dyDescent="0.25">
      <c r="B1388" s="4">
        <v>1383</v>
      </c>
      <c r="C1388" s="36" t="str">
        <f>IF(Order!$C$19="","",Order!$C$19)</f>
        <v>TR3/8 (Round tube 3/8" with 0.80 mm tickness)</v>
      </c>
      <c r="D1388" s="36" t="str">
        <f>IF($C1388="","",_xlfn.XLOOKUP($C1388,Order!$C:$C,Order!$D:$D,"",0,1))</f>
        <v>TR3/8</v>
      </c>
      <c r="E1388" s="4" t="e" vm="251">
        <f>IF($C1388="","",_xlfn.XLOOKUP($C1388,Order!$C:$C,Order!$E:$E,"",0,1))</f>
        <v>#VALUE!</v>
      </c>
      <c r="F1388" s="4">
        <f>IF($C1388="","",_xlfn.XLOOKUP($C1388,Order!$C:$C,Order!$F:$F,"",0,1))</f>
        <v>6000</v>
      </c>
      <c r="G1388" s="4" t="str">
        <f>IF($C1388="","",_xlfn.XLOOKUP($C1388,Order!$C:$C,Order!$G:$G,"",0,1))</f>
        <v>6063T5</v>
      </c>
      <c r="H1388" s="4">
        <f>IF($C1388="","",_xlfn.XLOOKUP($C1388,Order!$C:$C,Order!$H:$H,"",0,1))</f>
        <v>0.06</v>
      </c>
      <c r="I1388" s="36">
        <f>IF($C1388="","",_xlfn.XLOOKUP($C1388,Order!$C:$C,Order!$M:$M,"",0,1))</f>
        <v>0</v>
      </c>
      <c r="J1388" s="4" t="str">
        <f>IF(C1388="","",Order!$M$16)</f>
        <v>BLACK ANODIZED (FAYP06)</v>
      </c>
      <c r="K1388" s="36">
        <f>IF($C1388="","",_xlfn.XLOOKUP($C1388,Order!$C:$C,Order!$P:$P,"",0,1))</f>
        <v>0</v>
      </c>
      <c r="L1388" s="4">
        <f t="shared" si="21"/>
        <v>0</v>
      </c>
    </row>
    <row r="1389" spans="2:12" ht="23.25" hidden="1" customHeight="1" x14ac:dyDescent="0.25">
      <c r="B1389" s="4">
        <v>1384</v>
      </c>
      <c r="C1389" s="36" t="str">
        <f>IF(Order!$C$20="","",Order!$C$20)</f>
        <v>TR1/2 (Round tube 1/2 with 0.90 mm tickness)</v>
      </c>
      <c r="D1389" s="36" t="str">
        <f>IF($C1389="","",_xlfn.XLOOKUP($C1389,Order!$C:$C,Order!$D:$D,"",0,1))</f>
        <v>TR12</v>
      </c>
      <c r="E1389" s="4" t="e" vm="251">
        <f>IF($C1389="","",_xlfn.XLOOKUP($C1389,Order!$C:$C,Order!$E:$E,"",0,1))</f>
        <v>#VALUE!</v>
      </c>
      <c r="F1389" s="4">
        <f>IF($C1389="","",_xlfn.XLOOKUP($C1389,Order!$C:$C,Order!$F:$F,"",0,1))</f>
        <v>6000</v>
      </c>
      <c r="G1389" s="4" t="str">
        <f>IF($C1389="","",_xlfn.XLOOKUP($C1389,Order!$C:$C,Order!$G:$G,"",0,1))</f>
        <v>6063T5</v>
      </c>
      <c r="H1389" s="4">
        <f>IF($C1389="","",_xlfn.XLOOKUP($C1389,Order!$C:$C,Order!$H:$H,"",0,1))</f>
        <v>9.0999999999999998E-2</v>
      </c>
      <c r="I1389" s="36">
        <f>IF($C1389="","",_xlfn.XLOOKUP($C1389,Order!$C:$C,Order!$M:$M,"",0,1))</f>
        <v>0</v>
      </c>
      <c r="J1389" s="4" t="str">
        <f>IF(C1389="","",Order!$M$16)</f>
        <v>BLACK ANODIZED (FAYP06)</v>
      </c>
      <c r="K1389" s="36">
        <f>IF($C1389="","",_xlfn.XLOOKUP($C1389,Order!$C:$C,Order!$P:$P,"",0,1))</f>
        <v>0</v>
      </c>
      <c r="L1389" s="4">
        <f t="shared" si="21"/>
        <v>0</v>
      </c>
    </row>
    <row r="1390" spans="2:12" ht="23.25" customHeight="1" x14ac:dyDescent="0.25">
      <c r="B1390" s="4">
        <v>1385</v>
      </c>
      <c r="C1390" s="36" t="str">
        <f>IF(Order!$C$21="","",Order!$C$21)</f>
        <v>TR 5/8 (Round tube 5/8" with 0.80 mm thickness)</v>
      </c>
      <c r="D1390" s="36" t="str">
        <f>IF($C1390="","",_xlfn.XLOOKUP($C1390,Order!$C:$C,Order!$D:$D,"",0,1))</f>
        <v>TR58</v>
      </c>
      <c r="E1390" s="4" t="e" vm="251">
        <f>IF($C1390="","",_xlfn.XLOOKUP($C1390,Order!$C:$C,Order!$E:$E,"",0,1))</f>
        <v>#VALUE!</v>
      </c>
      <c r="F1390" s="4">
        <f>IF($C1390="","",_xlfn.XLOOKUP($C1390,Order!$C:$C,Order!$F:$F,"",0,1))</f>
        <v>6000</v>
      </c>
      <c r="G1390" s="4" t="str">
        <f>IF($C1390="","",_xlfn.XLOOKUP($C1390,Order!$C:$C,Order!$G:$G,"",0,1))</f>
        <v>6063T5</v>
      </c>
      <c r="H1390" s="4">
        <f>IF($C1390="","",_xlfn.XLOOKUP($C1390,Order!$C:$C,Order!$H:$H,"",0,1))</f>
        <v>0.10299999999999999</v>
      </c>
      <c r="I1390" s="36">
        <f>IF($C1390="","",_xlfn.XLOOKUP($C1390,Order!$C:$C,Order!$M:$M,"",0,1))</f>
        <v>80</v>
      </c>
      <c r="J1390" s="4" t="str">
        <f>IF(C1390="","",Order!$M$16)</f>
        <v>BLACK ANODIZED (FAYP06)</v>
      </c>
      <c r="K1390" s="36">
        <f>IF($C1390="","",_xlfn.XLOOKUP($C1390,Order!$C:$C,Order!$P:$P,"",0,1))</f>
        <v>0</v>
      </c>
      <c r="L1390" s="4">
        <f t="shared" si="21"/>
        <v>49.44</v>
      </c>
    </row>
    <row r="1391" spans="2:12" ht="23.25" hidden="1" customHeight="1" x14ac:dyDescent="0.25">
      <c r="B1391" s="4">
        <v>1386</v>
      </c>
      <c r="C1391" s="36" t="str">
        <f>IF(Order!$C$22="","",Order!$C$22)</f>
        <v>TR3/4A (Round tube 3/4" with 0.80 mm thickness)</v>
      </c>
      <c r="D1391" s="36" t="str">
        <f>IF($C1391="","",_xlfn.XLOOKUP($C1391,Order!$C:$C,Order!$D:$D,"",0,1))</f>
        <v>TR34A</v>
      </c>
      <c r="E1391" s="4" t="e" vm="251">
        <f>IF($C1391="","",_xlfn.XLOOKUP($C1391,Order!$C:$C,Order!$E:$E,"",0,1))</f>
        <v>#VALUE!</v>
      </c>
      <c r="F1391" s="4">
        <f>IF($C1391="","",_xlfn.XLOOKUP($C1391,Order!$C:$C,Order!$F:$F,"",0,1))</f>
        <v>6000</v>
      </c>
      <c r="G1391" s="4" t="str">
        <f>IF($C1391="","",_xlfn.XLOOKUP($C1391,Order!$C:$C,Order!$G:$G,"",0,1))</f>
        <v>6063T5</v>
      </c>
      <c r="H1391" s="4">
        <f>IF($C1391="","",_xlfn.XLOOKUP($C1391,Order!$C:$C,Order!$H:$H,"",0,1))</f>
        <v>0.125</v>
      </c>
      <c r="I1391" s="36">
        <f>IF($C1391="","",_xlfn.XLOOKUP($C1391,Order!$C:$C,Order!$M:$M,"",0,1))</f>
        <v>0</v>
      </c>
      <c r="J1391" s="4" t="str">
        <f>IF(C1391="","",Order!$M$16)</f>
        <v>BLACK ANODIZED (FAYP06)</v>
      </c>
      <c r="K1391" s="36">
        <f>IF($C1391="","",_xlfn.XLOOKUP($C1391,Order!$C:$C,Order!$P:$P,"",0,1))</f>
        <v>0</v>
      </c>
      <c r="L1391" s="4">
        <f t="shared" si="21"/>
        <v>0</v>
      </c>
    </row>
    <row r="1392" spans="2:12" ht="23.25" hidden="1" customHeight="1" x14ac:dyDescent="0.25">
      <c r="B1392" s="4">
        <v>1387</v>
      </c>
      <c r="C1392" s="36" t="str">
        <f>IF(Order!$C$23="","",Order!$C$23)</f>
        <v>TR7/8 (Round tube 7/8" with 0.90 mm thickness)</v>
      </c>
      <c r="D1392" s="36" t="str">
        <f>IF($C1392="","",_xlfn.XLOOKUP($C1392,Order!$C:$C,Order!$D:$D,"",0,1))</f>
        <v>TR7/8</v>
      </c>
      <c r="E1392" s="4" t="e" vm="251">
        <f>IF($C1392="","",_xlfn.XLOOKUP($C1392,Order!$C:$C,Order!$E:$E,"",0,1))</f>
        <v>#VALUE!</v>
      </c>
      <c r="F1392" s="4">
        <f>IF($C1392="","",_xlfn.XLOOKUP($C1392,Order!$C:$C,Order!$F:$F,"",0,1))</f>
        <v>6000</v>
      </c>
      <c r="G1392" s="4" t="str">
        <f>IF($C1392="","",_xlfn.XLOOKUP($C1392,Order!$C:$C,Order!$G:$G,"",0,1))</f>
        <v>6063T5</v>
      </c>
      <c r="H1392" s="4">
        <f>IF($C1392="","",_xlfn.XLOOKUP($C1392,Order!$C:$C,Order!$H:$H,"",0,1))</f>
        <v>0.16400000000000001</v>
      </c>
      <c r="I1392" s="36">
        <f>IF($C1392="","",_xlfn.XLOOKUP($C1392,Order!$C:$C,Order!$M:$M,"",0,1))</f>
        <v>0</v>
      </c>
      <c r="J1392" s="4" t="str">
        <f>IF(C1392="","",Order!$M$16)</f>
        <v>BLACK ANODIZED (FAYP06)</v>
      </c>
      <c r="K1392" s="36">
        <f>IF($C1392="","",_xlfn.XLOOKUP($C1392,Order!$C:$C,Order!$P:$P,"",0,1))</f>
        <v>0</v>
      </c>
      <c r="L1392" s="4">
        <f t="shared" si="21"/>
        <v>0</v>
      </c>
    </row>
    <row r="1393" spans="2:12" ht="23.25" hidden="1" customHeight="1" x14ac:dyDescent="0.25">
      <c r="B1393" s="4">
        <v>1388</v>
      </c>
      <c r="C1393" s="36" t="str">
        <f>IF(Order!$C$24="","",Order!$C$24)</f>
        <v>TR24.8 (Round tube 24.8 mm with 0.90 mm thickness)</v>
      </c>
      <c r="D1393" s="36" t="str">
        <f>IF($C1393="","",_xlfn.XLOOKUP($C1393,Order!$C:$C,Order!$D:$D,"",0,1))</f>
        <v>TR24.8</v>
      </c>
      <c r="E1393" s="4" t="e" vm="251">
        <f>IF($C1393="","",_xlfn.XLOOKUP($C1393,Order!$C:$C,Order!$E:$E,"",0,1))</f>
        <v>#VALUE!</v>
      </c>
      <c r="F1393" s="4">
        <f>IF($C1393="","",_xlfn.XLOOKUP($C1393,Order!$C:$C,Order!$F:$F,"",0,1))</f>
        <v>6000</v>
      </c>
      <c r="G1393" s="4" t="str">
        <f>IF($C1393="","",_xlfn.XLOOKUP($C1393,Order!$C:$C,Order!$G:$G,"",0,1))</f>
        <v>6063T5</v>
      </c>
      <c r="H1393" s="4">
        <f>IF($C1393="","",_xlfn.XLOOKUP($C1393,Order!$C:$C,Order!$H:$H,"",0,1))</f>
        <v>0</v>
      </c>
      <c r="I1393" s="36">
        <f>IF($C1393="","",_xlfn.XLOOKUP($C1393,Order!$C:$C,Order!$M:$M,"",0,1))</f>
        <v>0</v>
      </c>
      <c r="J1393" s="4" t="str">
        <f>IF(C1393="","",Order!$M$16)</f>
        <v>BLACK ANODIZED (FAYP06)</v>
      </c>
      <c r="K1393" s="36">
        <f>IF($C1393="","",_xlfn.XLOOKUP($C1393,Order!$C:$C,Order!$P:$P,"",0,1))</f>
        <v>0</v>
      </c>
      <c r="L1393" s="4">
        <f t="shared" si="21"/>
        <v>0</v>
      </c>
    </row>
    <row r="1394" spans="2:12" ht="23.25" hidden="1" customHeight="1" x14ac:dyDescent="0.25">
      <c r="B1394" s="4">
        <v>1389</v>
      </c>
      <c r="C1394" s="36" t="str">
        <f>IF(Order!$C$25="","",Order!$C$25)</f>
        <v>TR1 (Round tube 1" with 0.80 mm thickness)</v>
      </c>
      <c r="D1394" s="36" t="str">
        <f>IF($C1394="","",_xlfn.XLOOKUP($C1394,Order!$C:$C,Order!$D:$D,"",0,1))</f>
        <v>TR1</v>
      </c>
      <c r="E1394" s="4" t="e" vm="251">
        <f>IF($C1394="","",_xlfn.XLOOKUP($C1394,Order!$C:$C,Order!$E:$E,"",0,1))</f>
        <v>#VALUE!</v>
      </c>
      <c r="F1394" s="4">
        <f>IF($C1394="","",_xlfn.XLOOKUP($C1394,Order!$C:$C,Order!$F:$F,"",0,1))</f>
        <v>6000</v>
      </c>
      <c r="G1394" s="4" t="str">
        <f>IF($C1394="","",_xlfn.XLOOKUP($C1394,Order!$C:$C,Order!$G:$G,"",0,1))</f>
        <v>6063T5</v>
      </c>
      <c r="H1394" s="4">
        <f>IF($C1394="","",_xlfn.XLOOKUP($C1394,Order!$C:$C,Order!$H:$H,"",0,1))</f>
        <v>0.16900000000000001</v>
      </c>
      <c r="I1394" s="36">
        <f>IF($C1394="","",_xlfn.XLOOKUP($C1394,Order!$C:$C,Order!$M:$M,"",0,1))</f>
        <v>0</v>
      </c>
      <c r="J1394" s="4" t="str">
        <f>IF(C1394="","",Order!$M$16)</f>
        <v>BLACK ANODIZED (FAYP06)</v>
      </c>
      <c r="K1394" s="36">
        <f>IF($C1394="","",_xlfn.XLOOKUP($C1394,Order!$C:$C,Order!$P:$P,"",0,1))</f>
        <v>0</v>
      </c>
      <c r="L1394" s="4">
        <f t="shared" si="21"/>
        <v>0</v>
      </c>
    </row>
    <row r="1395" spans="2:12" ht="23.25" hidden="1" customHeight="1" x14ac:dyDescent="0.25">
      <c r="B1395" s="4">
        <v>1390</v>
      </c>
      <c r="C1395" s="36" t="str">
        <f>IF(Order!$C$26="","",Order!$C$26)</f>
        <v>TR1x1.0 (Round tube 1" with 1.00 mm thickness)</v>
      </c>
      <c r="D1395" s="36" t="str">
        <f>IF($C1395="","",_xlfn.XLOOKUP($C1395,Order!$C:$C,Order!$D:$D,"",0,1))</f>
        <v>TR1X1.0</v>
      </c>
      <c r="E1395" s="4" t="e" vm="251">
        <f>IF($C1395="","",_xlfn.XLOOKUP($C1395,Order!$C:$C,Order!$E:$E,"",0,1))</f>
        <v>#VALUE!</v>
      </c>
      <c r="F1395" s="4">
        <f>IF($C1395="","",_xlfn.XLOOKUP($C1395,Order!$C:$C,Order!$F:$F,"",0,1))</f>
        <v>6000</v>
      </c>
      <c r="G1395" s="4" t="str">
        <f>IF($C1395="","",_xlfn.XLOOKUP($C1395,Order!$C:$C,Order!$G:$G,"",0,1))</f>
        <v>6063T5</v>
      </c>
      <c r="H1395" s="4">
        <f>IF($C1395="","",_xlfn.XLOOKUP($C1395,Order!$C:$C,Order!$H:$H,"",0,1))</f>
        <v>0</v>
      </c>
      <c r="I1395" s="36">
        <f>IF($C1395="","",_xlfn.XLOOKUP($C1395,Order!$C:$C,Order!$M:$M,"",0,1))</f>
        <v>0</v>
      </c>
      <c r="J1395" s="4" t="str">
        <f>IF(C1395="","",Order!$M$16)</f>
        <v>BLACK ANODIZED (FAYP06)</v>
      </c>
      <c r="K1395" s="36">
        <f>IF($C1395="","",_xlfn.XLOOKUP($C1395,Order!$C:$C,Order!$P:$P,"",0,1))</f>
        <v>0</v>
      </c>
      <c r="L1395" s="4">
        <f t="shared" si="21"/>
        <v>0</v>
      </c>
    </row>
    <row r="1396" spans="2:12" ht="23.25" hidden="1" customHeight="1" x14ac:dyDescent="0.25">
      <c r="B1396" s="4">
        <v>1391</v>
      </c>
      <c r="C1396" s="36" t="str">
        <f>IF(Order!$C$27="","",Order!$C$27)</f>
        <v>TR1.1/4 (Round tube  1.1/4" with 1.00 mm thickness)</v>
      </c>
      <c r="D1396" s="36" t="str">
        <f>IF($C1396="","",_xlfn.XLOOKUP($C1396,Order!$C:$C,Order!$D:$D,"",0,1))</f>
        <v>TR1.1-4</v>
      </c>
      <c r="E1396" s="4" t="e" vm="251">
        <f>IF($C1396="","",_xlfn.XLOOKUP($C1396,Order!$C:$C,Order!$E:$E,"",0,1))</f>
        <v>#VALUE!</v>
      </c>
      <c r="F1396" s="4">
        <f>IF($C1396="","",_xlfn.XLOOKUP($C1396,Order!$C:$C,Order!$F:$F,"",0,1))</f>
        <v>6000</v>
      </c>
      <c r="G1396" s="4" t="str">
        <f>IF($C1396="","",_xlfn.XLOOKUP($C1396,Order!$C:$C,Order!$G:$G,"",0,1))</f>
        <v>6063T5</v>
      </c>
      <c r="H1396" s="4">
        <f>IF($C1396="","",_xlfn.XLOOKUP($C1396,Order!$C:$C,Order!$H:$H,"",0,1))</f>
        <v>0.26400000000000001</v>
      </c>
      <c r="I1396" s="36">
        <f>IF($C1396="","",_xlfn.XLOOKUP($C1396,Order!$C:$C,Order!$M:$M,"",0,1))</f>
        <v>0</v>
      </c>
      <c r="J1396" s="4" t="str">
        <f>IF(C1396="","",Order!$M$16)</f>
        <v>BLACK ANODIZED (FAYP06)</v>
      </c>
      <c r="K1396" s="36">
        <f>IF($C1396="","",_xlfn.XLOOKUP($C1396,Order!$C:$C,Order!$P:$P,"",0,1))</f>
        <v>0</v>
      </c>
      <c r="L1396" s="4">
        <f t="shared" si="21"/>
        <v>0</v>
      </c>
    </row>
    <row r="1397" spans="2:12" ht="23.25" hidden="1" customHeight="1" x14ac:dyDescent="0.25">
      <c r="B1397" s="4">
        <v>1392</v>
      </c>
      <c r="C1397" s="36" t="str">
        <f>IF(Order!$C$28="","",Order!$C$28)</f>
        <v>TR1.1/2 (Round tube  1.1/2" with 1.00 mmthickness)</v>
      </c>
      <c r="D1397" s="36" t="str">
        <f>IF($C1397="","",_xlfn.XLOOKUP($C1397,Order!$C:$C,Order!$D:$D,"",0,1))</f>
        <v>TR1.1/2</v>
      </c>
      <c r="E1397" s="4" t="e" vm="251">
        <f>IF($C1397="","",_xlfn.XLOOKUP($C1397,Order!$C:$C,Order!$E:$E,"",0,1))</f>
        <v>#VALUE!</v>
      </c>
      <c r="F1397" s="4">
        <f>IF($C1397="","",_xlfn.XLOOKUP($C1397,Order!$C:$C,Order!$F:$F,"",0,1))</f>
        <v>6000</v>
      </c>
      <c r="G1397" s="4" t="str">
        <f>IF($C1397="","",_xlfn.XLOOKUP($C1397,Order!$C:$C,Order!$G:$G,"",0,1))</f>
        <v>6063T5</v>
      </c>
      <c r="H1397" s="4">
        <f>IF($C1397="","",_xlfn.XLOOKUP($C1397,Order!$C:$C,Order!$H:$H,"",0,1))</f>
        <v>0.318</v>
      </c>
      <c r="I1397" s="36">
        <f>IF($C1397="","",_xlfn.XLOOKUP($C1397,Order!$C:$C,Order!$M:$M,"",0,1))</f>
        <v>0</v>
      </c>
      <c r="J1397" s="4" t="str">
        <f>IF(C1397="","",Order!$M$16)</f>
        <v>BLACK ANODIZED (FAYP06)</v>
      </c>
      <c r="K1397" s="36">
        <f>IF($C1397="","",_xlfn.XLOOKUP($C1397,Order!$C:$C,Order!$P:$P,"",0,1))</f>
        <v>0</v>
      </c>
      <c r="L1397" s="4">
        <f t="shared" si="21"/>
        <v>0</v>
      </c>
    </row>
    <row r="1398" spans="2:12" ht="23.25" hidden="1" customHeight="1" x14ac:dyDescent="0.25">
      <c r="B1398" s="4">
        <v>1393</v>
      </c>
      <c r="C1398" s="36" t="str">
        <f>IF(Order!$C$29="","",Order!$C$29)</f>
        <v>TR2A (Round tube 2" with 0.95 mm thickness)</v>
      </c>
      <c r="D1398" s="36" t="str">
        <f>IF($C1398="","",_xlfn.XLOOKUP($C1398,Order!$C:$C,Order!$D:$D,"",0,1))</f>
        <v>TR2A</v>
      </c>
      <c r="E1398" s="4" t="e" vm="251">
        <f>IF($C1398="","",_xlfn.XLOOKUP($C1398,Order!$C:$C,Order!$E:$E,"",0,1))</f>
        <v>#VALUE!</v>
      </c>
      <c r="F1398" s="4">
        <f>IF($C1398="","",_xlfn.XLOOKUP($C1398,Order!$C:$C,Order!$F:$F,"",0,1))</f>
        <v>6000</v>
      </c>
      <c r="G1398" s="4" t="str">
        <f>IF($C1398="","",_xlfn.XLOOKUP($C1398,Order!$C:$C,Order!$G:$G,"",0,1))</f>
        <v>6063T5</v>
      </c>
      <c r="H1398" s="4">
        <f>IF($C1398="","",_xlfn.XLOOKUP($C1398,Order!$C:$C,Order!$H:$H,"",0,1))</f>
        <v>0.40600000000000003</v>
      </c>
      <c r="I1398" s="36">
        <f>IF($C1398="","",_xlfn.XLOOKUP($C1398,Order!$C:$C,Order!$M:$M,"",0,1))</f>
        <v>0</v>
      </c>
      <c r="J1398" s="4" t="str">
        <f>IF(C1398="","",Order!$M$16)</f>
        <v>BLACK ANODIZED (FAYP06)</v>
      </c>
      <c r="K1398" s="36">
        <f>IF($C1398="","",_xlfn.XLOOKUP($C1398,Order!$C:$C,Order!$P:$P,"",0,1))</f>
        <v>0</v>
      </c>
      <c r="L1398" s="4">
        <f t="shared" si="21"/>
        <v>0</v>
      </c>
    </row>
    <row r="1399" spans="2:12" ht="23.25" hidden="1" customHeight="1" x14ac:dyDescent="0.25">
      <c r="B1399" s="4">
        <v>1394</v>
      </c>
      <c r="C1399" s="36" t="str">
        <f>IF(Order!$C$30="","",Order!$C$30)</f>
        <v>TR3 (Round tube 3" with 1.27 mm thickness)</v>
      </c>
      <c r="D1399" s="36" t="str">
        <f>IF($C1399="","",_xlfn.XLOOKUP($C1399,Order!$C:$C,Order!$D:$D,"",0,1))</f>
        <v>TR3</v>
      </c>
      <c r="E1399" s="4" t="e" vm="251">
        <f>IF($C1399="","",_xlfn.XLOOKUP($C1399,Order!$C:$C,Order!$E:$E,"",0,1))</f>
        <v>#VALUE!</v>
      </c>
      <c r="F1399" s="4">
        <f>IF($C1399="","",_xlfn.XLOOKUP($C1399,Order!$C:$C,Order!$F:$F,"",0,1))</f>
        <v>6000</v>
      </c>
      <c r="G1399" s="4" t="str">
        <f>IF($C1399="","",_xlfn.XLOOKUP($C1399,Order!$C:$C,Order!$G:$G,"",0,1))</f>
        <v>6063T5</v>
      </c>
      <c r="H1399" s="4">
        <f>IF($C1399="","",_xlfn.XLOOKUP($C1399,Order!$C:$C,Order!$H:$H,"",0,1))</f>
        <v>0.81599999999999995</v>
      </c>
      <c r="I1399" s="36">
        <f>IF($C1399="","",_xlfn.XLOOKUP($C1399,Order!$C:$C,Order!$M:$M,"",0,1))</f>
        <v>0</v>
      </c>
      <c r="J1399" s="4" t="str">
        <f>IF(C1399="","",Order!$M$16)</f>
        <v>BLACK ANODIZED (FAYP06)</v>
      </c>
      <c r="K1399" s="36">
        <f>IF($C1399="","",_xlfn.XLOOKUP($C1399,Order!$C:$C,Order!$P:$P,"",0,1))</f>
        <v>0</v>
      </c>
      <c r="L1399" s="4">
        <f t="shared" si="21"/>
        <v>0</v>
      </c>
    </row>
    <row r="1400" spans="2:12" ht="23.25" hidden="1" customHeight="1" x14ac:dyDescent="0.25">
      <c r="B1400" s="4">
        <v>1395</v>
      </c>
      <c r="C1400" s="36" t="str">
        <f>IF(Order!$C$31="","",Order!$C$31)</f>
        <v/>
      </c>
      <c r="D1400" s="36" t="str">
        <f>IF($C1400="","",_xlfn.XLOOKUP($C1400,Order!$C:$C,Order!$D:$D,"",0,1))</f>
        <v/>
      </c>
      <c r="E1400" s="4" t="str">
        <f>IF($C1400="","",_xlfn.XLOOKUP($C1400,Order!$C:$C,Order!$E:$E,"",0,1))</f>
        <v/>
      </c>
      <c r="F1400" s="4" t="str">
        <f>IF($C1400="","",_xlfn.XLOOKUP($C1400,Order!$C:$C,Order!$F:$F,"",0,1))</f>
        <v/>
      </c>
      <c r="G1400" s="4" t="str">
        <f>IF($C1400="","",_xlfn.XLOOKUP($C1400,Order!$C:$C,Order!$G:$G,"",0,1))</f>
        <v/>
      </c>
      <c r="H1400" s="4" t="str">
        <f>IF($C1400="","",_xlfn.XLOOKUP($C1400,Order!$C:$C,Order!$H:$H,"",0,1))</f>
        <v/>
      </c>
      <c r="I1400" s="36" t="str">
        <f>IF($C1400="","",_xlfn.XLOOKUP($C1400,Order!$C:$C,Order!$M:$M,"",0,1))</f>
        <v/>
      </c>
      <c r="J1400" s="4" t="str">
        <f>IF(C1400="","",Order!$M$16)</f>
        <v/>
      </c>
      <c r="K1400" s="36" t="str">
        <f>IF($C1400="","",_xlfn.XLOOKUP($C1400,Order!$C:$C,Order!$P:$P,"",0,1))</f>
        <v/>
      </c>
      <c r="L1400" s="4" t="str">
        <f t="shared" si="21"/>
        <v/>
      </c>
    </row>
    <row r="1401" spans="2:12" ht="23.25" hidden="1" customHeight="1" x14ac:dyDescent="0.25">
      <c r="B1401" s="4">
        <v>1396</v>
      </c>
      <c r="C1401" s="36" t="str">
        <f>IF(Order!$C$32="","",Order!$C$32)</f>
        <v>TQ3/4 (Square tube 3/4 with 0.90 mm thickness)</v>
      </c>
      <c r="D1401" s="36" t="str">
        <f>IF($C1401="","",_xlfn.XLOOKUP($C1401,Order!$C:$C,Order!$D:$D,"",0,1))</f>
        <v>TQ34</v>
      </c>
      <c r="E1401" s="4" t="e" vm="252">
        <f>IF($C1401="","",_xlfn.XLOOKUP($C1401,Order!$C:$C,Order!$E:$E,"",0,1))</f>
        <v>#VALUE!</v>
      </c>
      <c r="F1401" s="4">
        <f>IF($C1401="","",_xlfn.XLOOKUP($C1401,Order!$C:$C,Order!$F:$F,"",0,1))</f>
        <v>6000</v>
      </c>
      <c r="G1401" s="4" t="str">
        <f>IF($C1401="","",_xlfn.XLOOKUP($C1401,Order!$C:$C,Order!$G:$G,"",0,1))</f>
        <v>6063T5</v>
      </c>
      <c r="H1401" s="4">
        <f>IF($C1401="","",_xlfn.XLOOKUP($C1401,Order!$C:$C,Order!$H:$H,"",0,1))</f>
        <v>0.17799999999999999</v>
      </c>
      <c r="I1401" s="36">
        <f>IF($C1401="","",_xlfn.XLOOKUP($C1401,Order!$C:$C,Order!$M:$M,"",0,1))</f>
        <v>0</v>
      </c>
      <c r="J1401" s="4" t="str">
        <f>IF(C1401="","",Order!$M$16)</f>
        <v>BLACK ANODIZED (FAYP06)</v>
      </c>
      <c r="K1401" s="36">
        <f>IF($C1401="","",_xlfn.XLOOKUP($C1401,Order!$C:$C,Order!$P:$P,"",0,1))</f>
        <v>0</v>
      </c>
      <c r="L1401" s="4">
        <f t="shared" si="21"/>
        <v>0</v>
      </c>
    </row>
    <row r="1402" spans="2:12" ht="23.25" hidden="1" customHeight="1" x14ac:dyDescent="0.25">
      <c r="B1402" s="4">
        <v>1397</v>
      </c>
      <c r="C1402" s="36" t="str">
        <f>IF(Order!$C$33="","",Order!$C$33)</f>
        <v>TQ1 (Squar tube 1" with 0.80 mm thickness)</v>
      </c>
      <c r="D1402" s="36" t="str">
        <f>IF($C1402="","",_xlfn.XLOOKUP($C1402,Order!$C:$C,Order!$D:$D,"",0,1))</f>
        <v>TQ1</v>
      </c>
      <c r="E1402" s="4" t="e" vm="252">
        <f>IF($C1402="","",_xlfn.XLOOKUP($C1402,Order!$C:$C,Order!$E:$E,"",0,1))</f>
        <v>#VALUE!</v>
      </c>
      <c r="F1402" s="4">
        <f>IF($C1402="","",_xlfn.XLOOKUP($C1402,Order!$C:$C,Order!$F:$F,"",0,1))</f>
        <v>6000</v>
      </c>
      <c r="G1402" s="4" t="str">
        <f>IF($C1402="","",_xlfn.XLOOKUP($C1402,Order!$C:$C,Order!$G:$G,"",0,1))</f>
        <v>6063T5</v>
      </c>
      <c r="H1402" s="4">
        <f>IF($C1402="","",_xlfn.XLOOKUP($C1402,Order!$C:$C,Order!$H:$H,"",0,1))</f>
        <v>0.215</v>
      </c>
      <c r="I1402" s="36">
        <f>IF($C1402="","",_xlfn.XLOOKUP($C1402,Order!$C:$C,Order!$M:$M,"",0,1))</f>
        <v>0</v>
      </c>
      <c r="J1402" s="4" t="str">
        <f>IF(C1402="","",Order!$M$16)</f>
        <v>BLACK ANODIZED (FAYP06)</v>
      </c>
      <c r="K1402" s="36">
        <f>IF($C1402="","",_xlfn.XLOOKUP($C1402,Order!$C:$C,Order!$P:$P,"",0,1))</f>
        <v>0</v>
      </c>
      <c r="L1402" s="4">
        <f t="shared" si="21"/>
        <v>0</v>
      </c>
    </row>
    <row r="1403" spans="2:12" ht="23.25" hidden="1" customHeight="1" x14ac:dyDescent="0.25">
      <c r="B1403" s="4">
        <v>1398</v>
      </c>
      <c r="C1403" s="36" t="str">
        <f>IF(Order!$C$34="","",Order!$C$34)</f>
        <v>TQ1.1/2A (Square tube 1.1/2" with 0.80 mm thickness)</v>
      </c>
      <c r="D1403" s="36" t="str">
        <f>IF($C1403="","",_xlfn.XLOOKUP($C1403,Order!$C:$C,Order!$D:$D,"",0,1))</f>
        <v>TQ1.12A</v>
      </c>
      <c r="E1403" s="4" t="e" vm="252">
        <f>IF($C1403="","",_xlfn.XLOOKUP($C1403,Order!$C:$C,Order!$E:$E,"",0,1))</f>
        <v>#VALUE!</v>
      </c>
      <c r="F1403" s="4">
        <f>IF($C1403="","",_xlfn.XLOOKUP($C1403,Order!$C:$C,Order!$F:$F,"",0,1))</f>
        <v>6000</v>
      </c>
      <c r="G1403" s="4" t="str">
        <f>IF($C1403="","",_xlfn.XLOOKUP($C1403,Order!$C:$C,Order!$G:$G,"",0,1))</f>
        <v>6063T5</v>
      </c>
      <c r="H1403" s="4">
        <f>IF($C1403="","",_xlfn.XLOOKUP($C1403,Order!$C:$C,Order!$H:$H,"",0,1))</f>
        <v>0.32600000000000001</v>
      </c>
      <c r="I1403" s="36">
        <f>IF($C1403="","",_xlfn.XLOOKUP($C1403,Order!$C:$C,Order!$M:$M,"",0,1))</f>
        <v>0</v>
      </c>
      <c r="J1403" s="4" t="str">
        <f>IF(C1403="","",Order!$M$16)</f>
        <v>BLACK ANODIZED (FAYP06)</v>
      </c>
      <c r="K1403" s="36">
        <f>IF($C1403="","",_xlfn.XLOOKUP($C1403,Order!$C:$C,Order!$P:$P,"",0,1))</f>
        <v>0</v>
      </c>
      <c r="L1403" s="4">
        <f t="shared" si="21"/>
        <v>0</v>
      </c>
    </row>
    <row r="1404" spans="2:12" ht="23.25" hidden="1" customHeight="1" x14ac:dyDescent="0.25">
      <c r="B1404" s="4">
        <v>1399</v>
      </c>
      <c r="C1404" s="36" t="str">
        <f>IF(Order!$C$35="","",Order!$C$35)</f>
        <v>TQ2L (Square tube 2" with 0.90 mm thickness)</v>
      </c>
      <c r="D1404" s="36" t="str">
        <f>IF($C1404="","",_xlfn.XLOOKUP($C1404,Order!$C:$C,Order!$D:$D,"",0,1))</f>
        <v>TQ2L</v>
      </c>
      <c r="E1404" s="4" t="e" vm="252">
        <f>IF($C1404="","",_xlfn.XLOOKUP($C1404,Order!$C:$C,Order!$E:$E,"",0,1))</f>
        <v>#VALUE!</v>
      </c>
      <c r="F1404" s="4">
        <f>IF($C1404="","",_xlfn.XLOOKUP($C1404,Order!$C:$C,Order!$F:$F,"",0,1))</f>
        <v>6000</v>
      </c>
      <c r="G1404" s="4" t="str">
        <f>IF($C1404="","",_xlfn.XLOOKUP($C1404,Order!$C:$C,Order!$G:$G,"",0,1))</f>
        <v>6063T5</v>
      </c>
      <c r="H1404" s="4">
        <f>IF($C1404="","",_xlfn.XLOOKUP($C1404,Order!$C:$C,Order!$H:$H,"",0,1))</f>
        <v>0.49</v>
      </c>
      <c r="I1404" s="36">
        <f>IF($C1404="","",_xlfn.XLOOKUP($C1404,Order!$C:$C,Order!$M:$M,"",0,1))</f>
        <v>0</v>
      </c>
      <c r="J1404" s="4" t="str">
        <f>IF(C1404="","",Order!$M$16)</f>
        <v>BLACK ANODIZED (FAYP06)</v>
      </c>
      <c r="K1404" s="36">
        <f>IF($C1404="","",_xlfn.XLOOKUP($C1404,Order!$C:$C,Order!$P:$P,"",0,1))</f>
        <v>0</v>
      </c>
      <c r="L1404" s="4">
        <f t="shared" si="21"/>
        <v>0</v>
      </c>
    </row>
    <row r="1405" spans="2:12" ht="23.25" hidden="1" customHeight="1" x14ac:dyDescent="0.25">
      <c r="B1405" s="4">
        <v>1400</v>
      </c>
      <c r="C1405" s="36" t="str">
        <f>IF(Order!$C$36="","",Order!$C$36)</f>
        <v>TQ2A (Square tube 2" with 0.95 mm thickness)</v>
      </c>
      <c r="D1405" s="36" t="str">
        <f>IF($C1405="","",_xlfn.XLOOKUP($C1405,Order!$C:$C,Order!$D:$D,"",0,1))</f>
        <v>TQ2A</v>
      </c>
      <c r="E1405" s="4" t="e" vm="252">
        <f>IF($C1405="","",_xlfn.XLOOKUP($C1405,Order!$C:$C,Order!$E:$E,"",0,1))</f>
        <v>#VALUE!</v>
      </c>
      <c r="F1405" s="4">
        <f>IF($C1405="","",_xlfn.XLOOKUP($C1405,Order!$C:$C,Order!$F:$F,"",0,1))</f>
        <v>6000</v>
      </c>
      <c r="G1405" s="4" t="str">
        <f>IF($C1405="","",_xlfn.XLOOKUP($C1405,Order!$C:$C,Order!$G:$G,"",0,1))</f>
        <v>6063T5</v>
      </c>
      <c r="H1405" s="4">
        <f>IF($C1405="","",_xlfn.XLOOKUP($C1405,Order!$C:$C,Order!$H:$H,"",0,1))</f>
        <v>0.51700000000000002</v>
      </c>
      <c r="I1405" s="36">
        <f>IF($C1405="","",_xlfn.XLOOKUP($C1405,Order!$C:$C,Order!$M:$M,"",0,1))</f>
        <v>0</v>
      </c>
      <c r="J1405" s="4" t="str">
        <f>IF(C1405="","",Order!$M$16)</f>
        <v>BLACK ANODIZED (FAYP06)</v>
      </c>
      <c r="K1405" s="36">
        <f>IF($C1405="","",_xlfn.XLOOKUP($C1405,Order!$C:$C,Order!$P:$P,"",0,1))</f>
        <v>0</v>
      </c>
      <c r="L1405" s="4">
        <f t="shared" si="21"/>
        <v>0</v>
      </c>
    </row>
    <row r="1406" spans="2:12" ht="23.25" hidden="1" customHeight="1" x14ac:dyDescent="0.25">
      <c r="B1406" s="4">
        <v>1401</v>
      </c>
      <c r="C1406" s="36" t="str">
        <f>IF(Order!$C$37="","",Order!$C$37)</f>
        <v>TQ2 (Square tube 2" with 1.10 mm thickness)</v>
      </c>
      <c r="D1406" s="36" t="str">
        <f>IF($C1406="","",_xlfn.XLOOKUP($C1406,Order!$C:$C,Order!$D:$D,"",0,1))</f>
        <v>TQ2</v>
      </c>
      <c r="E1406" s="4" t="e" vm="252">
        <f>IF($C1406="","",_xlfn.XLOOKUP($C1406,Order!$C:$C,Order!$E:$E,"",0,1))</f>
        <v>#VALUE!</v>
      </c>
      <c r="F1406" s="4">
        <f>IF($C1406="","",_xlfn.XLOOKUP($C1406,Order!$C:$C,Order!$F:$F,"",0,1))</f>
        <v>6000</v>
      </c>
      <c r="G1406" s="4" t="str">
        <f>IF($C1406="","",_xlfn.XLOOKUP($C1406,Order!$C:$C,Order!$G:$G,"",0,1))</f>
        <v>6063T5</v>
      </c>
      <c r="H1406" s="4">
        <f>IF($C1406="","",_xlfn.XLOOKUP($C1406,Order!$C:$C,Order!$H:$H,"",0,1))</f>
        <v>0.59699999999999998</v>
      </c>
      <c r="I1406" s="36">
        <f>IF($C1406="","",_xlfn.XLOOKUP($C1406,Order!$C:$C,Order!$M:$M,"",0,1))</f>
        <v>0</v>
      </c>
      <c r="J1406" s="4" t="str">
        <f>IF(C1406="","",Order!$M$16)</f>
        <v>BLACK ANODIZED (FAYP06)</v>
      </c>
      <c r="K1406" s="36">
        <f>IF($C1406="","",_xlfn.XLOOKUP($C1406,Order!$C:$C,Order!$P:$P,"",0,1))</f>
        <v>0</v>
      </c>
      <c r="L1406" s="4">
        <f t="shared" si="21"/>
        <v>0</v>
      </c>
    </row>
    <row r="1407" spans="2:12" ht="23.25" hidden="1" customHeight="1" x14ac:dyDescent="0.25">
      <c r="B1407" s="4">
        <v>1402</v>
      </c>
      <c r="C1407" s="36" t="str">
        <f>IF(Order!$C$38="","",Order!$C$38)</f>
        <v>TQ3 (Square tube 3" with 1.10 mm thickness)</v>
      </c>
      <c r="D1407" s="36" t="str">
        <f>IF($C1407="","",_xlfn.XLOOKUP($C1407,Order!$C:$C,Order!$D:$D,"",0,1))</f>
        <v>TQ3</v>
      </c>
      <c r="E1407" s="4" t="e" vm="252">
        <f>IF($C1407="","",_xlfn.XLOOKUP($C1407,Order!$C:$C,Order!$E:$E,"",0,1))</f>
        <v>#VALUE!</v>
      </c>
      <c r="F1407" s="4">
        <f>IF($C1407="","",_xlfn.XLOOKUP($C1407,Order!$C:$C,Order!$F:$F,"",0,1))</f>
        <v>6000</v>
      </c>
      <c r="G1407" s="4" t="str">
        <f>IF($C1407="","",_xlfn.XLOOKUP($C1407,Order!$C:$C,Order!$G:$G,"",0,1))</f>
        <v>6063T5</v>
      </c>
      <c r="H1407" s="4">
        <f>IF($C1407="","",_xlfn.XLOOKUP($C1407,Order!$C:$C,Order!$H:$H,"",0,1))</f>
        <v>0.90200000000000002</v>
      </c>
      <c r="I1407" s="36">
        <f>IF($C1407="","",_xlfn.XLOOKUP($C1407,Order!$C:$C,Order!$M:$M,"",0,1))</f>
        <v>0</v>
      </c>
      <c r="J1407" s="4" t="str">
        <f>IF(C1407="","",Order!$M$16)</f>
        <v>BLACK ANODIZED (FAYP06)</v>
      </c>
      <c r="K1407" s="36">
        <f>IF($C1407="","",_xlfn.XLOOKUP($C1407,Order!$C:$C,Order!$P:$P,"",0,1))</f>
        <v>0</v>
      </c>
      <c r="L1407" s="4">
        <f t="shared" si="21"/>
        <v>0</v>
      </c>
    </row>
    <row r="1408" spans="2:12" ht="23.25" hidden="1" customHeight="1" x14ac:dyDescent="0.25">
      <c r="B1408" s="4">
        <v>1403</v>
      </c>
      <c r="C1408" s="36" t="str">
        <f>IF(Order!$C$39="","",Order!$C$39)</f>
        <v>TQ4 (Square tube 4" with 1.30 mm thickness)</v>
      </c>
      <c r="D1408" s="36" t="str">
        <f>IF($C1408="","",_xlfn.XLOOKUP($C1408,Order!$C:$C,Order!$D:$D,"",0,1))</f>
        <v>TQ4</v>
      </c>
      <c r="E1408" s="4" t="e" vm="252">
        <f>IF($C1408="","",_xlfn.XLOOKUP($C1408,Order!$C:$C,Order!$E:$E,"",0,1))</f>
        <v>#VALUE!</v>
      </c>
      <c r="F1408" s="4">
        <f>IF($C1408="","",_xlfn.XLOOKUP($C1408,Order!$C:$C,Order!$F:$F,"",0,1))</f>
        <v>6000</v>
      </c>
      <c r="G1408" s="4" t="str">
        <f>IF($C1408="","",_xlfn.XLOOKUP($C1408,Order!$C:$C,Order!$G:$G,"",0,1))</f>
        <v>6063T5</v>
      </c>
      <c r="H1408" s="4">
        <f>IF($C1408="","",_xlfn.XLOOKUP($C1408,Order!$C:$C,Order!$H:$H,"",0,1))</f>
        <v>1.4239999999999999</v>
      </c>
      <c r="I1408" s="36">
        <f>IF($C1408="","",_xlfn.XLOOKUP($C1408,Order!$C:$C,Order!$M:$M,"",0,1))</f>
        <v>0</v>
      </c>
      <c r="J1408" s="4" t="str">
        <f>IF(C1408="","",Order!$M$16)</f>
        <v>BLACK ANODIZED (FAYP06)</v>
      </c>
      <c r="K1408" s="36">
        <f>IF($C1408="","",_xlfn.XLOOKUP($C1408,Order!$C:$C,Order!$P:$P,"",0,1))</f>
        <v>0</v>
      </c>
      <c r="L1408" s="4">
        <f t="shared" si="21"/>
        <v>0</v>
      </c>
    </row>
    <row r="1409" spans="2:12" ht="23.25" hidden="1" customHeight="1" x14ac:dyDescent="0.25">
      <c r="B1409" s="4">
        <v>1404</v>
      </c>
      <c r="C1409" s="36" t="str">
        <f>IF(Order!$C$40="","",Order!$C$40)</f>
        <v>TG1X1/2 (Rectangular tube 1" x 1/2  with 0.80 mm thickness)</v>
      </c>
      <c r="D1409" s="36" t="str">
        <f>IF($C1409="","",_xlfn.XLOOKUP($C1409,Order!$C:$C,Order!$D:$D,"",0,1))</f>
        <v>TG1X12</v>
      </c>
      <c r="E1409" s="4" t="e" vm="253">
        <f>IF($C1409="","",_xlfn.XLOOKUP($C1409,Order!$C:$C,Order!$E:$E,"",0,1))</f>
        <v>#VALUE!</v>
      </c>
      <c r="F1409" s="4">
        <f>IF($C1409="","",_xlfn.XLOOKUP($C1409,Order!$C:$C,Order!$F:$F,"",0,1))</f>
        <v>6000</v>
      </c>
      <c r="G1409" s="4" t="str">
        <f>IF($C1409="","",_xlfn.XLOOKUP($C1409,Order!$C:$C,Order!$G:$G,"",0,1))</f>
        <v>6063T5</v>
      </c>
      <c r="H1409" s="4">
        <f>IF($C1409="","",_xlfn.XLOOKUP($C1409,Order!$C:$C,Order!$H:$H,"",0,1))</f>
        <v>0.159</v>
      </c>
      <c r="I1409" s="36">
        <f>IF($C1409="","",_xlfn.XLOOKUP($C1409,Order!$C:$C,Order!$M:$M,"",0,1))</f>
        <v>0</v>
      </c>
      <c r="J1409" s="4" t="str">
        <f>IF(C1409="","",Order!$M$16)</f>
        <v>BLACK ANODIZED (FAYP06)</v>
      </c>
      <c r="K1409" s="36">
        <f>IF($C1409="","",_xlfn.XLOOKUP($C1409,Order!$C:$C,Order!$P:$P,"",0,1))</f>
        <v>0</v>
      </c>
      <c r="L1409" s="4">
        <f t="shared" si="21"/>
        <v>0</v>
      </c>
    </row>
    <row r="1410" spans="2:12" ht="23.25" customHeight="1" x14ac:dyDescent="0.25">
      <c r="B1410" s="4">
        <v>1405</v>
      </c>
      <c r="C1410" s="36" t="str">
        <f>IF(Order!$C$41="","",Order!$C$41)</f>
        <v>TG2X1/2A (Retangular tube 2 X 1/2 with 0.80 mm tickness)</v>
      </c>
      <c r="D1410" s="36" t="str">
        <f>IF($C1410="","",_xlfn.XLOOKUP($C1410,Order!$C:$C,Order!$D:$D,"",0,1))</f>
        <v>TG2X12A</v>
      </c>
      <c r="E1410" s="4" t="e" vm="254">
        <f>IF($C1410="","",_xlfn.XLOOKUP($C1410,Order!$C:$C,Order!$E:$E,"",0,1))</f>
        <v>#VALUE!</v>
      </c>
      <c r="F1410" s="4">
        <f>IF($C1410="","",_xlfn.XLOOKUP($C1410,Order!$C:$C,Order!$F:$F,"",0,1))</f>
        <v>6000</v>
      </c>
      <c r="G1410" s="4" t="str">
        <f>IF($C1410="","",_xlfn.XLOOKUP($C1410,Order!$C:$C,Order!$G:$G,"",0,1))</f>
        <v>6063T5</v>
      </c>
      <c r="H1410" s="4">
        <f>IF($C1410="","",_xlfn.XLOOKUP($C1410,Order!$C:$C,Order!$H:$H,"",0,1))</f>
        <v>0.27</v>
      </c>
      <c r="I1410" s="36">
        <f>IF($C1410="","",_xlfn.XLOOKUP($C1410,Order!$C:$C,Order!$M:$M,"",0,1))</f>
        <v>100</v>
      </c>
      <c r="J1410" s="4" t="str">
        <f>IF(C1410="","",Order!$M$16)</f>
        <v>BLACK ANODIZED (FAYP06)</v>
      </c>
      <c r="K1410" s="36">
        <f>IF($C1410="","",_xlfn.XLOOKUP($C1410,Order!$C:$C,Order!$P:$P,"",0,1))</f>
        <v>0</v>
      </c>
      <c r="L1410" s="4">
        <f t="shared" si="21"/>
        <v>162</v>
      </c>
    </row>
    <row r="1411" spans="2:12" ht="23.25" hidden="1" customHeight="1" x14ac:dyDescent="0.25">
      <c r="B1411" s="4">
        <v>1406</v>
      </c>
      <c r="C1411" s="36" t="str">
        <f>IF(Order!$C$42="","",Order!$C$42)</f>
        <v>TG2X1/2 (Retangular tube 2 X 1/2 with 0.90 mm tickness)</v>
      </c>
      <c r="D1411" s="36" t="str">
        <f>IF($C1411="","",_xlfn.XLOOKUP($C1411,Order!$C:$C,Order!$D:$D,"",0,1))</f>
        <v>TG2X12</v>
      </c>
      <c r="E1411" s="4" t="e" vm="254">
        <f>IF($C1411="","",_xlfn.XLOOKUP($C1411,Order!$C:$C,Order!$E:$E,"",0,1))</f>
        <v>#VALUE!</v>
      </c>
      <c r="F1411" s="4">
        <f>IF($C1411="","",_xlfn.XLOOKUP($C1411,Order!$C:$C,Order!$F:$F,"",0,1))</f>
        <v>6000</v>
      </c>
      <c r="G1411" s="4" t="str">
        <f>IF($C1411="","",_xlfn.XLOOKUP($C1411,Order!$C:$C,Order!$G:$G,"",0,1))</f>
        <v>6063T5</v>
      </c>
      <c r="H1411" s="4">
        <f>IF($C1411="","",_xlfn.XLOOKUP($C1411,Order!$C:$C,Order!$H:$H,"",0,1))</f>
        <v>0.30299999999999999</v>
      </c>
      <c r="I1411" s="36">
        <f>IF($C1411="","",_xlfn.XLOOKUP($C1411,Order!$C:$C,Order!$M:$M,"",0,1))</f>
        <v>0</v>
      </c>
      <c r="J1411" s="4" t="str">
        <f>IF(C1411="","",Order!$M$16)</f>
        <v>BLACK ANODIZED (FAYP06)</v>
      </c>
      <c r="K1411" s="36">
        <f>IF($C1411="","",_xlfn.XLOOKUP($C1411,Order!$C:$C,Order!$P:$P,"",0,1))</f>
        <v>0</v>
      </c>
      <c r="L1411" s="4">
        <f t="shared" si="21"/>
        <v>0</v>
      </c>
    </row>
    <row r="1412" spans="2:12" ht="23.25" customHeight="1" x14ac:dyDescent="0.25">
      <c r="B1412" s="4">
        <v>1407</v>
      </c>
      <c r="C1412" s="36" t="str">
        <f>IF(Order!$C$43="","",Order!$C$43)</f>
        <v>TG2X1 0.7 ( Retangular tube 2"X1" with 0.70 mm tickness)</v>
      </c>
      <c r="D1412" s="36" t="str">
        <f>IF($C1412="","",_xlfn.XLOOKUP($C1412,Order!$C:$C,Order!$D:$D,"",0,1))</f>
        <v>TG2X1 0.7</v>
      </c>
      <c r="E1412" s="4" t="e" vm="253">
        <f>IF($C1412="","",_xlfn.XLOOKUP($C1412,Order!$C:$C,Order!$E:$E,"",0,1))</f>
        <v>#VALUE!</v>
      </c>
      <c r="F1412" s="4">
        <f>IF($C1412="","",_xlfn.XLOOKUP($C1412,Order!$C:$C,Order!$F:$F,"",0,1))</f>
        <v>6000</v>
      </c>
      <c r="G1412" s="4" t="str">
        <f>IF($C1412="","",_xlfn.XLOOKUP($C1412,Order!$C:$C,Order!$G:$G,"",0,1))</f>
        <v>6063T5</v>
      </c>
      <c r="H1412" s="4">
        <f>IF($C1412="","",_xlfn.XLOOKUP($C1412,Order!$C:$C,Order!$H:$H,"",0,1))</f>
        <v>0.28599999999999998</v>
      </c>
      <c r="I1412" s="36">
        <f>IF($C1412="","",_xlfn.XLOOKUP($C1412,Order!$C:$C,Order!$M:$M,"",0,1))</f>
        <v>100</v>
      </c>
      <c r="J1412" s="4" t="str">
        <f>IF(C1412="","",Order!$M$16)</f>
        <v>BLACK ANODIZED (FAYP06)</v>
      </c>
      <c r="K1412" s="36">
        <f>IF($C1412="","",_xlfn.XLOOKUP($C1412,Order!$C:$C,Order!$P:$P,"",0,1))</f>
        <v>0</v>
      </c>
      <c r="L1412" s="4">
        <f t="shared" si="21"/>
        <v>171.59999999999997</v>
      </c>
    </row>
    <row r="1413" spans="2:12" ht="23.25" hidden="1" customHeight="1" x14ac:dyDescent="0.25">
      <c r="B1413" s="4">
        <v>1408</v>
      </c>
      <c r="C1413" s="36" t="str">
        <f>IF(Order!$C$44="","",Order!$C$44)</f>
        <v>TG2X1 ( Retangular tube 2"X1" with 0.80 mm tickness)</v>
      </c>
      <c r="D1413" s="36" t="str">
        <f>IF($C1413="","",_xlfn.XLOOKUP($C1413,Order!$C:$C,Order!$D:$D,"",0,1))</f>
        <v>TG2X1</v>
      </c>
      <c r="E1413" s="4" t="e" vm="253">
        <f>IF($C1413="","",_xlfn.XLOOKUP($C1413,Order!$C:$C,Order!$E:$E,"",0,1))</f>
        <v>#VALUE!</v>
      </c>
      <c r="F1413" s="4">
        <f>IF($C1413="","",_xlfn.XLOOKUP($C1413,Order!$C:$C,Order!$F:$F,"",0,1))</f>
        <v>6000</v>
      </c>
      <c r="G1413" s="4" t="str">
        <f>IF($C1413="","",_xlfn.XLOOKUP($C1413,Order!$C:$C,Order!$G:$G,"",0,1))</f>
        <v>6063T5</v>
      </c>
      <c r="H1413" s="4">
        <f>IF($C1413="","",_xlfn.XLOOKUP($C1413,Order!$C:$C,Order!$H:$H,"",0,1))</f>
        <v>0.32600000000000001</v>
      </c>
      <c r="I1413" s="36">
        <f>IF($C1413="","",_xlfn.XLOOKUP($C1413,Order!$C:$C,Order!$M:$M,"",0,1))</f>
        <v>0</v>
      </c>
      <c r="J1413" s="4" t="str">
        <f>IF(C1413="","",Order!$M$16)</f>
        <v>BLACK ANODIZED (FAYP06)</v>
      </c>
      <c r="K1413" s="36">
        <f>IF($C1413="","",_xlfn.XLOOKUP($C1413,Order!$C:$C,Order!$P:$P,"",0,1))</f>
        <v>0</v>
      </c>
      <c r="L1413" s="4">
        <f t="shared" si="21"/>
        <v>0</v>
      </c>
    </row>
    <row r="1414" spans="2:12" ht="23.25" customHeight="1" x14ac:dyDescent="0.25">
      <c r="B1414" s="4">
        <v>1409</v>
      </c>
      <c r="C1414" s="36" t="str">
        <f>IF(Order!$C$45="","",Order!$C$45)</f>
        <v>TG2X1.1/2 ( Retangular tube 2"x1.1 /2" with 0.90 mm tickness)</v>
      </c>
      <c r="D1414" s="36" t="str">
        <f>IF($C1414="","",_xlfn.XLOOKUP($C1414,Order!$C:$C,Order!$D:$D,"",0,1))</f>
        <v>TG2X1.12</v>
      </c>
      <c r="E1414" s="4" t="e" vm="255">
        <f>IF($C1414="","",_xlfn.XLOOKUP($C1414,Order!$C:$C,Order!$E:$E,"",0,1))</f>
        <v>#VALUE!</v>
      </c>
      <c r="F1414" s="4">
        <f>IF($C1414="","",_xlfn.XLOOKUP($C1414,Order!$C:$C,Order!$F:$F,"",0,1))</f>
        <v>6000</v>
      </c>
      <c r="G1414" s="4" t="str">
        <f>IF($C1414="","",_xlfn.XLOOKUP($C1414,Order!$C:$C,Order!$G:$G,"",0,1))</f>
        <v>6063T5</v>
      </c>
      <c r="H1414" s="4">
        <f>IF($C1414="","",_xlfn.XLOOKUP($C1414,Order!$C:$C,Order!$H:$H,"",0,1))</f>
        <v>0.42799999999999999</v>
      </c>
      <c r="I1414" s="36">
        <f>IF($C1414="","",_xlfn.XLOOKUP($C1414,Order!$C:$C,Order!$M:$M,"",0,1))</f>
        <v>80</v>
      </c>
      <c r="J1414" s="4" t="str">
        <f>IF(C1414="","",Order!$M$16)</f>
        <v>BLACK ANODIZED (FAYP06)</v>
      </c>
      <c r="K1414" s="36">
        <f>IF($C1414="","",_xlfn.XLOOKUP($C1414,Order!$C:$C,Order!$P:$P,"",0,1))</f>
        <v>0</v>
      </c>
      <c r="L1414" s="4">
        <f t="shared" si="21"/>
        <v>205.44</v>
      </c>
    </row>
    <row r="1415" spans="2:12" ht="23.25" customHeight="1" x14ac:dyDescent="0.25">
      <c r="B1415" s="4">
        <v>1410</v>
      </c>
      <c r="C1415" s="36" t="str">
        <f>IF(Order!$C$46="","",Order!$C$46)</f>
        <v>TG3X1.1/2 ( Retangular tube 3"x1.1 /2" with 1.00 mm tickness)</v>
      </c>
      <c r="D1415" s="36" t="str">
        <f>IF($C1415="","",_xlfn.XLOOKUP($C1415,Order!$C:$C,Order!$D:$D,"",0,1))</f>
        <v>TG3X1.12</v>
      </c>
      <c r="E1415" s="4" t="e" vm="253">
        <f>IF($C1415="","",_xlfn.XLOOKUP($C1415,Order!$C:$C,Order!$E:$E,"",0,1))</f>
        <v>#VALUE!</v>
      </c>
      <c r="F1415" s="4">
        <f>IF($C1415="","",_xlfn.XLOOKUP($C1415,Order!$C:$C,Order!$F:$F,"",0,1))</f>
        <v>6000</v>
      </c>
      <c r="G1415" s="4" t="str">
        <f>IF($C1415="","",_xlfn.XLOOKUP($C1415,Order!$C:$C,Order!$G:$G,"",0,1))</f>
        <v>6063T5</v>
      </c>
      <c r="H1415" s="4">
        <f>IF($C1415="","",_xlfn.XLOOKUP($C1415,Order!$C:$C,Order!$H:$H,"",0,1))</f>
        <v>0.61299999999999999</v>
      </c>
      <c r="I1415" s="36">
        <f>IF($C1415="","",_xlfn.XLOOKUP($C1415,Order!$C:$C,Order!$M:$M,"",0,1))</f>
        <v>80</v>
      </c>
      <c r="J1415" s="4" t="str">
        <f>IF(C1415="","",Order!$M$16)</f>
        <v>BLACK ANODIZED (FAYP06)</v>
      </c>
      <c r="K1415" s="36">
        <f>IF($C1415="","",_xlfn.XLOOKUP($C1415,Order!$C:$C,Order!$P:$P,"",0,1))</f>
        <v>0</v>
      </c>
      <c r="L1415" s="4">
        <f t="shared" ref="L1415:L1478" si="22">IF(C1415="","",F1415/1000*H1415*I1415)</f>
        <v>294.24</v>
      </c>
    </row>
    <row r="1416" spans="2:12" ht="23.25" customHeight="1" x14ac:dyDescent="0.25">
      <c r="B1416" s="4">
        <v>1411</v>
      </c>
      <c r="C1416" s="36" t="str">
        <f>IF(Order!$C$47="","",Order!$C$47)</f>
        <v>TG4X2 (Rectangular Tube 4" X 2" with 1.00 mm tickness)</v>
      </c>
      <c r="D1416" s="36" t="str">
        <f>IF($C1416="","",_xlfn.XLOOKUP($C1416,Order!$C:$C,Order!$D:$D,"",0,1))</f>
        <v>TG4X2</v>
      </c>
      <c r="E1416" s="4" t="e" vm="253">
        <f>IF($C1416="","",_xlfn.XLOOKUP($C1416,Order!$C:$C,Order!$E:$E,"",0,1))</f>
        <v>#VALUE!</v>
      </c>
      <c r="F1416" s="4">
        <f>IF($C1416="","",_xlfn.XLOOKUP($C1416,Order!$C:$C,Order!$F:$F,"",0,1))</f>
        <v>6000</v>
      </c>
      <c r="G1416" s="4" t="str">
        <f>IF($C1416="","",_xlfn.XLOOKUP($C1416,Order!$C:$C,Order!$G:$G,"",0,1))</f>
        <v>6063T5</v>
      </c>
      <c r="H1416" s="4">
        <f>IF($C1416="","",_xlfn.XLOOKUP($C1416,Order!$C:$C,Order!$H:$H,"",0,1))</f>
        <v>0.82099999999999995</v>
      </c>
      <c r="I1416" s="36">
        <f>IF($C1416="","",_xlfn.XLOOKUP($C1416,Order!$C:$C,Order!$M:$M,"",0,1))</f>
        <v>80</v>
      </c>
      <c r="J1416" s="4" t="str">
        <f>IF(C1416="","",Order!$M$16)</f>
        <v>BLACK ANODIZED (FAYP06)</v>
      </c>
      <c r="K1416" s="36">
        <f>IF($C1416="","",_xlfn.XLOOKUP($C1416,Order!$C:$C,Order!$P:$P,"",0,1))</f>
        <v>0</v>
      </c>
      <c r="L1416" s="4">
        <f t="shared" si="22"/>
        <v>394.08000000000004</v>
      </c>
    </row>
    <row r="1417" spans="2:12" ht="23.25" hidden="1" customHeight="1" x14ac:dyDescent="0.25">
      <c r="B1417" s="4">
        <v>1412</v>
      </c>
      <c r="C1417" s="36" t="str">
        <f>IF(Order!$C$48="","",Order!$C$48)</f>
        <v>PT008A (Perfil T de 1" com 0.80 mm tickness)</v>
      </c>
      <c r="D1417" s="36" t="str">
        <f>IF($C1417="","",_xlfn.XLOOKUP($C1417,Order!$C:$C,Order!$D:$D,"",0,1))</f>
        <v>PT008A</v>
      </c>
      <c r="E1417" s="4" t="e" vm="256">
        <f>IF($C1417="","",_xlfn.XLOOKUP($C1417,Order!$C:$C,Order!$E:$E,"",0,1))</f>
        <v>#VALUE!</v>
      </c>
      <c r="F1417" s="4">
        <f>IF($C1417="","",_xlfn.XLOOKUP($C1417,Order!$C:$C,Order!$F:$F,"",0,1))</f>
        <v>6000</v>
      </c>
      <c r="G1417" s="4" t="str">
        <f>IF($C1417="","",_xlfn.XLOOKUP($C1417,Order!$C:$C,Order!$G:$G,"",0,1))</f>
        <v>6063T5</v>
      </c>
      <c r="H1417" s="4">
        <f>IF($C1417="","",_xlfn.XLOOKUP($C1417,Order!$C:$C,Order!$H:$H,"",0,1))</f>
        <v>0.109</v>
      </c>
      <c r="I1417" s="36">
        <f>IF($C1417="","",_xlfn.XLOOKUP($C1417,Order!$C:$C,Order!$M:$M,"",0,1))</f>
        <v>0</v>
      </c>
      <c r="J1417" s="4" t="str">
        <f>IF(C1417="","",Order!$M$16)</f>
        <v>BLACK ANODIZED (FAYP06)</v>
      </c>
      <c r="K1417" s="36">
        <f>IF($C1417="","",_xlfn.XLOOKUP($C1417,Order!$C:$C,Order!$P:$P,"",0,1))</f>
        <v>0</v>
      </c>
      <c r="L1417" s="4">
        <f t="shared" si="22"/>
        <v>0</v>
      </c>
    </row>
    <row r="1418" spans="2:12" ht="23.25" hidden="1" customHeight="1" x14ac:dyDescent="0.25">
      <c r="B1418" s="4">
        <v>1413</v>
      </c>
      <c r="C1418" s="36" t="str">
        <f>IF(Order!$C$49="","",Order!$C$49)</f>
        <v>PT008 (Perfil T de 1" com 0.90 mm tickness)</v>
      </c>
      <c r="D1418" s="36" t="str">
        <f>IF($C1418="","",_xlfn.XLOOKUP($C1418,Order!$C:$C,Order!$D:$D,"",0,1))</f>
        <v>PT008</v>
      </c>
      <c r="E1418" s="4" t="e" vm="256">
        <f>IF($C1418="","",_xlfn.XLOOKUP($C1418,Order!$C:$C,Order!$E:$E,"",0,1))</f>
        <v>#VALUE!</v>
      </c>
      <c r="F1418" s="4">
        <f>IF($C1418="","",_xlfn.XLOOKUP($C1418,Order!$C:$C,Order!$F:$F,"",0,1))</f>
        <v>6000</v>
      </c>
      <c r="G1418" s="4" t="str">
        <f>IF($C1418="","",_xlfn.XLOOKUP($C1418,Order!$C:$C,Order!$G:$G,"",0,1))</f>
        <v>6063T5</v>
      </c>
      <c r="H1418" s="4">
        <f>IF($C1418="","",_xlfn.XLOOKUP($C1418,Order!$C:$C,Order!$H:$H,"",0,1))</f>
        <v>0.123</v>
      </c>
      <c r="I1418" s="36">
        <f>IF($C1418="","",_xlfn.XLOOKUP($C1418,Order!$C:$C,Order!$M:$M,"",0,1))</f>
        <v>0</v>
      </c>
      <c r="J1418" s="4" t="str">
        <f>IF(C1418="","",Order!$M$16)</f>
        <v>BLACK ANODIZED (FAYP06)</v>
      </c>
      <c r="K1418" s="36">
        <f>IF($C1418="","",_xlfn.XLOOKUP($C1418,Order!$C:$C,Order!$P:$P,"",0,1))</f>
        <v>0</v>
      </c>
      <c r="L1418" s="4">
        <f t="shared" si="22"/>
        <v>0</v>
      </c>
    </row>
    <row r="1419" spans="2:12" ht="23.25" hidden="1" customHeight="1" x14ac:dyDescent="0.25">
      <c r="B1419" s="4">
        <v>1414</v>
      </c>
      <c r="C1419" s="36" t="str">
        <f>IF(Order!$C$50="","",Order!$C$50)</f>
        <v>AF052U (U13MM)</v>
      </c>
      <c r="D1419" s="36" t="str">
        <f>IF($C1419="","",_xlfn.XLOOKUP($C1419,Order!$C:$C,Order!$D:$D,"",0,1))</f>
        <v>AF052U</v>
      </c>
      <c r="E1419" s="4" t="e" vm="257">
        <f>IF($C1419="","",_xlfn.XLOOKUP($C1419,Order!$C:$C,Order!$E:$E,"",0,1))</f>
        <v>#VALUE!</v>
      </c>
      <c r="F1419" s="4">
        <f>IF($C1419="","",_xlfn.XLOOKUP($C1419,Order!$C:$C,Order!$F:$F,"",0,1))</f>
        <v>6000</v>
      </c>
      <c r="G1419" s="4" t="str">
        <f>IF($C1419="","",_xlfn.XLOOKUP($C1419,Order!$C:$C,Order!$G:$G,"",0,1))</f>
        <v>6063T5</v>
      </c>
      <c r="H1419" s="4">
        <f>IF($C1419="","",_xlfn.XLOOKUP($C1419,Order!$C:$C,Order!$H:$H,"",0,1))</f>
        <v>0.129</v>
      </c>
      <c r="I1419" s="36">
        <f>IF($C1419="","",_xlfn.XLOOKUP($C1419,Order!$C:$C,Order!$M:$M,"",0,1))</f>
        <v>0</v>
      </c>
      <c r="J1419" s="4" t="str">
        <f>IF(C1419="","",Order!$M$16)</f>
        <v>BLACK ANODIZED (FAYP06)</v>
      </c>
      <c r="K1419" s="36">
        <f>IF($C1419="","",_xlfn.XLOOKUP($C1419,Order!$C:$C,Order!$P:$P,"",0,1))</f>
        <v>0</v>
      </c>
      <c r="L1419" s="4">
        <f t="shared" si="22"/>
        <v>0</v>
      </c>
    </row>
    <row r="1420" spans="2:12" ht="23.25" hidden="1" customHeight="1" x14ac:dyDescent="0.25">
      <c r="B1420" s="4">
        <v>1415</v>
      </c>
      <c r="C1420" s="36" t="str">
        <f>IF(Order!$C$51="","",Order!$C$51)</f>
        <v>PU639A</v>
      </c>
      <c r="D1420" s="36" t="str">
        <f>IF($C1420="","",_xlfn.XLOOKUP($C1420,Order!$C:$C,Order!$D:$D,"",0,1))</f>
        <v>PU639A</v>
      </c>
      <c r="E1420" s="4" t="e" vm="258">
        <f>IF($C1420="","",_xlfn.XLOOKUP($C1420,Order!$C:$C,Order!$E:$E,"",0,1))</f>
        <v>#VALUE!</v>
      </c>
      <c r="F1420" s="4">
        <f>IF($C1420="","",_xlfn.XLOOKUP($C1420,Order!$C:$C,Order!$F:$F,"",0,1))</f>
        <v>6000</v>
      </c>
      <c r="G1420" s="4" t="str">
        <f>IF($C1420="","",_xlfn.XLOOKUP($C1420,Order!$C:$C,Order!$G:$G,"",0,1))</f>
        <v>6063T5</v>
      </c>
      <c r="H1420" s="4">
        <f>IF($C1420="","",_xlfn.XLOOKUP($C1420,Order!$C:$C,Order!$H:$H,"",0,1))</f>
        <v>0.254</v>
      </c>
      <c r="I1420" s="36">
        <f>IF($C1420="","",_xlfn.XLOOKUP($C1420,Order!$C:$C,Order!$M:$M,"",0,1))</f>
        <v>0</v>
      </c>
      <c r="J1420" s="4" t="str">
        <f>IF(C1420="","",Order!$M$16)</f>
        <v>BLACK ANODIZED (FAYP06)</v>
      </c>
      <c r="K1420" s="36">
        <f>IF($C1420="","",_xlfn.XLOOKUP($C1420,Order!$C:$C,Order!$P:$P,"",0,1))</f>
        <v>0</v>
      </c>
      <c r="L1420" s="4">
        <f t="shared" si="22"/>
        <v>0</v>
      </c>
    </row>
    <row r="1421" spans="2:12" ht="23.25" hidden="1" customHeight="1" x14ac:dyDescent="0.25">
      <c r="B1421" s="4">
        <v>1416</v>
      </c>
      <c r="C1421" s="36" t="str">
        <f>IF(Order!$C$52="","",Order!$C$52)</f>
        <v>PU639</v>
      </c>
      <c r="D1421" s="36" t="str">
        <f>IF($C1421="","",_xlfn.XLOOKUP($C1421,Order!$C:$C,Order!$D:$D,"",0,1))</f>
        <v>PU639</v>
      </c>
      <c r="E1421" s="4" t="e" vm="258">
        <f>IF($C1421="","",_xlfn.XLOOKUP($C1421,Order!$C:$C,Order!$E:$E,"",0,1))</f>
        <v>#VALUE!</v>
      </c>
      <c r="F1421" s="4">
        <f>IF($C1421="","",_xlfn.XLOOKUP($C1421,Order!$C:$C,Order!$F:$F,"",0,1))</f>
        <v>6000</v>
      </c>
      <c r="G1421" s="4" t="str">
        <f>IF($C1421="","",_xlfn.XLOOKUP($C1421,Order!$C:$C,Order!$G:$G,"",0,1))</f>
        <v>6063T5</v>
      </c>
      <c r="H1421" s="4">
        <f>IF($C1421="","",_xlfn.XLOOKUP($C1421,Order!$C:$C,Order!$H:$H,"",0,1))</f>
        <v>0.34499999999999997</v>
      </c>
      <c r="I1421" s="36">
        <f>IF($C1421="","",_xlfn.XLOOKUP($C1421,Order!$C:$C,Order!$M:$M,"",0,1))</f>
        <v>0</v>
      </c>
      <c r="J1421" s="4" t="str">
        <f>IF(C1421="","",Order!$M$16)</f>
        <v>BLACK ANODIZED (FAYP06)</v>
      </c>
      <c r="K1421" s="36">
        <f>IF($C1421="","",_xlfn.XLOOKUP($C1421,Order!$C:$C,Order!$P:$P,"",0,1))</f>
        <v>0</v>
      </c>
      <c r="L1421" s="4">
        <f t="shared" si="22"/>
        <v>0</v>
      </c>
    </row>
    <row r="1422" spans="2:12" ht="23.25" hidden="1" customHeight="1" x14ac:dyDescent="0.25">
      <c r="B1422" s="4">
        <v>1417</v>
      </c>
      <c r="C1422" s="36" t="str">
        <f>IF(Order!$C$53="","",Order!$C$53)</f>
        <v>L1/2 (Angle L 1/2" with 0.90 mm tickness)</v>
      </c>
      <c r="D1422" s="36" t="str">
        <f>IF($C1422="","",_xlfn.XLOOKUP($C1422,Order!$C:$C,Order!$D:$D,"",0,1))</f>
        <v>L12</v>
      </c>
      <c r="E1422" s="4" t="e" vm="259">
        <f>IF($C1422="","",_xlfn.XLOOKUP($C1422,Order!$C:$C,Order!$E:$E,"",0,1))</f>
        <v>#VALUE!</v>
      </c>
      <c r="F1422" s="4">
        <f>IF($C1422="","",_xlfn.XLOOKUP($C1422,Order!$C:$C,Order!$F:$F,"",0,1))</f>
        <v>6000</v>
      </c>
      <c r="G1422" s="4" t="str">
        <f>IF($C1422="","",_xlfn.XLOOKUP($C1422,Order!$C:$C,Order!$G:$G,"",0,1))</f>
        <v>6063T5</v>
      </c>
      <c r="H1422" s="4">
        <f>IF($C1422="","",_xlfn.XLOOKUP($C1422,Order!$C:$C,Order!$H:$H,"",0,1))</f>
        <v>0.06</v>
      </c>
      <c r="I1422" s="36">
        <f>IF($C1422="","",_xlfn.XLOOKUP($C1422,Order!$C:$C,Order!$M:$M,"",0,1))</f>
        <v>0</v>
      </c>
      <c r="J1422" s="4" t="str">
        <f>IF(C1422="","",Order!$M$16)</f>
        <v>BLACK ANODIZED (FAYP06)</v>
      </c>
      <c r="K1422" s="36">
        <f>IF($C1422="","",_xlfn.XLOOKUP($C1422,Order!$C:$C,Order!$P:$P,"",0,1))</f>
        <v>0</v>
      </c>
      <c r="L1422" s="4">
        <f t="shared" si="22"/>
        <v>0</v>
      </c>
    </row>
    <row r="1423" spans="2:12" ht="23.25" hidden="1" customHeight="1" x14ac:dyDescent="0.25">
      <c r="B1423" s="4">
        <v>1418</v>
      </c>
      <c r="C1423" s="36" t="str">
        <f>IF(Order!$C$54="","",Order!$C$54)</f>
        <v>L5/8 (Angle L 5/8" with 0.90 mm tickness)</v>
      </c>
      <c r="D1423" s="36" t="str">
        <f>IF($C1423="","",_xlfn.XLOOKUP($C1423,Order!$C:$C,Order!$D:$D,"",0,1))</f>
        <v>L5-8</v>
      </c>
      <c r="E1423" s="4" t="e" vm="259">
        <f>IF($C1423="","",_xlfn.XLOOKUP($C1423,Order!$C:$C,Order!$E:$E,"",0,1))</f>
        <v>#VALUE!</v>
      </c>
      <c r="F1423" s="4">
        <f>IF($C1423="","",_xlfn.XLOOKUP($C1423,Order!$C:$C,Order!$F:$F,"",0,1))</f>
        <v>6000</v>
      </c>
      <c r="G1423" s="4" t="str">
        <f>IF($C1423="","",_xlfn.XLOOKUP($C1423,Order!$C:$C,Order!$G:$G,"",0,1))</f>
        <v>6063T5</v>
      </c>
      <c r="H1423" s="4">
        <f>IF($C1423="","",_xlfn.XLOOKUP($C1423,Order!$C:$C,Order!$H:$H,"",0,1))</f>
        <v>7.5999999999999998E-2</v>
      </c>
      <c r="I1423" s="36">
        <f>IF($C1423="","",_xlfn.XLOOKUP($C1423,Order!$C:$C,Order!$M:$M,"",0,1))</f>
        <v>0</v>
      </c>
      <c r="J1423" s="4" t="str">
        <f>IF(C1423="","",Order!$M$16)</f>
        <v>BLACK ANODIZED (FAYP06)</v>
      </c>
      <c r="K1423" s="36">
        <f>IF($C1423="","",_xlfn.XLOOKUP($C1423,Order!$C:$C,Order!$P:$P,"",0,1))</f>
        <v>0</v>
      </c>
      <c r="L1423" s="4">
        <f t="shared" si="22"/>
        <v>0</v>
      </c>
    </row>
    <row r="1424" spans="2:12" ht="23.25" customHeight="1" x14ac:dyDescent="0.25">
      <c r="B1424" s="4">
        <v>1419</v>
      </c>
      <c r="C1424" s="36" t="str">
        <f>IF(Order!$C$55="","",Order!$C$55)</f>
        <v>L3/4 (Angle L 3/4" with 0.80 mm tickness)</v>
      </c>
      <c r="D1424" s="36" t="str">
        <f>IF($C1424="","",_xlfn.XLOOKUP($C1424,Order!$C:$C,Order!$D:$D,"",0,1))</f>
        <v>L34</v>
      </c>
      <c r="E1424" s="4" t="e" vm="259">
        <f>IF($C1424="","",_xlfn.XLOOKUP($C1424,Order!$C:$C,Order!$E:$E,"",0,1))</f>
        <v>#VALUE!</v>
      </c>
      <c r="F1424" s="4">
        <f>IF($C1424="","",_xlfn.XLOOKUP($C1424,Order!$C:$C,Order!$F:$F,"",0,1))</f>
        <v>6000</v>
      </c>
      <c r="G1424" s="4" t="str">
        <f>IF($C1424="","",_xlfn.XLOOKUP($C1424,Order!$C:$C,Order!$G:$G,"",0,1))</f>
        <v>6063T5</v>
      </c>
      <c r="H1424" s="4">
        <f>IF($C1424="","",_xlfn.XLOOKUP($C1424,Order!$C:$C,Order!$H:$H,"",0,1))</f>
        <v>8.1000000000000003E-2</v>
      </c>
      <c r="I1424" s="36">
        <f>IF($C1424="","",_xlfn.XLOOKUP($C1424,Order!$C:$C,Order!$M:$M,"",0,1))</f>
        <v>300</v>
      </c>
      <c r="J1424" s="4" t="str">
        <f>IF(C1424="","",Order!$M$16)</f>
        <v>BLACK ANODIZED (FAYP06)</v>
      </c>
      <c r="K1424" s="36">
        <f>IF($C1424="","",_xlfn.XLOOKUP($C1424,Order!$C:$C,Order!$P:$P,"",0,1))</f>
        <v>0</v>
      </c>
      <c r="L1424" s="4">
        <f t="shared" si="22"/>
        <v>145.79999999999998</v>
      </c>
    </row>
    <row r="1425" spans="2:12" ht="23.25" hidden="1" customHeight="1" x14ac:dyDescent="0.25">
      <c r="B1425" s="4">
        <v>1420</v>
      </c>
      <c r="C1425" s="36" t="str">
        <f>IF(Order!$C$56="","",Order!$C$56)</f>
        <v>L1 (Angle L 1" with 0.90 mm thickness)</v>
      </c>
      <c r="D1425" s="36" t="str">
        <f>IF($C1425="","",_xlfn.XLOOKUP($C1425,Order!$C:$C,Order!$D:$D,"",0,1))</f>
        <v>L1</v>
      </c>
      <c r="E1425" s="4" t="e" vm="259">
        <f>IF($C1425="","",_xlfn.XLOOKUP($C1425,Order!$C:$C,Order!$E:$E,"",0,1))</f>
        <v>#VALUE!</v>
      </c>
      <c r="F1425" s="4">
        <f>IF($C1425="","",_xlfn.XLOOKUP($C1425,Order!$C:$C,Order!$F:$F,"",0,1))</f>
        <v>6000</v>
      </c>
      <c r="G1425" s="4" t="str">
        <f>IF($C1425="","",_xlfn.XLOOKUP($C1425,Order!$C:$C,Order!$G:$G,"",0,1))</f>
        <v>6063T5</v>
      </c>
      <c r="H1425" s="4">
        <f>IF($C1425="","",_xlfn.XLOOKUP($C1425,Order!$C:$C,Order!$H:$H,"",0,1))</f>
        <v>0.122</v>
      </c>
      <c r="I1425" s="36">
        <f>IF($C1425="","",_xlfn.XLOOKUP($C1425,Order!$C:$C,Order!$M:$M,"",0,1))</f>
        <v>0</v>
      </c>
      <c r="J1425" s="4" t="str">
        <f>IF(C1425="","",Order!$M$16)</f>
        <v>BLACK ANODIZED (FAYP06)</v>
      </c>
      <c r="K1425" s="36">
        <f>IF($C1425="","",_xlfn.XLOOKUP($C1425,Order!$C:$C,Order!$P:$P,"",0,1))</f>
        <v>0</v>
      </c>
      <c r="L1425" s="4">
        <f t="shared" si="22"/>
        <v>0</v>
      </c>
    </row>
    <row r="1426" spans="2:12" ht="23.25" hidden="1" customHeight="1" x14ac:dyDescent="0.25">
      <c r="B1426" s="4">
        <v>1421</v>
      </c>
      <c r="C1426" s="36" t="str">
        <f>IF(Order!$C$57="","",Order!$C$57)</f>
        <v>L1X1/16 (Angle L1 x 1/16")</v>
      </c>
      <c r="D1426" s="36" t="str">
        <f>IF($C1426="","",_xlfn.XLOOKUP($C1426,Order!$C:$C,Order!$D:$D,"",0,1))</f>
        <v>L1X1/16</v>
      </c>
      <c r="E1426" s="4" t="e" vm="259">
        <f>IF($C1426="","",_xlfn.XLOOKUP($C1426,Order!$C:$C,Order!$E:$E,"",0,1))</f>
        <v>#VALUE!</v>
      </c>
      <c r="F1426" s="4">
        <f>IF($C1426="","",_xlfn.XLOOKUP($C1426,Order!$C:$C,Order!$F:$F,"",0,1))</f>
        <v>6000</v>
      </c>
      <c r="G1426" s="4" t="str">
        <f>IF($C1426="","",_xlfn.XLOOKUP($C1426,Order!$C:$C,Order!$G:$G,"",0,1))</f>
        <v>6063T5</v>
      </c>
      <c r="H1426" s="4">
        <f>IF($C1426="","",_xlfn.XLOOKUP($C1426,Order!$C:$C,Order!$H:$H,"",0,1))</f>
        <v>0.21299999999999999</v>
      </c>
      <c r="I1426" s="36">
        <f>IF($C1426="","",_xlfn.XLOOKUP($C1426,Order!$C:$C,Order!$M:$M,"",0,1))</f>
        <v>0</v>
      </c>
      <c r="J1426" s="4" t="str">
        <f>IF(C1426="","",Order!$M$16)</f>
        <v>BLACK ANODIZED (FAYP06)</v>
      </c>
      <c r="K1426" s="36">
        <f>IF($C1426="","",_xlfn.XLOOKUP($C1426,Order!$C:$C,Order!$P:$P,"",0,1))</f>
        <v>0</v>
      </c>
      <c r="L1426" s="4">
        <f t="shared" si="22"/>
        <v>0</v>
      </c>
    </row>
    <row r="1427" spans="2:12" ht="23.25" hidden="1" customHeight="1" x14ac:dyDescent="0.25">
      <c r="B1427" s="4">
        <v>1422</v>
      </c>
      <c r="C1427" s="36" t="str">
        <f>IF(Order!$C$58="","",Order!$C$58)</f>
        <v>L1X1/8 (Angle L1 x 1/8" )</v>
      </c>
      <c r="D1427" s="36" t="str">
        <f>IF($C1427="","",_xlfn.XLOOKUP($C1427,Order!$C:$C,Order!$D:$D,"",0,1))</f>
        <v>L1X1/8</v>
      </c>
      <c r="E1427" s="4" t="e" vm="259">
        <f>IF($C1427="","",_xlfn.XLOOKUP($C1427,Order!$C:$C,Order!$E:$E,"",0,1))</f>
        <v>#VALUE!</v>
      </c>
      <c r="F1427" s="4">
        <f>IF($C1427="","",_xlfn.XLOOKUP($C1427,Order!$C:$C,Order!$F:$F,"",0,1))</f>
        <v>6000</v>
      </c>
      <c r="G1427" s="4" t="str">
        <f>IF($C1427="","",_xlfn.XLOOKUP($C1427,Order!$C:$C,Order!$G:$G,"",0,1))</f>
        <v>6063T5</v>
      </c>
      <c r="H1427" s="4">
        <f>IF($C1427="","",_xlfn.XLOOKUP($C1427,Order!$C:$C,Order!$H:$H,"",0,1))</f>
        <v>0.41299999999999998</v>
      </c>
      <c r="I1427" s="36">
        <f>IF($C1427="","",_xlfn.XLOOKUP($C1427,Order!$C:$C,Order!$M:$M,"",0,1))</f>
        <v>0</v>
      </c>
      <c r="J1427" s="4" t="str">
        <f>IF(C1427="","",Order!$M$16)</f>
        <v>BLACK ANODIZED (FAYP06)</v>
      </c>
      <c r="K1427" s="36">
        <f>IF($C1427="","",_xlfn.XLOOKUP($C1427,Order!$C:$C,Order!$P:$P,"",0,1))</f>
        <v>0</v>
      </c>
      <c r="L1427" s="4">
        <f t="shared" si="22"/>
        <v>0</v>
      </c>
    </row>
    <row r="1428" spans="2:12" ht="23.25" hidden="1" customHeight="1" x14ac:dyDescent="0.25">
      <c r="B1428" s="4">
        <v>1423</v>
      </c>
      <c r="C1428" s="36" t="str">
        <f>IF(Order!$C$59="","",Order!$C$59)</f>
        <v xml:space="preserve">L1.1/2X1/16 (Angle L 1.1/2x1/16" )　 </v>
      </c>
      <c r="D1428" s="36" t="str">
        <f>IF($C1428="","",_xlfn.XLOOKUP($C1428,Order!$C:$C,Order!$D:$D,"",0,1))</f>
        <v>L1.1/2X1/16</v>
      </c>
      <c r="E1428" s="4" t="e" vm="259">
        <f>IF($C1428="","",_xlfn.XLOOKUP($C1428,Order!$C:$C,Order!$E:$E,"",0,1))</f>
        <v>#VALUE!</v>
      </c>
      <c r="F1428" s="4">
        <f>IF($C1428="","",_xlfn.XLOOKUP($C1428,Order!$C:$C,Order!$F:$F,"",0,1))</f>
        <v>6000</v>
      </c>
      <c r="G1428" s="4" t="str">
        <f>IF($C1428="","",_xlfn.XLOOKUP($C1428,Order!$C:$C,Order!$G:$G,"",0,1))</f>
        <v>6063T5</v>
      </c>
      <c r="H1428" s="4">
        <f>IF($C1428="","",_xlfn.XLOOKUP($C1428,Order!$C:$C,Order!$H:$H,"",0,1))</f>
        <v>0.32400000000000001</v>
      </c>
      <c r="I1428" s="36">
        <f>IF($C1428="","",_xlfn.XLOOKUP($C1428,Order!$C:$C,Order!$M:$M,"",0,1))</f>
        <v>0</v>
      </c>
      <c r="J1428" s="4" t="str">
        <f>IF(C1428="","",Order!$M$16)</f>
        <v>BLACK ANODIZED (FAYP06)</v>
      </c>
      <c r="K1428" s="36">
        <f>IF($C1428="","",_xlfn.XLOOKUP($C1428,Order!$C:$C,Order!$P:$P,"",0,1))</f>
        <v>0</v>
      </c>
      <c r="L1428" s="4">
        <f t="shared" si="22"/>
        <v>0</v>
      </c>
    </row>
    <row r="1429" spans="2:12" ht="23.25" hidden="1" customHeight="1" x14ac:dyDescent="0.25">
      <c r="B1429" s="4">
        <v>1424</v>
      </c>
      <c r="C1429" s="36" t="str">
        <f>IF(Order!$C$60="","",Order!$C$60)</f>
        <v xml:space="preserve">L1.1/2X1/8 (Angle L 1.1/2x1/8") 　 </v>
      </c>
      <c r="D1429" s="36" t="str">
        <f>IF($C1429="","",_xlfn.XLOOKUP($C1429,Order!$C:$C,Order!$D:$D,"",0,1))</f>
        <v>L1.1/2X1/8</v>
      </c>
      <c r="E1429" s="4" t="e" vm="259">
        <f>IF($C1429="","",_xlfn.XLOOKUP($C1429,Order!$C:$C,Order!$E:$E,"",0,1))</f>
        <v>#VALUE!</v>
      </c>
      <c r="F1429" s="4">
        <f>IF($C1429="","",_xlfn.XLOOKUP($C1429,Order!$C:$C,Order!$F:$F,"",0,1))</f>
        <v>6000</v>
      </c>
      <c r="G1429" s="4" t="str">
        <f>IF($C1429="","",_xlfn.XLOOKUP($C1429,Order!$C:$C,Order!$G:$G,"",0,1))</f>
        <v>6063T5</v>
      </c>
      <c r="H1429" s="4">
        <f>IF($C1429="","",_xlfn.XLOOKUP($C1429,Order!$C:$C,Order!$H:$H,"",0,1))</f>
        <v>0.63400000000000001</v>
      </c>
      <c r="I1429" s="36">
        <f>IF($C1429="","",_xlfn.XLOOKUP($C1429,Order!$C:$C,Order!$M:$M,"",0,1))</f>
        <v>0</v>
      </c>
      <c r="J1429" s="4" t="str">
        <f>IF(C1429="","",Order!$M$16)</f>
        <v>BLACK ANODIZED (FAYP06)</v>
      </c>
      <c r="K1429" s="36">
        <f>IF($C1429="","",_xlfn.XLOOKUP($C1429,Order!$C:$C,Order!$P:$P,"",0,1))</f>
        <v>0</v>
      </c>
      <c r="L1429" s="4">
        <f t="shared" si="22"/>
        <v>0</v>
      </c>
    </row>
    <row r="1430" spans="2:12" ht="23.25" hidden="1" customHeight="1" x14ac:dyDescent="0.25">
      <c r="B1430" s="4">
        <v>1425</v>
      </c>
      <c r="C1430" s="36" t="str">
        <f>IF(Order!$C$61="","",Order!$C$61)</f>
        <v>L2X1/16 (Angle L 2 x 1/16")</v>
      </c>
      <c r="D1430" s="36" t="str">
        <f>IF($C1430="","",_xlfn.XLOOKUP($C1430,Order!$C:$C,Order!$D:$D,"",0,1))</f>
        <v>L2X1/16</v>
      </c>
      <c r="E1430" s="4" t="e" vm="259">
        <f>IF($C1430="","",_xlfn.XLOOKUP($C1430,Order!$C:$C,Order!$E:$E,"",0,1))</f>
        <v>#VALUE!</v>
      </c>
      <c r="F1430" s="4">
        <f>IF($C1430="","",_xlfn.XLOOKUP($C1430,Order!$C:$C,Order!$F:$F,"",0,1))</f>
        <v>6000</v>
      </c>
      <c r="G1430" s="4" t="str">
        <f>IF($C1430="","",_xlfn.XLOOKUP($C1430,Order!$C:$C,Order!$G:$G,"",0,1))</f>
        <v>6063T5</v>
      </c>
      <c r="H1430" s="4">
        <f>IF($C1430="","",_xlfn.XLOOKUP($C1430,Order!$C:$C,Order!$H:$H,"",0,1))</f>
        <v>0.434</v>
      </c>
      <c r="I1430" s="36">
        <f>IF($C1430="","",_xlfn.XLOOKUP($C1430,Order!$C:$C,Order!$M:$M,"",0,1))</f>
        <v>0</v>
      </c>
      <c r="J1430" s="4" t="str">
        <f>IF(C1430="","",Order!$M$16)</f>
        <v>BLACK ANODIZED (FAYP06)</v>
      </c>
      <c r="K1430" s="36">
        <f>IF($C1430="","",_xlfn.XLOOKUP($C1430,Order!$C:$C,Order!$P:$P,"",0,1))</f>
        <v>0</v>
      </c>
      <c r="L1430" s="4">
        <f t="shared" si="22"/>
        <v>0</v>
      </c>
    </row>
    <row r="1431" spans="2:12" ht="23.25" hidden="1" customHeight="1" x14ac:dyDescent="0.25">
      <c r="B1431" s="4">
        <v>1426</v>
      </c>
      <c r="C1431" s="36" t="str">
        <f>IF(Order!$C$62="","",Order!$C$62)</f>
        <v>L2 x 1/8  (Angle L 2 x 1/8")</v>
      </c>
      <c r="D1431" s="36" t="str">
        <f>IF($C1431="","",_xlfn.XLOOKUP($C1431,Order!$C:$C,Order!$D:$D,"",0,1))</f>
        <v>L2x1/8</v>
      </c>
      <c r="E1431" s="4" t="e" vm="259">
        <f>IF($C1431="","",_xlfn.XLOOKUP($C1431,Order!$C:$C,Order!$E:$E,"",0,1))</f>
        <v>#VALUE!</v>
      </c>
      <c r="F1431" s="4">
        <f>IF($C1431="","",_xlfn.XLOOKUP($C1431,Order!$C:$C,Order!$F:$F,"",0,1))</f>
        <v>6000</v>
      </c>
      <c r="G1431" s="4" t="str">
        <f>IF($C1431="","",_xlfn.XLOOKUP($C1431,Order!$C:$C,Order!$G:$G,"",0,1))</f>
        <v>6063T5</v>
      </c>
      <c r="H1431" s="4">
        <f>IF($C1431="","",_xlfn.XLOOKUP($C1431,Order!$C:$C,Order!$H:$H,"",0,1))</f>
        <v>0.85399999999999998</v>
      </c>
      <c r="I1431" s="36">
        <f>IF($C1431="","",_xlfn.XLOOKUP($C1431,Order!$C:$C,Order!$M:$M,"",0,1))</f>
        <v>0</v>
      </c>
      <c r="J1431" s="4" t="str">
        <f>IF(C1431="","",Order!$M$16)</f>
        <v>BLACK ANODIZED (FAYP06)</v>
      </c>
      <c r="K1431" s="36">
        <f>IF($C1431="","",_xlfn.XLOOKUP($C1431,Order!$C:$C,Order!$P:$P,"",0,1))</f>
        <v>0</v>
      </c>
      <c r="L1431" s="4">
        <f t="shared" si="22"/>
        <v>0</v>
      </c>
    </row>
    <row r="1432" spans="2:12" ht="23.25" hidden="1" customHeight="1" x14ac:dyDescent="0.25">
      <c r="B1432" s="4">
        <v>1427</v>
      </c>
      <c r="C1432" s="36" t="str">
        <f>IF(Order!$C$63="","",Order!$C$63)</f>
        <v>TRS3/16 (Round  solid 3/16")</v>
      </c>
      <c r="D1432" s="36" t="str">
        <f>IF($C1432="","",_xlfn.XLOOKUP($C1432,Order!$C:$C,Order!$D:$D,"",0,1))</f>
        <v>TRS3/16</v>
      </c>
      <c r="E1432" s="4" t="e" vm="260">
        <f>IF($C1432="","",_xlfn.XLOOKUP($C1432,Order!$C:$C,Order!$E:$E,"",0,1))</f>
        <v>#VALUE!</v>
      </c>
      <c r="F1432" s="4">
        <f>IF($C1432="","",_xlfn.XLOOKUP($C1432,Order!$C:$C,Order!$F:$F,"",0,1))</f>
        <v>6000</v>
      </c>
      <c r="G1432" s="4" t="str">
        <f>IF($C1432="","",_xlfn.XLOOKUP($C1432,Order!$C:$C,Order!$G:$G,"",0,1))</f>
        <v>6063T5</v>
      </c>
      <c r="H1432" s="4">
        <f>IF($C1432="","",_xlfn.XLOOKUP($C1432,Order!$C:$C,Order!$H:$H,"",0,1))</f>
        <v>4.7E-2</v>
      </c>
      <c r="I1432" s="36">
        <f>IF($C1432="","",_xlfn.XLOOKUP($C1432,Order!$C:$C,Order!$M:$M,"",0,1))</f>
        <v>0</v>
      </c>
      <c r="J1432" s="4" t="str">
        <f>IF(C1432="","",Order!$M$16)</f>
        <v>BLACK ANODIZED (FAYP06)</v>
      </c>
      <c r="K1432" s="36">
        <f>IF($C1432="","",_xlfn.XLOOKUP($C1432,Order!$C:$C,Order!$P:$P,"",0,1))</f>
        <v>0</v>
      </c>
      <c r="L1432" s="4">
        <f t="shared" si="22"/>
        <v>0</v>
      </c>
    </row>
    <row r="1433" spans="2:12" ht="23.25" hidden="1" customHeight="1" x14ac:dyDescent="0.25">
      <c r="B1433" s="4">
        <v>1428</v>
      </c>
      <c r="C1433" s="36" t="str">
        <f>IF(Order!$C$64="","",Order!$C$64)</f>
        <v>TRS1/4 (Round  solid 1/4")</v>
      </c>
      <c r="D1433" s="36" t="str">
        <f>IF($C1433="","",_xlfn.XLOOKUP($C1433,Order!$C:$C,Order!$D:$D,"",0,1))</f>
        <v>TRS1/4</v>
      </c>
      <c r="E1433" s="4" t="e" vm="260">
        <f>IF($C1433="","",_xlfn.XLOOKUP($C1433,Order!$C:$C,Order!$E:$E,"",0,1))</f>
        <v>#VALUE!</v>
      </c>
      <c r="F1433" s="4">
        <f>IF($C1433="","",_xlfn.XLOOKUP($C1433,Order!$C:$C,Order!$F:$F,"",0,1))</f>
        <v>6000</v>
      </c>
      <c r="G1433" s="4" t="str">
        <f>IF($C1433="","",_xlfn.XLOOKUP($C1433,Order!$C:$C,Order!$G:$G,"",0,1))</f>
        <v>6063T5</v>
      </c>
      <c r="H1433" s="4">
        <f>IF($C1433="","",_xlfn.XLOOKUP($C1433,Order!$C:$C,Order!$H:$H,"",0,1))</f>
        <v>8.5999999999999993E-2</v>
      </c>
      <c r="I1433" s="36">
        <f>IF($C1433="","",_xlfn.XLOOKUP($C1433,Order!$C:$C,Order!$M:$M,"",0,1))</f>
        <v>0</v>
      </c>
      <c r="J1433" s="4" t="str">
        <f>IF(C1433="","",Order!$M$16)</f>
        <v>BLACK ANODIZED (FAYP06)</v>
      </c>
      <c r="K1433" s="36">
        <f>IF($C1433="","",_xlfn.XLOOKUP($C1433,Order!$C:$C,Order!$P:$P,"",0,1))</f>
        <v>0</v>
      </c>
      <c r="L1433" s="4">
        <f t="shared" si="22"/>
        <v>0</v>
      </c>
    </row>
    <row r="1434" spans="2:12" ht="23.25" hidden="1" customHeight="1" x14ac:dyDescent="0.25">
      <c r="B1434" s="4">
        <v>1429</v>
      </c>
      <c r="C1434" s="36" t="str">
        <f>IF(Order!$C$65="","",Order!$C$65)</f>
        <v>TQS1/4 (Square solid 1/4")</v>
      </c>
      <c r="D1434" s="36" t="str">
        <f>IF($C1434="","",_xlfn.XLOOKUP($C1434,Order!$C:$C,Order!$D:$D,"",0,1))</f>
        <v>TQS1/4</v>
      </c>
      <c r="E1434" s="4" t="e" vm="261">
        <f>IF($C1434="","",_xlfn.XLOOKUP($C1434,Order!$C:$C,Order!$E:$E,"",0,1))</f>
        <v>#VALUE!</v>
      </c>
      <c r="F1434" s="4">
        <f>IF($C1434="","",_xlfn.XLOOKUP($C1434,Order!$C:$C,Order!$F:$F,"",0,1))</f>
        <v>6000</v>
      </c>
      <c r="G1434" s="4" t="str">
        <f>IF($C1434="","",_xlfn.XLOOKUP($C1434,Order!$C:$C,Order!$G:$G,"",0,1))</f>
        <v>6063T5</v>
      </c>
      <c r="H1434" s="4">
        <f>IF($C1434="","",_xlfn.XLOOKUP($C1434,Order!$C:$C,Order!$H:$H,"",0,1))</f>
        <v>0.11</v>
      </c>
      <c r="I1434" s="36">
        <f>IF($C1434="","",_xlfn.XLOOKUP($C1434,Order!$C:$C,Order!$M:$M,"",0,1))</f>
        <v>0</v>
      </c>
      <c r="J1434" s="4" t="str">
        <f>IF(C1434="","",Order!$M$16)</f>
        <v>BLACK ANODIZED (FAYP06)</v>
      </c>
      <c r="K1434" s="36">
        <f>IF($C1434="","",_xlfn.XLOOKUP($C1434,Order!$C:$C,Order!$P:$P,"",0,1))</f>
        <v>0</v>
      </c>
      <c r="L1434" s="4">
        <f t="shared" si="22"/>
        <v>0</v>
      </c>
    </row>
    <row r="1435" spans="2:12" ht="23.25" hidden="1" customHeight="1" x14ac:dyDescent="0.25">
      <c r="B1435" s="4">
        <v>1430</v>
      </c>
      <c r="C1435" s="36" t="str">
        <f>IF(Order!$C$66="","",Order!$C$66)</f>
        <v/>
      </c>
      <c r="D1435" s="36" t="str">
        <f>IF($C1435="","",_xlfn.XLOOKUP($C1435,Order!$C:$C,Order!$D:$D,"",0,1))</f>
        <v/>
      </c>
      <c r="E1435" s="4" t="str">
        <f>IF($C1435="","",_xlfn.XLOOKUP($C1435,Order!$C:$C,Order!$E:$E,"",0,1))</f>
        <v/>
      </c>
      <c r="F1435" s="4" t="str">
        <f>IF($C1435="","",_xlfn.XLOOKUP($C1435,Order!$C:$C,Order!$F:$F,"",0,1))</f>
        <v/>
      </c>
      <c r="G1435" s="4" t="str">
        <f>IF($C1435="","",_xlfn.XLOOKUP($C1435,Order!$C:$C,Order!$G:$G,"",0,1))</f>
        <v/>
      </c>
      <c r="H1435" s="4" t="str">
        <f>IF($C1435="","",_xlfn.XLOOKUP($C1435,Order!$C:$C,Order!$H:$H,"",0,1))</f>
        <v/>
      </c>
      <c r="I1435" s="36" t="str">
        <f>IF($C1435="","",_xlfn.XLOOKUP($C1435,Order!$C:$C,Order!$M:$M,"",0,1))</f>
        <v/>
      </c>
      <c r="J1435" s="4" t="str">
        <f>IF(C1435="","",Order!$M$16)</f>
        <v/>
      </c>
      <c r="K1435" s="36" t="str">
        <f>IF($C1435="","",_xlfn.XLOOKUP($C1435,Order!$C:$C,Order!$P:$P,"",0,1))</f>
        <v/>
      </c>
      <c r="L1435" s="4" t="str">
        <f t="shared" si="22"/>
        <v/>
      </c>
    </row>
    <row r="1436" spans="2:12" ht="23.25" hidden="1" customHeight="1" x14ac:dyDescent="0.25">
      <c r="B1436" s="4">
        <v>1431</v>
      </c>
      <c r="C1436" s="36" t="str">
        <f>IF(Order!$C$67="","",Order!$C$67)</f>
        <v/>
      </c>
      <c r="D1436" s="36" t="str">
        <f>IF($C1436="","",_xlfn.XLOOKUP($C1436,Order!$C:$C,Order!$D:$D,"",0,1))</f>
        <v/>
      </c>
      <c r="E1436" s="4" t="str">
        <f>IF($C1436="","",_xlfn.XLOOKUP($C1436,Order!$C:$C,Order!$E:$E,"",0,1))</f>
        <v/>
      </c>
      <c r="F1436" s="4" t="str">
        <f>IF($C1436="","",_xlfn.XLOOKUP($C1436,Order!$C:$C,Order!$F:$F,"",0,1))</f>
        <v/>
      </c>
      <c r="G1436" s="4" t="str">
        <f>IF($C1436="","",_xlfn.XLOOKUP($C1436,Order!$C:$C,Order!$G:$G,"",0,1))</f>
        <v/>
      </c>
      <c r="H1436" s="4" t="str">
        <f>IF($C1436="","",_xlfn.XLOOKUP($C1436,Order!$C:$C,Order!$H:$H,"",0,1))</f>
        <v/>
      </c>
      <c r="I1436" s="36" t="str">
        <f>IF($C1436="","",_xlfn.XLOOKUP($C1436,Order!$C:$C,Order!$M:$M,"",0,1))</f>
        <v/>
      </c>
      <c r="J1436" s="4" t="str">
        <f>IF(C1436="","",Order!$M$16)</f>
        <v/>
      </c>
      <c r="K1436" s="36" t="str">
        <f>IF($C1436="","",_xlfn.XLOOKUP($C1436,Order!$C:$C,Order!$P:$P,"",0,1))</f>
        <v/>
      </c>
      <c r="L1436" s="4" t="str">
        <f t="shared" si="22"/>
        <v/>
      </c>
    </row>
    <row r="1437" spans="2:12" ht="23.25" hidden="1" customHeight="1" x14ac:dyDescent="0.25">
      <c r="B1437" s="4">
        <v>1432</v>
      </c>
      <c r="C1437" s="36" t="str">
        <f>IF(Order!$C$68="","",Order!$C$68)</f>
        <v/>
      </c>
      <c r="D1437" s="36" t="str">
        <f>IF($C1437="","",_xlfn.XLOOKUP($C1437,Order!$C:$C,Order!$D:$D,"",0,1))</f>
        <v/>
      </c>
      <c r="E1437" s="4" t="str">
        <f>IF($C1437="","",_xlfn.XLOOKUP($C1437,Order!$C:$C,Order!$E:$E,"",0,1))</f>
        <v/>
      </c>
      <c r="F1437" s="4" t="str">
        <f>IF($C1437="","",_xlfn.XLOOKUP($C1437,Order!$C:$C,Order!$F:$F,"",0,1))</f>
        <v/>
      </c>
      <c r="G1437" s="4" t="str">
        <f>IF($C1437="","",_xlfn.XLOOKUP($C1437,Order!$C:$C,Order!$G:$G,"",0,1))</f>
        <v/>
      </c>
      <c r="H1437" s="4" t="str">
        <f>IF($C1437="","",_xlfn.XLOOKUP($C1437,Order!$C:$C,Order!$H:$H,"",0,1))</f>
        <v/>
      </c>
      <c r="I1437" s="36" t="str">
        <f>IF($C1437="","",_xlfn.XLOOKUP($C1437,Order!$C:$C,Order!$M:$M,"",0,1))</f>
        <v/>
      </c>
      <c r="J1437" s="4" t="str">
        <f>IF(C1437="","",Order!$M$16)</f>
        <v/>
      </c>
      <c r="K1437" s="36" t="str">
        <f>IF($C1437="","",_xlfn.XLOOKUP($C1437,Order!$C:$C,Order!$P:$P,"",0,1))</f>
        <v/>
      </c>
      <c r="L1437" s="4" t="str">
        <f t="shared" si="22"/>
        <v/>
      </c>
    </row>
    <row r="1438" spans="2:12" ht="23.25" hidden="1" customHeight="1" x14ac:dyDescent="0.25">
      <c r="B1438" s="4">
        <v>1433</v>
      </c>
      <c r="C1438" s="36" t="str">
        <f>IF(Order!$C$69="","",Order!$C$69)</f>
        <v/>
      </c>
      <c r="D1438" s="36" t="str">
        <f>IF($C1438="","",_xlfn.XLOOKUP($C1438,Order!$C:$C,Order!$D:$D,"",0,1))</f>
        <v/>
      </c>
      <c r="E1438" s="4" t="str">
        <f>IF($C1438="","",_xlfn.XLOOKUP($C1438,Order!$C:$C,Order!$E:$E,"",0,1))</f>
        <v/>
      </c>
      <c r="F1438" s="4" t="str">
        <f>IF($C1438="","",_xlfn.XLOOKUP($C1438,Order!$C:$C,Order!$F:$F,"",0,1))</f>
        <v/>
      </c>
      <c r="G1438" s="4" t="str">
        <f>IF($C1438="","",_xlfn.XLOOKUP($C1438,Order!$C:$C,Order!$G:$G,"",0,1))</f>
        <v/>
      </c>
      <c r="H1438" s="4" t="str">
        <f>IF($C1438="","",_xlfn.XLOOKUP($C1438,Order!$C:$C,Order!$H:$H,"",0,1))</f>
        <v/>
      </c>
      <c r="I1438" s="36" t="str">
        <f>IF($C1438="","",_xlfn.XLOOKUP($C1438,Order!$C:$C,Order!$M:$M,"",0,1))</f>
        <v/>
      </c>
      <c r="J1438" s="4" t="str">
        <f>IF(C1438="","",Order!$M$16)</f>
        <v/>
      </c>
      <c r="K1438" s="36" t="str">
        <f>IF($C1438="","",_xlfn.XLOOKUP($C1438,Order!$C:$C,Order!$P:$P,"",0,1))</f>
        <v/>
      </c>
      <c r="L1438" s="4" t="str">
        <f t="shared" si="22"/>
        <v/>
      </c>
    </row>
    <row r="1439" spans="2:12" ht="23.25" hidden="1" customHeight="1" x14ac:dyDescent="0.25">
      <c r="B1439" s="4">
        <v>1434</v>
      </c>
      <c r="C1439" s="36" t="str">
        <f>IF(Order!$C$70="","",Order!$C$70)</f>
        <v/>
      </c>
      <c r="D1439" s="36" t="str">
        <f>IF($C1439="","",_xlfn.XLOOKUP($C1439,Order!$C:$C,Order!$D:$D,"",0,1))</f>
        <v/>
      </c>
      <c r="E1439" s="4" t="str">
        <f>IF($C1439="","",_xlfn.XLOOKUP($C1439,Order!$C:$C,Order!$E:$E,"",0,1))</f>
        <v/>
      </c>
      <c r="F1439" s="4" t="str">
        <f>IF($C1439="","",_xlfn.XLOOKUP($C1439,Order!$C:$C,Order!$F:$F,"",0,1))</f>
        <v/>
      </c>
      <c r="G1439" s="4" t="str">
        <f>IF($C1439="","",_xlfn.XLOOKUP($C1439,Order!$C:$C,Order!$G:$G,"",0,1))</f>
        <v/>
      </c>
      <c r="H1439" s="4" t="str">
        <f>IF($C1439="","",_xlfn.XLOOKUP($C1439,Order!$C:$C,Order!$H:$H,"",0,1))</f>
        <v/>
      </c>
      <c r="I1439" s="36" t="str">
        <f>IF($C1439="","",_xlfn.XLOOKUP($C1439,Order!$C:$C,Order!$M:$M,"",0,1))</f>
        <v/>
      </c>
      <c r="J1439" s="4" t="str">
        <f>IF(C1439="","",Order!$M$16)</f>
        <v/>
      </c>
      <c r="K1439" s="36" t="str">
        <f>IF($C1439="","",_xlfn.XLOOKUP($C1439,Order!$C:$C,Order!$P:$P,"",0,1))</f>
        <v/>
      </c>
      <c r="L1439" s="4" t="str">
        <f t="shared" si="22"/>
        <v/>
      </c>
    </row>
    <row r="1440" spans="2:12" ht="23.25" hidden="1" customHeight="1" x14ac:dyDescent="0.25">
      <c r="B1440" s="4">
        <v>1435</v>
      </c>
      <c r="C1440" s="36" t="str">
        <f>IF(Order!$C$71="","",Order!$C$71)</f>
        <v/>
      </c>
      <c r="D1440" s="36" t="str">
        <f>IF($C1440="","",_xlfn.XLOOKUP($C1440,Order!$C:$C,Order!$D:$D,"",0,1))</f>
        <v/>
      </c>
      <c r="E1440" s="4" t="str">
        <f>IF($C1440="","",_xlfn.XLOOKUP($C1440,Order!$C:$C,Order!$E:$E,"",0,1))</f>
        <v/>
      </c>
      <c r="F1440" s="4" t="str">
        <f>IF($C1440="","",_xlfn.XLOOKUP($C1440,Order!$C:$C,Order!$F:$F,"",0,1))</f>
        <v/>
      </c>
      <c r="G1440" s="4" t="str">
        <f>IF($C1440="","",_xlfn.XLOOKUP($C1440,Order!$C:$C,Order!$G:$G,"",0,1))</f>
        <v/>
      </c>
      <c r="H1440" s="4" t="str">
        <f>IF($C1440="","",_xlfn.XLOOKUP($C1440,Order!$C:$C,Order!$H:$H,"",0,1))</f>
        <v/>
      </c>
      <c r="I1440" s="36" t="str">
        <f>IF($C1440="","",_xlfn.XLOOKUP($C1440,Order!$C:$C,Order!$M:$M,"",0,1))</f>
        <v/>
      </c>
      <c r="J1440" s="4" t="str">
        <f>IF(C1440="","",Order!$M$16)</f>
        <v/>
      </c>
      <c r="K1440" s="36" t="str">
        <f>IF($C1440="","",_xlfn.XLOOKUP($C1440,Order!$C:$C,Order!$P:$P,"",0,1))</f>
        <v/>
      </c>
      <c r="L1440" s="4" t="str">
        <f t="shared" si="22"/>
        <v/>
      </c>
    </row>
    <row r="1441" spans="2:12" ht="23.25" hidden="1" customHeight="1" x14ac:dyDescent="0.25">
      <c r="B1441" s="4">
        <v>1436</v>
      </c>
      <c r="C1441" s="36" t="str">
        <f>IF(Order!$C$72="","",Order!$C$72)</f>
        <v/>
      </c>
      <c r="D1441" s="36" t="str">
        <f>IF($C1441="","",_xlfn.XLOOKUP($C1441,Order!$C:$C,Order!$D:$D,"",0,1))</f>
        <v/>
      </c>
      <c r="E1441" s="4" t="str">
        <f>IF($C1441="","",_xlfn.XLOOKUP($C1441,Order!$C:$C,Order!$E:$E,"",0,1))</f>
        <v/>
      </c>
      <c r="F1441" s="4" t="str">
        <f>IF($C1441="","",_xlfn.XLOOKUP($C1441,Order!$C:$C,Order!$F:$F,"",0,1))</f>
        <v/>
      </c>
      <c r="G1441" s="4" t="str">
        <f>IF($C1441="","",_xlfn.XLOOKUP($C1441,Order!$C:$C,Order!$G:$G,"",0,1))</f>
        <v/>
      </c>
      <c r="H1441" s="4" t="str">
        <f>IF($C1441="","",_xlfn.XLOOKUP($C1441,Order!$C:$C,Order!$H:$H,"",0,1))</f>
        <v/>
      </c>
      <c r="I1441" s="36" t="str">
        <f>IF($C1441="","",_xlfn.XLOOKUP($C1441,Order!$C:$C,Order!$M:$M,"",0,1))</f>
        <v/>
      </c>
      <c r="J1441" s="4" t="str">
        <f>IF(C1441="","",Order!$M$16)</f>
        <v/>
      </c>
      <c r="K1441" s="36" t="str">
        <f>IF($C1441="","",_xlfn.XLOOKUP($C1441,Order!$C:$C,Order!$P:$P,"",0,1))</f>
        <v/>
      </c>
      <c r="L1441" s="4" t="str">
        <f t="shared" si="22"/>
        <v/>
      </c>
    </row>
    <row r="1442" spans="2:12" ht="23.25" hidden="1" customHeight="1" x14ac:dyDescent="0.25">
      <c r="B1442" s="4">
        <v>1437</v>
      </c>
      <c r="C1442" s="36" t="str">
        <f>IF(Order!$C$73="","",Order!$C$73)</f>
        <v/>
      </c>
      <c r="D1442" s="36" t="str">
        <f>IF($C1442="","",_xlfn.XLOOKUP($C1442,Order!$C:$C,Order!$D:$D,"",0,1))</f>
        <v/>
      </c>
      <c r="E1442" s="4" t="str">
        <f>IF($C1442="","",_xlfn.XLOOKUP($C1442,Order!$C:$C,Order!$E:$E,"",0,1))</f>
        <v/>
      </c>
      <c r="F1442" s="4" t="str">
        <f>IF($C1442="","",_xlfn.XLOOKUP($C1442,Order!$C:$C,Order!$F:$F,"",0,1))</f>
        <v/>
      </c>
      <c r="G1442" s="4" t="str">
        <f>IF($C1442="","",_xlfn.XLOOKUP($C1442,Order!$C:$C,Order!$G:$G,"",0,1))</f>
        <v/>
      </c>
      <c r="H1442" s="4" t="str">
        <f>IF($C1442="","",_xlfn.XLOOKUP($C1442,Order!$C:$C,Order!$H:$H,"",0,1))</f>
        <v/>
      </c>
      <c r="I1442" s="36" t="str">
        <f>IF($C1442="","",_xlfn.XLOOKUP($C1442,Order!$C:$C,Order!$M:$M,"",0,1))</f>
        <v/>
      </c>
      <c r="J1442" s="4" t="str">
        <f>IF(C1442="","",Order!$M$16)</f>
        <v/>
      </c>
      <c r="K1442" s="36" t="str">
        <f>IF($C1442="","",_xlfn.XLOOKUP($C1442,Order!$C:$C,Order!$P:$P,"",0,1))</f>
        <v/>
      </c>
      <c r="L1442" s="4" t="str">
        <f t="shared" si="22"/>
        <v/>
      </c>
    </row>
    <row r="1443" spans="2:12" ht="23.25" hidden="1" customHeight="1" x14ac:dyDescent="0.25">
      <c r="B1443" s="4">
        <v>1438</v>
      </c>
      <c r="C1443" s="36" t="str">
        <f>IF(Order!$C$74="","",Order!$C$74)</f>
        <v>CM200</v>
      </c>
      <c r="D1443" s="36" t="str">
        <f>IF($C1443="","",_xlfn.XLOOKUP($C1443,Order!$C:$C,Order!$D:$D,"",0,1))</f>
        <v>CM200</v>
      </c>
      <c r="E1443" s="4" t="e" vm="262">
        <f>IF($C1443="","",_xlfn.XLOOKUP($C1443,Order!$C:$C,Order!$E:$E,"",0,1))</f>
        <v>#VALUE!</v>
      </c>
      <c r="F1443" s="4">
        <f>IF($C1443="","",_xlfn.XLOOKUP($C1443,Order!$C:$C,Order!$F:$F,"",0,1))</f>
        <v>6000</v>
      </c>
      <c r="G1443" s="4" t="str">
        <f>IF($C1443="","",_xlfn.XLOOKUP($C1443,Order!$C:$C,Order!$G:$G,"",0,1))</f>
        <v>6063T5</v>
      </c>
      <c r="H1443" s="4">
        <f>IF($C1443="","",_xlfn.XLOOKUP($C1443,Order!$C:$C,Order!$H:$H,"",0,1))</f>
        <v>0.128</v>
      </c>
      <c r="I1443" s="36">
        <f>IF($C1443="","",_xlfn.XLOOKUP($C1443,Order!$C:$C,Order!$M:$M,"",0,1))</f>
        <v>0</v>
      </c>
      <c r="J1443" s="4" t="str">
        <f>IF(C1443="","",Order!$M$16)</f>
        <v>BLACK ANODIZED (FAYP06)</v>
      </c>
      <c r="K1443" s="36">
        <f>IF($C1443="","",_xlfn.XLOOKUP($C1443,Order!$C:$C,Order!$P:$P,"",0,1))</f>
        <v>0</v>
      </c>
      <c r="L1443" s="4">
        <f t="shared" si="22"/>
        <v>0</v>
      </c>
    </row>
    <row r="1444" spans="2:12" ht="23.25" hidden="1" customHeight="1" x14ac:dyDescent="0.25">
      <c r="B1444" s="4">
        <v>1439</v>
      </c>
      <c r="C1444" s="36" t="str">
        <f>IF(Order!$C$75="","",Order!$C$75)</f>
        <v>CL006</v>
      </c>
      <c r="D1444" s="36" t="str">
        <f>IF($C1444="","",_xlfn.XLOOKUP($C1444,Order!$C:$C,Order!$D:$D,"",0,1))</f>
        <v>CL006</v>
      </c>
      <c r="E1444" s="4" t="e" vm="263">
        <f>IF($C1444="","",_xlfn.XLOOKUP($C1444,Order!$C:$C,Order!$E:$E,"",0,1))</f>
        <v>#VALUE!</v>
      </c>
      <c r="F1444" s="4">
        <f>IF($C1444="","",_xlfn.XLOOKUP($C1444,Order!$C:$C,Order!$F:$F,"",0,1))</f>
        <v>6000</v>
      </c>
      <c r="G1444" s="4" t="str">
        <f>IF($C1444="","",_xlfn.XLOOKUP($C1444,Order!$C:$C,Order!$G:$G,"",0,1))</f>
        <v>6063T5</v>
      </c>
      <c r="H1444" s="4">
        <f>IF($C1444="","",_xlfn.XLOOKUP($C1444,Order!$C:$C,Order!$H:$H,"",0,1))</f>
        <v>1.115</v>
      </c>
      <c r="I1444" s="36">
        <f>IF($C1444="","",_xlfn.XLOOKUP($C1444,Order!$C:$C,Order!$M:$M,"",0,1))</f>
        <v>0</v>
      </c>
      <c r="J1444" s="4" t="str">
        <f>IF(C1444="","",Order!$M$16)</f>
        <v>BLACK ANODIZED (FAYP06)</v>
      </c>
      <c r="K1444" s="36">
        <f>IF($C1444="","",_xlfn.XLOOKUP($C1444,Order!$C:$C,Order!$P:$P,"",0,1))</f>
        <v>0</v>
      </c>
      <c r="L1444" s="4">
        <f t="shared" si="22"/>
        <v>0</v>
      </c>
    </row>
    <row r="1445" spans="2:12" ht="23.25" hidden="1" customHeight="1" x14ac:dyDescent="0.25">
      <c r="B1445" s="4">
        <v>1440</v>
      </c>
      <c r="C1445" s="36" t="str">
        <f>IF(Order!$C$76="","",Order!$C$76)</f>
        <v>CL011</v>
      </c>
      <c r="D1445" s="36" t="str">
        <f>IF($C1445="","",_xlfn.XLOOKUP($C1445,Order!$C:$C,Order!$D:$D,"",0,1))</f>
        <v>CL011</v>
      </c>
      <c r="E1445" s="4" t="e" vm="264">
        <f>IF($C1445="","",_xlfn.XLOOKUP($C1445,Order!$C:$C,Order!$E:$E,"",0,1))</f>
        <v>#VALUE!</v>
      </c>
      <c r="F1445" s="4">
        <f>IF($C1445="","",_xlfn.XLOOKUP($C1445,Order!$C:$C,Order!$F:$F,"",0,1))</f>
        <v>6000</v>
      </c>
      <c r="G1445" s="4" t="str">
        <f>IF($C1445="","",_xlfn.XLOOKUP($C1445,Order!$C:$C,Order!$G:$G,"",0,1))</f>
        <v>6063T5</v>
      </c>
      <c r="H1445" s="4">
        <f>IF($C1445="","",_xlfn.XLOOKUP($C1445,Order!$C:$C,Order!$H:$H,"",0,1))</f>
        <v>0.311</v>
      </c>
      <c r="I1445" s="36">
        <f>IF($C1445="","",_xlfn.XLOOKUP($C1445,Order!$C:$C,Order!$M:$M,"",0,1))</f>
        <v>0</v>
      </c>
      <c r="J1445" s="4" t="str">
        <f>IF(C1445="","",Order!$M$16)</f>
        <v>BLACK ANODIZED (FAYP06)</v>
      </c>
      <c r="K1445" s="36">
        <f>IF($C1445="","",_xlfn.XLOOKUP($C1445,Order!$C:$C,Order!$P:$P,"",0,1))</f>
        <v>0</v>
      </c>
      <c r="L1445" s="4">
        <f t="shared" si="22"/>
        <v>0</v>
      </c>
    </row>
    <row r="1446" spans="2:12" ht="23.25" hidden="1" customHeight="1" x14ac:dyDescent="0.25">
      <c r="B1446" s="4">
        <v>1441</v>
      </c>
      <c r="C1446" s="36" t="str">
        <f>IF(Order!$C$77="","",Order!$C$77)</f>
        <v>BX810</v>
      </c>
      <c r="D1446" s="36" t="str">
        <f>IF($C1446="","",_xlfn.XLOOKUP($C1446,Order!$C:$C,Order!$D:$D,"",0,1))</f>
        <v>BX810</v>
      </c>
      <c r="E1446" s="4" t="e" vm="265">
        <f>IF($C1446="","",_xlfn.XLOOKUP($C1446,Order!$C:$C,Order!$E:$E,"",0,1))</f>
        <v>#VALUE!</v>
      </c>
      <c r="F1446" s="4">
        <f>IF($C1446="","",_xlfn.XLOOKUP($C1446,Order!$C:$C,Order!$F:$F,"",0,1))</f>
        <v>6000</v>
      </c>
      <c r="G1446" s="4" t="str">
        <f>IF($C1446="","",_xlfn.XLOOKUP($C1446,Order!$C:$C,Order!$G:$G,"",0,1))</f>
        <v>6063T5</v>
      </c>
      <c r="H1446" s="4">
        <f>IF($C1446="","",_xlfn.XLOOKUP($C1446,Order!$C:$C,Order!$H:$H,"",0,1))</f>
        <v>0.53600000000000003</v>
      </c>
      <c r="I1446" s="36">
        <f>IF($C1446="","",_xlfn.XLOOKUP($C1446,Order!$C:$C,Order!$M:$M,"",0,1))</f>
        <v>0</v>
      </c>
      <c r="J1446" s="4" t="str">
        <f>IF(C1446="","",Order!$M$16)</f>
        <v>BLACK ANODIZED (FAYP06)</v>
      </c>
      <c r="K1446" s="36">
        <f>IF($C1446="","",_xlfn.XLOOKUP($C1446,Order!$C:$C,Order!$P:$P,"",0,1))</f>
        <v>0</v>
      </c>
      <c r="L1446" s="4">
        <f t="shared" si="22"/>
        <v>0</v>
      </c>
    </row>
    <row r="1447" spans="2:12" ht="23.25" hidden="1" customHeight="1" x14ac:dyDescent="0.25">
      <c r="B1447" s="4">
        <v>1442</v>
      </c>
      <c r="C1447" s="36" t="str">
        <f>IF(Order!$C$78="","",Order!$C$78)</f>
        <v>BX811</v>
      </c>
      <c r="D1447" s="36" t="str">
        <f>IF($C1447="","",_xlfn.XLOOKUP($C1447,Order!$C:$C,Order!$D:$D,"",0,1))</f>
        <v>BX811</v>
      </c>
      <c r="E1447" s="4" t="e" vm="266">
        <f>IF($C1447="","",_xlfn.XLOOKUP($C1447,Order!$C:$C,Order!$E:$E,"",0,1))</f>
        <v>#VALUE!</v>
      </c>
      <c r="F1447" s="4">
        <f>IF($C1447="","",_xlfn.XLOOKUP($C1447,Order!$C:$C,Order!$F:$F,"",0,1))</f>
        <v>6000</v>
      </c>
      <c r="G1447" s="4" t="str">
        <f>IF($C1447="","",_xlfn.XLOOKUP($C1447,Order!$C:$C,Order!$G:$G,"",0,1))</f>
        <v>6063T5</v>
      </c>
      <c r="H1447" s="4">
        <f>IF($C1447="","",_xlfn.XLOOKUP($C1447,Order!$C:$C,Order!$H:$H,"",0,1))</f>
        <v>0.35799999999999998</v>
      </c>
      <c r="I1447" s="36">
        <f>IF($C1447="","",_xlfn.XLOOKUP($C1447,Order!$C:$C,Order!$M:$M,"",0,1))</f>
        <v>0</v>
      </c>
      <c r="J1447" s="4" t="str">
        <f>IF(C1447="","",Order!$M$16)</f>
        <v>BLACK ANODIZED (FAYP06)</v>
      </c>
      <c r="K1447" s="36">
        <f>IF($C1447="","",_xlfn.XLOOKUP($C1447,Order!$C:$C,Order!$P:$P,"",0,1))</f>
        <v>0</v>
      </c>
      <c r="L1447" s="4">
        <f t="shared" si="22"/>
        <v>0</v>
      </c>
    </row>
    <row r="1448" spans="2:12" ht="23.25" hidden="1" customHeight="1" x14ac:dyDescent="0.25">
      <c r="B1448" s="4">
        <v>1443</v>
      </c>
      <c r="C1448" s="36" t="str">
        <f>IF(Order!$C$79="","",Order!$C$79)</f>
        <v>BX856</v>
      </c>
      <c r="D1448" s="36" t="str">
        <f>IF($C1448="","",_xlfn.XLOOKUP($C1448,Order!$C:$C,Order!$D:$D,"",0,1))</f>
        <v>BX856</v>
      </c>
      <c r="E1448" s="4" t="e" vm="267">
        <f>IF($C1448="","",_xlfn.XLOOKUP($C1448,Order!$C:$C,Order!$E:$E,"",0,1))</f>
        <v>#VALUE!</v>
      </c>
      <c r="F1448" s="4">
        <f>IF($C1448="","",_xlfn.XLOOKUP($C1448,Order!$C:$C,Order!$F:$F,"",0,1))</f>
        <v>6000</v>
      </c>
      <c r="G1448" s="4" t="str">
        <f>IF($C1448="","",_xlfn.XLOOKUP($C1448,Order!$C:$C,Order!$G:$G,"",0,1))</f>
        <v>6063T5</v>
      </c>
      <c r="H1448" s="4">
        <f>IF($C1448="","",_xlfn.XLOOKUP($C1448,Order!$C:$C,Order!$H:$H,"",0,1))</f>
        <v>0.22600000000000001</v>
      </c>
      <c r="I1448" s="36">
        <f>IF($C1448="","",_xlfn.XLOOKUP($C1448,Order!$C:$C,Order!$M:$M,"",0,1))</f>
        <v>0</v>
      </c>
      <c r="J1448" s="4" t="str">
        <f>IF(C1448="","",Order!$M$16)</f>
        <v>BLACK ANODIZED (FAYP06)</v>
      </c>
      <c r="K1448" s="36">
        <f>IF($C1448="","",_xlfn.XLOOKUP($C1448,Order!$C:$C,Order!$P:$P,"",0,1))</f>
        <v>0</v>
      </c>
      <c r="L1448" s="4">
        <f t="shared" si="22"/>
        <v>0</v>
      </c>
    </row>
    <row r="1449" spans="2:12" ht="23.25" hidden="1" customHeight="1" x14ac:dyDescent="0.25">
      <c r="B1449" s="4">
        <v>1444</v>
      </c>
      <c r="C1449" s="36" t="str">
        <f>IF(Order!$C$80="","",Order!$C$80)</f>
        <v>AF051</v>
      </c>
      <c r="D1449" s="36" t="str">
        <f>IF($C1449="","",_xlfn.XLOOKUP($C1449,Order!$C:$C,Order!$D:$D,"",0,1))</f>
        <v>AF051</v>
      </c>
      <c r="E1449" s="4" t="e" vm="268">
        <f>IF($C1449="","",_xlfn.XLOOKUP($C1449,Order!$C:$C,Order!$E:$E,"",0,1))</f>
        <v>#VALUE!</v>
      </c>
      <c r="F1449" s="4">
        <f>IF($C1449="","",_xlfn.XLOOKUP($C1449,Order!$C:$C,Order!$F:$F,"",0,1))</f>
        <v>6000</v>
      </c>
      <c r="G1449" s="4" t="str">
        <f>IF($C1449="","",_xlfn.XLOOKUP($C1449,Order!$C:$C,Order!$G:$G,"",0,1))</f>
        <v>6063T5</v>
      </c>
      <c r="H1449" s="4">
        <f>IF($C1449="","",_xlfn.XLOOKUP($C1449,Order!$C:$C,Order!$H:$H,"",0,1))</f>
        <v>0.2</v>
      </c>
      <c r="I1449" s="36">
        <f>IF($C1449="","",_xlfn.XLOOKUP($C1449,Order!$C:$C,Order!$M:$M,"",0,1))</f>
        <v>0</v>
      </c>
      <c r="J1449" s="4" t="str">
        <f>IF(C1449="","",Order!$M$16)</f>
        <v>BLACK ANODIZED (FAYP06)</v>
      </c>
      <c r="K1449" s="36">
        <f>IF($C1449="","",_xlfn.XLOOKUP($C1449,Order!$C:$C,Order!$P:$P,"",0,1))</f>
        <v>0</v>
      </c>
      <c r="L1449" s="4">
        <f t="shared" si="22"/>
        <v>0</v>
      </c>
    </row>
    <row r="1450" spans="2:12" ht="23.25" hidden="1" customHeight="1" x14ac:dyDescent="0.25">
      <c r="B1450" s="4">
        <v>1445</v>
      </c>
      <c r="C1450" s="36" t="str">
        <f>IF(Order!$C$81="","",Order!$C$81)</f>
        <v>AF053</v>
      </c>
      <c r="D1450" s="36" t="str">
        <f>IF($C1450="","",_xlfn.XLOOKUP($C1450,Order!$C:$C,Order!$D:$D,"",0,1))</f>
        <v>AF053</v>
      </c>
      <c r="E1450" s="4" t="e" vm="269">
        <f>IF($C1450="","",_xlfn.XLOOKUP($C1450,Order!$C:$C,Order!$E:$E,"",0,1))</f>
        <v>#VALUE!</v>
      </c>
      <c r="F1450" s="4">
        <f>IF($C1450="","",_xlfn.XLOOKUP($C1450,Order!$C:$C,Order!$F:$F,"",0,1))</f>
        <v>6000</v>
      </c>
      <c r="G1450" s="4" t="str">
        <f>IF($C1450="","",_xlfn.XLOOKUP($C1450,Order!$C:$C,Order!$G:$G,"",0,1))</f>
        <v>6063T5</v>
      </c>
      <c r="H1450" s="4">
        <f>IF($C1450="","",_xlfn.XLOOKUP($C1450,Order!$C:$C,Order!$H:$H,"",0,1))</f>
        <v>0.32500000000000001</v>
      </c>
      <c r="I1450" s="36">
        <f>IF($C1450="","",_xlfn.XLOOKUP($C1450,Order!$C:$C,Order!$M:$M,"",0,1))</f>
        <v>0</v>
      </c>
      <c r="J1450" s="4" t="str">
        <f>IF(C1450="","",Order!$M$16)</f>
        <v>BLACK ANODIZED (FAYP06)</v>
      </c>
      <c r="K1450" s="36">
        <f>IF($C1450="","",_xlfn.XLOOKUP($C1450,Order!$C:$C,Order!$P:$P,"",0,1))</f>
        <v>0</v>
      </c>
      <c r="L1450" s="4">
        <f t="shared" si="22"/>
        <v>0</v>
      </c>
    </row>
    <row r="1451" spans="2:12" ht="23.25" hidden="1" customHeight="1" x14ac:dyDescent="0.25">
      <c r="B1451" s="4">
        <v>1446</v>
      </c>
      <c r="C1451" s="36" t="str">
        <f>IF(Order!$C$82="","",Order!$C$82)</f>
        <v>AF055</v>
      </c>
      <c r="D1451" s="36" t="str">
        <f>IF($C1451="","",_xlfn.XLOOKUP($C1451,Order!$C:$C,Order!$D:$D,"",0,1))</f>
        <v>AF055</v>
      </c>
      <c r="E1451" s="4" t="e" vm="270">
        <f>IF($C1451="","",_xlfn.XLOOKUP($C1451,Order!$C:$C,Order!$E:$E,"",0,1))</f>
        <v>#VALUE!</v>
      </c>
      <c r="F1451" s="4">
        <f>IF($C1451="","",_xlfn.XLOOKUP($C1451,Order!$C:$C,Order!$F:$F,"",0,1))</f>
        <v>6000</v>
      </c>
      <c r="G1451" s="4" t="str">
        <f>IF($C1451="","",_xlfn.XLOOKUP($C1451,Order!$C:$C,Order!$G:$G,"",0,1))</f>
        <v>6063T5</v>
      </c>
      <c r="H1451" s="4">
        <f>IF($C1451="","",_xlfn.XLOOKUP($C1451,Order!$C:$C,Order!$H:$H,"",0,1))</f>
        <v>0.26400000000000001</v>
      </c>
      <c r="I1451" s="36">
        <f>IF($C1451="","",_xlfn.XLOOKUP($C1451,Order!$C:$C,Order!$M:$M,"",0,1))</f>
        <v>0</v>
      </c>
      <c r="J1451" s="4" t="str">
        <f>IF(C1451="","",Order!$M$16)</f>
        <v>BLACK ANODIZED (FAYP06)</v>
      </c>
      <c r="K1451" s="36">
        <f>IF($C1451="","",_xlfn.XLOOKUP($C1451,Order!$C:$C,Order!$P:$P,"",0,1))</f>
        <v>0</v>
      </c>
      <c r="L1451" s="4">
        <f t="shared" si="22"/>
        <v>0</v>
      </c>
    </row>
    <row r="1452" spans="2:12" ht="23.25" hidden="1" customHeight="1" x14ac:dyDescent="0.25">
      <c r="B1452" s="4">
        <v>1447</v>
      </c>
      <c r="C1452" s="36" t="str">
        <f>IF(Order!$C$83="","",Order!$C$83)</f>
        <v>AF056</v>
      </c>
      <c r="D1452" s="36" t="str">
        <f>IF($C1452="","",_xlfn.XLOOKUP($C1452,Order!$C:$C,Order!$D:$D,"",0,1))</f>
        <v>AF056</v>
      </c>
      <c r="E1452" s="4" t="e" vm="271">
        <f>IF($C1452="","",_xlfn.XLOOKUP($C1452,Order!$C:$C,Order!$E:$E,"",0,1))</f>
        <v>#VALUE!</v>
      </c>
      <c r="F1452" s="4">
        <f>IF($C1452="","",_xlfn.XLOOKUP($C1452,Order!$C:$C,Order!$F:$F,"",0,1))</f>
        <v>6000</v>
      </c>
      <c r="G1452" s="4" t="str">
        <f>IF($C1452="","",_xlfn.XLOOKUP($C1452,Order!$C:$C,Order!$G:$G,"",0,1))</f>
        <v>6063T5</v>
      </c>
      <c r="H1452" s="4">
        <f>IF($C1452="","",_xlfn.XLOOKUP($C1452,Order!$C:$C,Order!$H:$H,"",0,1))</f>
        <v>0</v>
      </c>
      <c r="I1452" s="36">
        <f>IF($C1452="","",_xlfn.XLOOKUP($C1452,Order!$C:$C,Order!$M:$M,"",0,1))</f>
        <v>0</v>
      </c>
      <c r="J1452" s="4" t="str">
        <f>IF(C1452="","",Order!$M$16)</f>
        <v>BLACK ANODIZED (FAYP06)</v>
      </c>
      <c r="K1452" s="36">
        <f>IF($C1452="","",_xlfn.XLOOKUP($C1452,Order!$C:$C,Order!$P:$P,"",0,1))</f>
        <v>0</v>
      </c>
      <c r="L1452" s="4">
        <f t="shared" si="22"/>
        <v>0</v>
      </c>
    </row>
    <row r="1453" spans="2:12" ht="23.25" hidden="1" customHeight="1" x14ac:dyDescent="0.25">
      <c r="B1453" s="4">
        <v>1448</v>
      </c>
      <c r="C1453" s="36" t="str">
        <f>IF(Order!$C$84="","",Order!$C$84)</f>
        <v>AF057</v>
      </c>
      <c r="D1453" s="36" t="str">
        <f>IF($C1453="","",_xlfn.XLOOKUP($C1453,Order!$C:$C,Order!$D:$D,"",0,1))</f>
        <v>AF057</v>
      </c>
      <c r="E1453" s="4" t="e" vm="272">
        <f>IF($C1453="","",_xlfn.XLOOKUP($C1453,Order!$C:$C,Order!$E:$E,"",0,1))</f>
        <v>#VALUE!</v>
      </c>
      <c r="F1453" s="4">
        <f>IF($C1453="","",_xlfn.XLOOKUP($C1453,Order!$C:$C,Order!$F:$F,"",0,1))</f>
        <v>6000</v>
      </c>
      <c r="G1453" s="4" t="str">
        <f>IF($C1453="","",_xlfn.XLOOKUP($C1453,Order!$C:$C,Order!$G:$G,"",0,1))</f>
        <v>6063T5</v>
      </c>
      <c r="H1453" s="4">
        <f>IF($C1453="","",_xlfn.XLOOKUP($C1453,Order!$C:$C,Order!$H:$H,"",0,1))</f>
        <v>0.39100000000000001</v>
      </c>
      <c r="I1453" s="36">
        <f>IF($C1453="","",_xlfn.XLOOKUP($C1453,Order!$C:$C,Order!$M:$M,"",0,1))</f>
        <v>0</v>
      </c>
      <c r="J1453" s="4" t="str">
        <f>IF(C1453="","",Order!$M$16)</f>
        <v>BLACK ANODIZED (FAYP06)</v>
      </c>
      <c r="K1453" s="36">
        <f>IF($C1453="","",_xlfn.XLOOKUP($C1453,Order!$C:$C,Order!$P:$P,"",0,1))</f>
        <v>0</v>
      </c>
      <c r="L1453" s="4">
        <f t="shared" si="22"/>
        <v>0</v>
      </c>
    </row>
    <row r="1454" spans="2:12" ht="23.25" hidden="1" customHeight="1" x14ac:dyDescent="0.25">
      <c r="B1454" s="4">
        <v>1449</v>
      </c>
      <c r="C1454" s="36" t="str">
        <f>IF(Order!$C$85="","",Order!$C$85)</f>
        <v>AF059</v>
      </c>
      <c r="D1454" s="36" t="str">
        <f>IF($C1454="","",_xlfn.XLOOKUP($C1454,Order!$C:$C,Order!$D:$D,"",0,1))</f>
        <v>AF059</v>
      </c>
      <c r="E1454" s="4" t="e" vm="273">
        <f>IF($C1454="","",_xlfn.XLOOKUP($C1454,Order!$C:$C,Order!$E:$E,"",0,1))</f>
        <v>#VALUE!</v>
      </c>
      <c r="F1454" s="4">
        <f>IF($C1454="","",_xlfn.XLOOKUP($C1454,Order!$C:$C,Order!$F:$F,"",0,1))</f>
        <v>6000</v>
      </c>
      <c r="G1454" s="4" t="str">
        <f>IF($C1454="","",_xlfn.XLOOKUP($C1454,Order!$C:$C,Order!$G:$G,"",0,1))</f>
        <v>6063T5</v>
      </c>
      <c r="H1454" s="4">
        <f>IF($C1454="","",_xlfn.XLOOKUP($C1454,Order!$C:$C,Order!$H:$H,"",0,1))</f>
        <v>0.443</v>
      </c>
      <c r="I1454" s="36">
        <f>IF($C1454="","",_xlfn.XLOOKUP($C1454,Order!$C:$C,Order!$M:$M,"",0,1))</f>
        <v>0</v>
      </c>
      <c r="J1454" s="4" t="str">
        <f>IF(C1454="","",Order!$M$16)</f>
        <v>BLACK ANODIZED (FAYP06)</v>
      </c>
      <c r="K1454" s="36">
        <f>IF($C1454="","",_xlfn.XLOOKUP($C1454,Order!$C:$C,Order!$P:$P,"",0,1))</f>
        <v>0</v>
      </c>
      <c r="L1454" s="4">
        <f t="shared" si="22"/>
        <v>0</v>
      </c>
    </row>
    <row r="1455" spans="2:12" ht="23.25" hidden="1" customHeight="1" x14ac:dyDescent="0.25">
      <c r="B1455" s="4">
        <v>1450</v>
      </c>
      <c r="C1455" s="36" t="str">
        <f>IF(Order!$C$86="","",Order!$C$86)</f>
        <v>AF060</v>
      </c>
      <c r="D1455" s="36" t="str">
        <f>IF($C1455="","",_xlfn.XLOOKUP($C1455,Order!$C:$C,Order!$D:$D,"",0,1))</f>
        <v>AF060</v>
      </c>
      <c r="E1455" s="4" t="e" vm="274">
        <f>IF($C1455="","",_xlfn.XLOOKUP($C1455,Order!$C:$C,Order!$E:$E,"",0,1))</f>
        <v>#VALUE!</v>
      </c>
      <c r="F1455" s="4">
        <f>IF($C1455="","",_xlfn.XLOOKUP($C1455,Order!$C:$C,Order!$F:$F,"",0,1))</f>
        <v>6000</v>
      </c>
      <c r="G1455" s="4" t="str">
        <f>IF($C1455="","",_xlfn.XLOOKUP($C1455,Order!$C:$C,Order!$G:$G,"",0,1))</f>
        <v>6063T5</v>
      </c>
      <c r="H1455" s="4">
        <f>IF($C1455="","",_xlfn.XLOOKUP($C1455,Order!$C:$C,Order!$H:$H,"",0,1))</f>
        <v>0.45200000000000001</v>
      </c>
      <c r="I1455" s="36">
        <f>IF($C1455="","",_xlfn.XLOOKUP($C1455,Order!$C:$C,Order!$M:$M,"",0,1))</f>
        <v>0</v>
      </c>
      <c r="J1455" s="4" t="str">
        <f>IF(C1455="","",Order!$M$16)</f>
        <v>BLACK ANODIZED (FAYP06)</v>
      </c>
      <c r="K1455" s="36">
        <f>IF($C1455="","",_xlfn.XLOOKUP($C1455,Order!$C:$C,Order!$P:$P,"",0,1))</f>
        <v>0</v>
      </c>
      <c r="L1455" s="4">
        <f t="shared" si="22"/>
        <v>0</v>
      </c>
    </row>
    <row r="1456" spans="2:12" ht="23.25" hidden="1" customHeight="1" x14ac:dyDescent="0.25">
      <c r="B1456" s="4">
        <v>1451</v>
      </c>
      <c r="C1456" s="36" t="str">
        <f>IF(Order!$C$87="","",Order!$C$87)</f>
        <v>AF061 15E</v>
      </c>
      <c r="D1456" s="36" t="str">
        <f>IF($C1456="","",_xlfn.XLOOKUP($C1456,Order!$C:$C,Order!$D:$D,"",0,1))</f>
        <v>AF 061 15E</v>
      </c>
      <c r="E1456" s="4" t="e" vm="275">
        <f>IF($C1456="","",_xlfn.XLOOKUP($C1456,Order!$C:$C,Order!$E:$E,"",0,1))</f>
        <v>#VALUE!</v>
      </c>
      <c r="F1456" s="4">
        <f>IF($C1456="","",_xlfn.XLOOKUP($C1456,Order!$C:$C,Order!$F:$F,"",0,1))</f>
        <v>6000</v>
      </c>
      <c r="G1456" s="4" t="str">
        <f>IF($C1456="","",_xlfn.XLOOKUP($C1456,Order!$C:$C,Order!$G:$G,"",0,1))</f>
        <v>6063T5</v>
      </c>
      <c r="H1456" s="4">
        <f>IF($C1456="","",_xlfn.XLOOKUP($C1456,Order!$C:$C,Order!$H:$H,"",0,1))</f>
        <v>0.20200000000000001</v>
      </c>
      <c r="I1456" s="36">
        <f>IF($C1456="","",_xlfn.XLOOKUP($C1456,Order!$C:$C,Order!$M:$M,"",0,1))</f>
        <v>0</v>
      </c>
      <c r="J1456" s="4" t="str">
        <f>IF(C1456="","",Order!$M$16)</f>
        <v>BLACK ANODIZED (FAYP06)</v>
      </c>
      <c r="K1456" s="36">
        <f>IF($C1456="","",_xlfn.XLOOKUP($C1456,Order!$C:$C,Order!$P:$P,"",0,1))</f>
        <v>0</v>
      </c>
      <c r="L1456" s="4">
        <f t="shared" si="22"/>
        <v>0</v>
      </c>
    </row>
    <row r="1457" spans="2:12" ht="23.25" hidden="1" customHeight="1" x14ac:dyDescent="0.25">
      <c r="B1457" s="4">
        <v>1452</v>
      </c>
      <c r="C1457" s="36" t="str">
        <f>IF(Order!$C$88="","",Order!$C$88)</f>
        <v>AF061 15</v>
      </c>
      <c r="D1457" s="36" t="str">
        <f>IF($C1457="","",_xlfn.XLOOKUP($C1457,Order!$C:$C,Order!$D:$D,"",0,1))</f>
        <v>AF061 15</v>
      </c>
      <c r="E1457" s="4" t="e" vm="276">
        <f>IF($C1457="","",_xlfn.XLOOKUP($C1457,Order!$C:$C,Order!$E:$E,"",0,1))</f>
        <v>#VALUE!</v>
      </c>
      <c r="F1457" s="4">
        <f>IF($C1457="","",_xlfn.XLOOKUP($C1457,Order!$C:$C,Order!$F:$F,"",0,1))</f>
        <v>6000</v>
      </c>
      <c r="G1457" s="4" t="str">
        <f>IF($C1457="","",_xlfn.XLOOKUP($C1457,Order!$C:$C,Order!$G:$G,"",0,1))</f>
        <v>6063T5</v>
      </c>
      <c r="H1457" s="4">
        <f>IF($C1457="","",_xlfn.XLOOKUP($C1457,Order!$C:$C,Order!$H:$H,"",0,1))</f>
        <v>0.36399999999999999</v>
      </c>
      <c r="I1457" s="36">
        <f>IF($C1457="","",_xlfn.XLOOKUP($C1457,Order!$C:$C,Order!$M:$M,"",0,1))</f>
        <v>0</v>
      </c>
      <c r="J1457" s="4" t="str">
        <f>IF(C1457="","",Order!$M$16)</f>
        <v>BLACK ANODIZED (FAYP06)</v>
      </c>
      <c r="K1457" s="36">
        <f>IF($C1457="","",_xlfn.XLOOKUP($C1457,Order!$C:$C,Order!$P:$P,"",0,1))</f>
        <v>0</v>
      </c>
      <c r="L1457" s="4">
        <f t="shared" si="22"/>
        <v>0</v>
      </c>
    </row>
    <row r="1458" spans="2:12" ht="23.25" hidden="1" customHeight="1" x14ac:dyDescent="0.25">
      <c r="B1458" s="4">
        <v>1453</v>
      </c>
      <c r="C1458" s="36" t="str">
        <f>IF(Order!$C$89="","",Order!$C$89)</f>
        <v>AF061 18</v>
      </c>
      <c r="D1458" s="36" t="str">
        <f>IF($C1458="","",_xlfn.XLOOKUP($C1458,Order!$C:$C,Order!$D:$D,"",0,1))</f>
        <v>AF061 18</v>
      </c>
      <c r="E1458" s="4" t="e" vm="277">
        <f>IF($C1458="","",_xlfn.XLOOKUP($C1458,Order!$C:$C,Order!$E:$E,"",0,1))</f>
        <v>#VALUE!</v>
      </c>
      <c r="F1458" s="4">
        <f>IF($C1458="","",_xlfn.XLOOKUP($C1458,Order!$C:$C,Order!$F:$F,"",0,1))</f>
        <v>6000</v>
      </c>
      <c r="G1458" s="4" t="str">
        <f>IF($C1458="","",_xlfn.XLOOKUP($C1458,Order!$C:$C,Order!$G:$G,"",0,1))</f>
        <v>6063T5</v>
      </c>
      <c r="H1458" s="4">
        <f>IF($C1458="","",_xlfn.XLOOKUP($C1458,Order!$C:$C,Order!$H:$H,"",0,1))</f>
        <v>0</v>
      </c>
      <c r="I1458" s="36">
        <f>IF($C1458="","",_xlfn.XLOOKUP($C1458,Order!$C:$C,Order!$M:$M,"",0,1))</f>
        <v>0</v>
      </c>
      <c r="J1458" s="4" t="str">
        <f>IF(C1458="","",Order!$M$16)</f>
        <v>BLACK ANODIZED (FAYP06)</v>
      </c>
      <c r="K1458" s="36">
        <f>IF($C1458="","",_xlfn.XLOOKUP($C1458,Order!$C:$C,Order!$P:$P,"",0,1))</f>
        <v>0</v>
      </c>
      <c r="L1458" s="4">
        <f t="shared" si="22"/>
        <v>0</v>
      </c>
    </row>
    <row r="1459" spans="2:12" ht="23.25" hidden="1" customHeight="1" x14ac:dyDescent="0.25">
      <c r="B1459" s="4">
        <v>1454</v>
      </c>
      <c r="C1459" s="36" t="str">
        <f>IF(Order!$C$90="","",Order!$C$90)</f>
        <v>AF066</v>
      </c>
      <c r="D1459" s="36" t="str">
        <f>IF($C1459="","",_xlfn.XLOOKUP($C1459,Order!$C:$C,Order!$D:$D,"",0,1))</f>
        <v>AF066</v>
      </c>
      <c r="E1459" s="4" t="e" vm="278">
        <f>IF($C1459="","",_xlfn.XLOOKUP($C1459,Order!$C:$C,Order!$E:$E,"",0,1))</f>
        <v>#VALUE!</v>
      </c>
      <c r="F1459" s="4">
        <f>IF($C1459="","",_xlfn.XLOOKUP($C1459,Order!$C:$C,Order!$F:$F,"",0,1))</f>
        <v>6000</v>
      </c>
      <c r="G1459" s="4" t="str">
        <f>IF($C1459="","",_xlfn.XLOOKUP($C1459,Order!$C:$C,Order!$G:$G,"",0,1))</f>
        <v>6063T5</v>
      </c>
      <c r="H1459" s="4">
        <f>IF($C1459="","",_xlfn.XLOOKUP($C1459,Order!$C:$C,Order!$H:$H,"",0,1))</f>
        <v>0</v>
      </c>
      <c r="I1459" s="36">
        <f>IF($C1459="","",_xlfn.XLOOKUP($C1459,Order!$C:$C,Order!$M:$M,"",0,1))</f>
        <v>0</v>
      </c>
      <c r="J1459" s="4" t="str">
        <f>IF(C1459="","",Order!$M$16)</f>
        <v>BLACK ANODIZED (FAYP06)</v>
      </c>
      <c r="K1459" s="36">
        <f>IF($C1459="","",_xlfn.XLOOKUP($C1459,Order!$C:$C,Order!$P:$P,"",0,1))</f>
        <v>0</v>
      </c>
      <c r="L1459" s="4">
        <f t="shared" si="22"/>
        <v>0</v>
      </c>
    </row>
    <row r="1460" spans="2:12" ht="23.25" hidden="1" customHeight="1" x14ac:dyDescent="0.25">
      <c r="B1460" s="4">
        <v>1455</v>
      </c>
      <c r="C1460" s="36" t="str">
        <f>IF(Order!$C$91="","",Order!$C$91)</f>
        <v>AFY-15</v>
      </c>
      <c r="D1460" s="36" t="str">
        <f>IF($C1460="","",_xlfn.XLOOKUP($C1460,Order!$C:$C,Order!$D:$D,"",0,1))</f>
        <v>AFY-15</v>
      </c>
      <c r="E1460" s="4" t="e" vm="279">
        <f>IF($C1460="","",_xlfn.XLOOKUP($C1460,Order!$C:$C,Order!$E:$E,"",0,1))</f>
        <v>#VALUE!</v>
      </c>
      <c r="F1460" s="4">
        <f>IF($C1460="","",_xlfn.XLOOKUP($C1460,Order!$C:$C,Order!$F:$F,"",0,1))</f>
        <v>6000</v>
      </c>
      <c r="G1460" s="4" t="str">
        <f>IF($C1460="","",_xlfn.XLOOKUP($C1460,Order!$C:$C,Order!$G:$G,"",0,1))</f>
        <v>6063T5</v>
      </c>
      <c r="H1460" s="4">
        <f>IF($C1460="","",_xlfn.XLOOKUP($C1460,Order!$C:$C,Order!$H:$H,"",0,1))</f>
        <v>0.308</v>
      </c>
      <c r="I1460" s="36">
        <f>IF($C1460="","",_xlfn.XLOOKUP($C1460,Order!$C:$C,Order!$M:$M,"",0,1))</f>
        <v>0</v>
      </c>
      <c r="J1460" s="4" t="str">
        <f>IF(C1460="","",Order!$M$16)</f>
        <v>BLACK ANODIZED (FAYP06)</v>
      </c>
      <c r="K1460" s="36">
        <f>IF($C1460="","",_xlfn.XLOOKUP($C1460,Order!$C:$C,Order!$P:$P,"",0,1))</f>
        <v>0</v>
      </c>
      <c r="L1460" s="4">
        <f t="shared" si="22"/>
        <v>0</v>
      </c>
    </row>
    <row r="1461" spans="2:12" ht="23.25" hidden="1" customHeight="1" x14ac:dyDescent="0.25">
      <c r="B1461" s="4">
        <v>1456</v>
      </c>
      <c r="C1461" s="36" t="str">
        <f>IF(Order!$C$92="","",Order!$C$92)</f>
        <v>BX275</v>
      </c>
      <c r="D1461" s="36" t="str">
        <f>IF($C1461="","",_xlfn.XLOOKUP($C1461,Order!$C:$C,Order!$D:$D,"",0,1))</f>
        <v>BX275</v>
      </c>
      <c r="E1461" s="4" t="e" vm="280">
        <f>IF($C1461="","",_xlfn.XLOOKUP($C1461,Order!$C:$C,Order!$E:$E,"",0,1))</f>
        <v>#VALUE!</v>
      </c>
      <c r="F1461" s="4">
        <f>IF($C1461="","",_xlfn.XLOOKUP($C1461,Order!$C:$C,Order!$F:$F,"",0,1))</f>
        <v>6000</v>
      </c>
      <c r="G1461" s="4" t="str">
        <f>IF($C1461="","",_xlfn.XLOOKUP($C1461,Order!$C:$C,Order!$G:$G,"",0,1))</f>
        <v>6063T5</v>
      </c>
      <c r="H1461" s="4">
        <f>IF($C1461="","",_xlfn.XLOOKUP($C1461,Order!$C:$C,Order!$H:$H,"",0,1))</f>
        <v>0.72299999999999998</v>
      </c>
      <c r="I1461" s="36">
        <f>IF($C1461="","",_xlfn.XLOOKUP($C1461,Order!$C:$C,Order!$M:$M,"",0,1))</f>
        <v>0</v>
      </c>
      <c r="J1461" s="4" t="str">
        <f>IF(C1461="","",Order!$M$16)</f>
        <v>BLACK ANODIZED (FAYP06)</v>
      </c>
      <c r="K1461" s="36">
        <f>IF($C1461="","",_xlfn.XLOOKUP($C1461,Order!$C:$C,Order!$P:$P,"",0,1))</f>
        <v>0</v>
      </c>
      <c r="L1461" s="4">
        <f t="shared" si="22"/>
        <v>0</v>
      </c>
    </row>
    <row r="1462" spans="2:12" ht="23.25" hidden="1" customHeight="1" x14ac:dyDescent="0.25">
      <c r="B1462" s="4">
        <v>1457</v>
      </c>
      <c r="C1462" s="36" t="str">
        <f>IF(Order!$C$93="","",Order!$C$93)</f>
        <v>DV021</v>
      </c>
      <c r="D1462" s="36" t="str">
        <f>IF($C1462="","",_xlfn.XLOOKUP($C1462,Order!$C:$C,Order!$D:$D,"",0,1))</f>
        <v>DV021</v>
      </c>
      <c r="E1462" s="4" t="e" vm="281">
        <f>IF($C1462="","",_xlfn.XLOOKUP($C1462,Order!$C:$C,Order!$E:$E,"",0,1))</f>
        <v>#VALUE!</v>
      </c>
      <c r="F1462" s="4">
        <f>IF($C1462="","",_xlfn.XLOOKUP($C1462,Order!$C:$C,Order!$F:$F,"",0,1))</f>
        <v>6000</v>
      </c>
      <c r="G1462" s="4" t="str">
        <f>IF($C1462="","",_xlfn.XLOOKUP($C1462,Order!$C:$C,Order!$G:$G,"",0,1))</f>
        <v>6063T5</v>
      </c>
      <c r="H1462" s="4">
        <f>IF($C1462="","",_xlfn.XLOOKUP($C1462,Order!$C:$C,Order!$H:$H,"",0,1))</f>
        <v>0.32800000000000001</v>
      </c>
      <c r="I1462" s="36">
        <f>IF($C1462="","",_xlfn.XLOOKUP($C1462,Order!$C:$C,Order!$M:$M,"",0,1))</f>
        <v>0</v>
      </c>
      <c r="J1462" s="4" t="str">
        <f>IF(C1462="","",Order!$M$16)</f>
        <v>BLACK ANODIZED (FAYP06)</v>
      </c>
      <c r="K1462" s="36">
        <f>IF($C1462="","",_xlfn.XLOOKUP($C1462,Order!$C:$C,Order!$P:$P,"",0,1))</f>
        <v>0</v>
      </c>
      <c r="L1462" s="4">
        <f t="shared" si="22"/>
        <v>0</v>
      </c>
    </row>
    <row r="1463" spans="2:12" ht="23.25" hidden="1" customHeight="1" x14ac:dyDescent="0.25">
      <c r="B1463" s="4">
        <v>1458</v>
      </c>
      <c r="C1463" s="36" t="str">
        <f>IF(Order!$C$94="","",Order!$C$94)</f>
        <v>DV021A</v>
      </c>
      <c r="D1463" s="36" t="str">
        <f>IF($C1463="","",_xlfn.XLOOKUP($C1463,Order!$C:$C,Order!$D:$D,"",0,1))</f>
        <v>DV021A</v>
      </c>
      <c r="E1463" s="4" t="e" vm="282">
        <f>IF($C1463="","",_xlfn.XLOOKUP($C1463,Order!$C:$C,Order!$E:$E,"",0,1))</f>
        <v>#VALUE!</v>
      </c>
      <c r="F1463" s="4">
        <f>IF($C1463="","",_xlfn.XLOOKUP($C1463,Order!$C:$C,Order!$F:$F,"",0,1))</f>
        <v>6000</v>
      </c>
      <c r="G1463" s="4" t="str">
        <f>IF($C1463="","",_xlfn.XLOOKUP($C1463,Order!$C:$C,Order!$G:$G,"",0,1))</f>
        <v>6063T5</v>
      </c>
      <c r="H1463" s="4">
        <f>IF($C1463="","",_xlfn.XLOOKUP($C1463,Order!$C:$C,Order!$H:$H,"",0,1))</f>
        <v>0.317</v>
      </c>
      <c r="I1463" s="36">
        <f>IF($C1463="","",_xlfn.XLOOKUP($C1463,Order!$C:$C,Order!$M:$M,"",0,1))</f>
        <v>0</v>
      </c>
      <c r="J1463" s="4" t="str">
        <f>IF(C1463="","",Order!$M$16)</f>
        <v>BLACK ANODIZED (FAYP06)</v>
      </c>
      <c r="K1463" s="36">
        <f>IF($C1463="","",_xlfn.XLOOKUP($C1463,Order!$C:$C,Order!$P:$P,"",0,1))</f>
        <v>0</v>
      </c>
      <c r="L1463" s="4">
        <f t="shared" si="22"/>
        <v>0</v>
      </c>
    </row>
    <row r="1464" spans="2:12" ht="23.25" hidden="1" customHeight="1" x14ac:dyDescent="0.25">
      <c r="B1464" s="4">
        <v>1459</v>
      </c>
      <c r="C1464" s="36" t="str">
        <f>IF(Order!$C$95="","",Order!$C$95)</f>
        <v>DV022</v>
      </c>
      <c r="D1464" s="36" t="str">
        <f>IF($C1464="","",_xlfn.XLOOKUP($C1464,Order!$C:$C,Order!$D:$D,"",0,1))</f>
        <v>DV022</v>
      </c>
      <c r="E1464" s="4" t="e" vm="283">
        <f>IF($C1464="","",_xlfn.XLOOKUP($C1464,Order!$C:$C,Order!$E:$E,"",0,1))</f>
        <v>#VALUE!</v>
      </c>
      <c r="F1464" s="4">
        <f>IF($C1464="","",_xlfn.XLOOKUP($C1464,Order!$C:$C,Order!$F:$F,"",0,1))</f>
        <v>6000</v>
      </c>
      <c r="G1464" s="4" t="str">
        <f>IF($C1464="","",_xlfn.XLOOKUP($C1464,Order!$C:$C,Order!$G:$G,"",0,1))</f>
        <v>6063T5</v>
      </c>
      <c r="H1464" s="4">
        <f>IF($C1464="","",_xlfn.XLOOKUP($C1464,Order!$C:$C,Order!$H:$H,"",0,1))</f>
        <v>0.32400000000000001</v>
      </c>
      <c r="I1464" s="36">
        <f>IF($C1464="","",_xlfn.XLOOKUP($C1464,Order!$C:$C,Order!$M:$M,"",0,1))</f>
        <v>0</v>
      </c>
      <c r="J1464" s="4" t="str">
        <f>IF(C1464="","",Order!$M$16)</f>
        <v>BLACK ANODIZED (FAYP06)</v>
      </c>
      <c r="K1464" s="36">
        <f>IF($C1464="","",_xlfn.XLOOKUP($C1464,Order!$C:$C,Order!$P:$P,"",0,1))</f>
        <v>0</v>
      </c>
      <c r="L1464" s="4">
        <f t="shared" si="22"/>
        <v>0</v>
      </c>
    </row>
    <row r="1465" spans="2:12" ht="23.25" hidden="1" customHeight="1" x14ac:dyDescent="0.25">
      <c r="B1465" s="4">
        <v>1460</v>
      </c>
      <c r="C1465" s="36" t="str">
        <f>IF(Order!$C$96="","",Order!$C$96)</f>
        <v>DV185</v>
      </c>
      <c r="D1465" s="36" t="str">
        <f>IF($C1465="","",_xlfn.XLOOKUP($C1465,Order!$C:$C,Order!$D:$D,"",0,1))</f>
        <v>DV185</v>
      </c>
      <c r="E1465" s="4" t="e" vm="284">
        <f>IF($C1465="","",_xlfn.XLOOKUP($C1465,Order!$C:$C,Order!$E:$E,"",0,1))</f>
        <v>#VALUE!</v>
      </c>
      <c r="F1465" s="4">
        <f>IF($C1465="","",_xlfn.XLOOKUP($C1465,Order!$C:$C,Order!$F:$F,"",0,1))</f>
        <v>6000</v>
      </c>
      <c r="G1465" s="4" t="str">
        <f>IF($C1465="","",_xlfn.XLOOKUP($C1465,Order!$C:$C,Order!$G:$G,"",0,1))</f>
        <v>6063T5</v>
      </c>
      <c r="H1465" s="4">
        <f>IF($C1465="","",_xlfn.XLOOKUP($C1465,Order!$C:$C,Order!$H:$H,"",0,1))</f>
        <v>0.34499999999999997</v>
      </c>
      <c r="I1465" s="36">
        <f>IF($C1465="","",_xlfn.XLOOKUP($C1465,Order!$C:$C,Order!$M:$M,"",0,1))</f>
        <v>0</v>
      </c>
      <c r="J1465" s="4" t="str">
        <f>IF(C1465="","",Order!$M$16)</f>
        <v>BLACK ANODIZED (FAYP06)</v>
      </c>
      <c r="K1465" s="36">
        <f>IF($C1465="","",_xlfn.XLOOKUP($C1465,Order!$C:$C,Order!$P:$P,"",0,1))</f>
        <v>0</v>
      </c>
      <c r="L1465" s="4">
        <f t="shared" si="22"/>
        <v>0</v>
      </c>
    </row>
    <row r="1466" spans="2:12" ht="23.25" hidden="1" customHeight="1" x14ac:dyDescent="0.25">
      <c r="B1466" s="4">
        <v>1461</v>
      </c>
      <c r="C1466" s="36" t="str">
        <f>IF(Order!$C$97="","",Order!$C$97)</f>
        <v>DV389</v>
      </c>
      <c r="D1466" s="36" t="str">
        <f>IF($C1466="","",_xlfn.XLOOKUP($C1466,Order!$C:$C,Order!$D:$D,"",0,1))</f>
        <v>DV389</v>
      </c>
      <c r="E1466" s="4" t="e" vm="285">
        <f>IF($C1466="","",_xlfn.XLOOKUP($C1466,Order!$C:$C,Order!$E:$E,"",0,1))</f>
        <v>#VALUE!</v>
      </c>
      <c r="F1466" s="4">
        <f>IF($C1466="","",_xlfn.XLOOKUP($C1466,Order!$C:$C,Order!$F:$F,"",0,1))</f>
        <v>6000</v>
      </c>
      <c r="G1466" s="4" t="str">
        <f>IF($C1466="","",_xlfn.XLOOKUP($C1466,Order!$C:$C,Order!$G:$G,"",0,1))</f>
        <v>6063T5</v>
      </c>
      <c r="H1466" s="4">
        <f>IF($C1466="","",_xlfn.XLOOKUP($C1466,Order!$C:$C,Order!$H:$H,"",0,1))</f>
        <v>0.79700000000000004</v>
      </c>
      <c r="I1466" s="36">
        <f>IF($C1466="","",_xlfn.XLOOKUP($C1466,Order!$C:$C,Order!$M:$M,"",0,1))</f>
        <v>0</v>
      </c>
      <c r="J1466" s="4" t="str">
        <f>IF(C1466="","",Order!$M$16)</f>
        <v>BLACK ANODIZED (FAYP06)</v>
      </c>
      <c r="K1466" s="36">
        <f>IF($C1466="","",_xlfn.XLOOKUP($C1466,Order!$C:$C,Order!$P:$P,"",0,1))</f>
        <v>0</v>
      </c>
      <c r="L1466" s="4">
        <f t="shared" si="22"/>
        <v>0</v>
      </c>
    </row>
    <row r="1467" spans="2:12" ht="23.25" hidden="1" customHeight="1" x14ac:dyDescent="0.25">
      <c r="B1467" s="4">
        <v>1462</v>
      </c>
      <c r="C1467" s="36" t="str">
        <f>IF(Order!$C$98="","",Order!$C$98)</f>
        <v>BX628</v>
      </c>
      <c r="D1467" s="36" t="str">
        <f>IF($C1467="","",_xlfn.XLOOKUP($C1467,Order!$C:$C,Order!$D:$D,"",0,1))</f>
        <v>BX628</v>
      </c>
      <c r="E1467" s="4" t="e" vm="286">
        <f>IF($C1467="","",_xlfn.XLOOKUP($C1467,Order!$C:$C,Order!$E:$E,"",0,1))</f>
        <v>#VALUE!</v>
      </c>
      <c r="F1467" s="4">
        <f>IF($C1467="","",_xlfn.XLOOKUP($C1467,Order!$C:$C,Order!$F:$F,"",0,1))</f>
        <v>6000</v>
      </c>
      <c r="G1467" s="4" t="str">
        <f>IF($C1467="","",_xlfn.XLOOKUP($C1467,Order!$C:$C,Order!$G:$G,"",0,1))</f>
        <v>6063T5</v>
      </c>
      <c r="H1467" s="4">
        <f>IF($C1467="","",_xlfn.XLOOKUP($C1467,Order!$C:$C,Order!$H:$H,"",0,1))</f>
        <v>0.42199999999999999</v>
      </c>
      <c r="I1467" s="36">
        <f>IF($C1467="","",_xlfn.XLOOKUP($C1467,Order!$C:$C,Order!$M:$M,"",0,1))</f>
        <v>0</v>
      </c>
      <c r="J1467" s="4" t="str">
        <f>IF(C1467="","",Order!$M$16)</f>
        <v>BLACK ANODIZED (FAYP06)</v>
      </c>
      <c r="K1467" s="36">
        <f>IF($C1467="","",_xlfn.XLOOKUP($C1467,Order!$C:$C,Order!$P:$P,"",0,1))</f>
        <v>0</v>
      </c>
      <c r="L1467" s="4">
        <f t="shared" si="22"/>
        <v>0</v>
      </c>
    </row>
    <row r="1468" spans="2:12" ht="23.25" hidden="1" customHeight="1" x14ac:dyDescent="0.25">
      <c r="B1468" s="4">
        <v>1463</v>
      </c>
      <c r="C1468" s="36" t="str">
        <f>IF(Order!$C$99="","",Order!$C$99)</f>
        <v>BX705</v>
      </c>
      <c r="D1468" s="36" t="str">
        <f>IF($C1468="","",_xlfn.XLOOKUP($C1468,Order!$C:$C,Order!$D:$D,"",0,1))</f>
        <v>BX705</v>
      </c>
      <c r="E1468" s="4" t="e" vm="287">
        <f>IF($C1468="","",_xlfn.XLOOKUP($C1468,Order!$C:$C,Order!$E:$E,"",0,1))</f>
        <v>#VALUE!</v>
      </c>
      <c r="F1468" s="4">
        <f>IF($C1468="","",_xlfn.XLOOKUP($C1468,Order!$C:$C,Order!$F:$F,"",0,1))</f>
        <v>6000</v>
      </c>
      <c r="G1468" s="4" t="str">
        <f>IF($C1468="","",_xlfn.XLOOKUP($C1468,Order!$C:$C,Order!$G:$G,"",0,1))</f>
        <v>6063T5</v>
      </c>
      <c r="H1468" s="4">
        <f>IF($C1468="","",_xlfn.XLOOKUP($C1468,Order!$C:$C,Order!$H:$H,"",0,1))</f>
        <v>0.21199999999999999</v>
      </c>
      <c r="I1468" s="36">
        <f>IF($C1468="","",_xlfn.XLOOKUP($C1468,Order!$C:$C,Order!$M:$M,"",0,1))</f>
        <v>0</v>
      </c>
      <c r="J1468" s="4" t="str">
        <f>IF(C1468="","",Order!$M$16)</f>
        <v>BLACK ANODIZED (FAYP06)</v>
      </c>
      <c r="K1468" s="36">
        <f>IF($C1468="","",_xlfn.XLOOKUP($C1468,Order!$C:$C,Order!$P:$P,"",0,1))</f>
        <v>0</v>
      </c>
      <c r="L1468" s="4">
        <f t="shared" si="22"/>
        <v>0</v>
      </c>
    </row>
    <row r="1469" spans="2:12" ht="23.25" hidden="1" customHeight="1" x14ac:dyDescent="0.25">
      <c r="B1469" s="4">
        <v>1464</v>
      </c>
      <c r="C1469" s="36" t="str">
        <f>IF(Order!$C$100="","",Order!$C$100)</f>
        <v>BX818</v>
      </c>
      <c r="D1469" s="36" t="str">
        <f>IF($C1469="","",_xlfn.XLOOKUP($C1469,Order!$C:$C,Order!$D:$D,"",0,1))</f>
        <v>BX818</v>
      </c>
      <c r="E1469" s="4" t="e" vm="288">
        <f>IF($C1469="","",_xlfn.XLOOKUP($C1469,Order!$C:$C,Order!$E:$E,"",0,1))</f>
        <v>#VALUE!</v>
      </c>
      <c r="F1469" s="4">
        <f>IF($C1469="","",_xlfn.XLOOKUP($C1469,Order!$C:$C,Order!$F:$F,"",0,1))</f>
        <v>6000</v>
      </c>
      <c r="G1469" s="4" t="str">
        <f>IF($C1469="","",_xlfn.XLOOKUP($C1469,Order!$C:$C,Order!$G:$G,"",0,1))</f>
        <v>6063T5</v>
      </c>
      <c r="H1469" s="4">
        <f>IF($C1469="","",_xlfn.XLOOKUP($C1469,Order!$C:$C,Order!$H:$H,"",0,1))</f>
        <v>0</v>
      </c>
      <c r="I1469" s="36">
        <f>IF($C1469="","",_xlfn.XLOOKUP($C1469,Order!$C:$C,Order!$M:$M,"",0,1))</f>
        <v>0</v>
      </c>
      <c r="J1469" s="4" t="str">
        <f>IF(C1469="","",Order!$M$16)</f>
        <v>BLACK ANODIZED (FAYP06)</v>
      </c>
      <c r="K1469" s="36">
        <f>IF($C1469="","",_xlfn.XLOOKUP($C1469,Order!$C:$C,Order!$P:$P,"",0,1))</f>
        <v>0</v>
      </c>
      <c r="L1469" s="4">
        <f t="shared" si="22"/>
        <v>0</v>
      </c>
    </row>
    <row r="1470" spans="2:12" ht="23.25" hidden="1" customHeight="1" x14ac:dyDescent="0.25">
      <c r="B1470" s="4">
        <v>1465</v>
      </c>
      <c r="C1470" s="36" t="str">
        <f>IF(Order!$C$101="","",Order!$C$101)</f>
        <v>BX819</v>
      </c>
      <c r="D1470" s="36" t="str">
        <f>IF($C1470="","",_xlfn.XLOOKUP($C1470,Order!$C:$C,Order!$D:$D,"",0,1))</f>
        <v>BX819</v>
      </c>
      <c r="E1470" s="4" t="e" vm="289">
        <f>IF($C1470="","",_xlfn.XLOOKUP($C1470,Order!$C:$C,Order!$E:$E,"",0,1))</f>
        <v>#VALUE!</v>
      </c>
      <c r="F1470" s="4">
        <f>IF($C1470="","",_xlfn.XLOOKUP($C1470,Order!$C:$C,Order!$F:$F,"",0,1))</f>
        <v>6000</v>
      </c>
      <c r="G1470" s="4" t="str">
        <f>IF($C1470="","",_xlfn.XLOOKUP($C1470,Order!$C:$C,Order!$G:$G,"",0,1))</f>
        <v>6063T5</v>
      </c>
      <c r="H1470" s="4">
        <f>IF($C1470="","",_xlfn.XLOOKUP($C1470,Order!$C:$C,Order!$H:$H,"",0,1))</f>
        <v>0.216</v>
      </c>
      <c r="I1470" s="36">
        <f>IF($C1470="","",_xlfn.XLOOKUP($C1470,Order!$C:$C,Order!$M:$M,"",0,1))</f>
        <v>0</v>
      </c>
      <c r="J1470" s="4" t="str">
        <f>IF(C1470="","",Order!$M$16)</f>
        <v>BLACK ANODIZED (FAYP06)</v>
      </c>
      <c r="K1470" s="36">
        <f>IF($C1470="","",_xlfn.XLOOKUP($C1470,Order!$C:$C,Order!$P:$P,"",0,1))</f>
        <v>0</v>
      </c>
      <c r="L1470" s="4">
        <f t="shared" si="22"/>
        <v>0</v>
      </c>
    </row>
    <row r="1471" spans="2:12" ht="23.25" hidden="1" customHeight="1" x14ac:dyDescent="0.25">
      <c r="B1471" s="4">
        <v>1466</v>
      </c>
      <c r="C1471" s="36" t="str">
        <f>IF(Order!$C$102="","",Order!$C$102)</f>
        <v>BX820</v>
      </c>
      <c r="D1471" s="36" t="str">
        <f>IF($C1471="","",_xlfn.XLOOKUP($C1471,Order!$C:$C,Order!$D:$D,"",0,1))</f>
        <v>BX820</v>
      </c>
      <c r="E1471" s="4" t="e" vm="290">
        <f>IF($C1471="","",_xlfn.XLOOKUP($C1471,Order!$C:$C,Order!$E:$E,"",0,1))</f>
        <v>#VALUE!</v>
      </c>
      <c r="F1471" s="4">
        <f>IF($C1471="","",_xlfn.XLOOKUP($C1471,Order!$C:$C,Order!$F:$F,"",0,1))</f>
        <v>6000</v>
      </c>
      <c r="G1471" s="4" t="str">
        <f>IF($C1471="","",_xlfn.XLOOKUP($C1471,Order!$C:$C,Order!$G:$G,"",0,1))</f>
        <v>6063T5</v>
      </c>
      <c r="H1471" s="4">
        <f>IF($C1471="","",_xlfn.XLOOKUP($C1471,Order!$C:$C,Order!$H:$H,"",0,1))</f>
        <v>0.74299999999999999</v>
      </c>
      <c r="I1471" s="36">
        <f>IF($C1471="","",_xlfn.XLOOKUP($C1471,Order!$C:$C,Order!$M:$M,"",0,1))</f>
        <v>0</v>
      </c>
      <c r="J1471" s="4" t="str">
        <f>IF(C1471="","",Order!$M$16)</f>
        <v>BLACK ANODIZED (FAYP06)</v>
      </c>
      <c r="K1471" s="36">
        <f>IF($C1471="","",_xlfn.XLOOKUP($C1471,Order!$C:$C,Order!$P:$P,"",0,1))</f>
        <v>0</v>
      </c>
      <c r="L1471" s="4">
        <f t="shared" si="22"/>
        <v>0</v>
      </c>
    </row>
    <row r="1472" spans="2:12" ht="23.25" hidden="1" customHeight="1" x14ac:dyDescent="0.25">
      <c r="B1472" s="4">
        <v>1467</v>
      </c>
      <c r="C1472" s="36" t="str">
        <f>IF(Order!$C$103="","",Order!$C$103)</f>
        <v>BX838</v>
      </c>
      <c r="D1472" s="36" t="str">
        <f>IF($C1472="","",_xlfn.XLOOKUP($C1472,Order!$C:$C,Order!$D:$D,"",0,1))</f>
        <v>BX838</v>
      </c>
      <c r="E1472" s="4" t="e" vm="291">
        <f>IF($C1472="","",_xlfn.XLOOKUP($C1472,Order!$C:$C,Order!$E:$E,"",0,1))</f>
        <v>#VALUE!</v>
      </c>
      <c r="F1472" s="4">
        <f>IF($C1472="","",_xlfn.XLOOKUP($C1472,Order!$C:$C,Order!$F:$F,"",0,1))</f>
        <v>6000</v>
      </c>
      <c r="G1472" s="4" t="str">
        <f>IF($C1472="","",_xlfn.XLOOKUP($C1472,Order!$C:$C,Order!$G:$G,"",0,1))</f>
        <v>6063T5</v>
      </c>
      <c r="H1472" s="4">
        <f>IF($C1472="","",_xlfn.XLOOKUP($C1472,Order!$C:$C,Order!$H:$H,"",0,1))</f>
        <v>0.26800000000000002</v>
      </c>
      <c r="I1472" s="36">
        <f>IF($C1472="","",_xlfn.XLOOKUP($C1472,Order!$C:$C,Order!$M:$M,"",0,1))</f>
        <v>0</v>
      </c>
      <c r="J1472" s="4" t="str">
        <f>IF(C1472="","",Order!$M$16)</f>
        <v>BLACK ANODIZED (FAYP06)</v>
      </c>
      <c r="K1472" s="36">
        <f>IF($C1472="","",_xlfn.XLOOKUP($C1472,Order!$C:$C,Order!$P:$P,"",0,1))</f>
        <v>0</v>
      </c>
      <c r="L1472" s="4">
        <f t="shared" si="22"/>
        <v>0</v>
      </c>
    </row>
    <row r="1473" spans="2:12" ht="23.25" hidden="1" customHeight="1" x14ac:dyDescent="0.25">
      <c r="B1473" s="4">
        <v>1468</v>
      </c>
      <c r="C1473" s="36" t="str">
        <f>IF(Order!$C$104="","",Order!$C$104)</f>
        <v>BX855</v>
      </c>
      <c r="D1473" s="36" t="str">
        <f>IF($C1473="","",_xlfn.XLOOKUP($C1473,Order!$C:$C,Order!$D:$D,"",0,1))</f>
        <v>BX855</v>
      </c>
      <c r="E1473" s="4" t="e" vm="292">
        <f>IF($C1473="","",_xlfn.XLOOKUP($C1473,Order!$C:$C,Order!$E:$E,"",0,1))</f>
        <v>#VALUE!</v>
      </c>
      <c r="F1473" s="4">
        <f>IF($C1473="","",_xlfn.XLOOKUP($C1473,Order!$C:$C,Order!$F:$F,"",0,1))</f>
        <v>6000</v>
      </c>
      <c r="G1473" s="4" t="str">
        <f>IF($C1473="","",_xlfn.XLOOKUP($C1473,Order!$C:$C,Order!$G:$G,"",0,1))</f>
        <v>6063T5</v>
      </c>
      <c r="H1473" s="4">
        <f>IF($C1473="","",_xlfn.XLOOKUP($C1473,Order!$C:$C,Order!$H:$H,"",0,1))</f>
        <v>0.34599999999999997</v>
      </c>
      <c r="I1473" s="36">
        <f>IF($C1473="","",_xlfn.XLOOKUP($C1473,Order!$C:$C,Order!$M:$M,"",0,1))</f>
        <v>0</v>
      </c>
      <c r="J1473" s="4" t="str">
        <f>IF(C1473="","",Order!$M$16)</f>
        <v>BLACK ANODIZED (FAYP06)</v>
      </c>
      <c r="K1473" s="36">
        <f>IF($C1473="","",_xlfn.XLOOKUP($C1473,Order!$C:$C,Order!$P:$P,"",0,1))</f>
        <v>0</v>
      </c>
      <c r="L1473" s="4">
        <f t="shared" si="22"/>
        <v>0</v>
      </c>
    </row>
    <row r="1474" spans="2:12" ht="23.25" hidden="1" customHeight="1" x14ac:dyDescent="0.25">
      <c r="B1474" s="4">
        <v>1469</v>
      </c>
      <c r="C1474" s="36" t="str">
        <f>IF(Order!$C$105="","",Order!$C$105)</f>
        <v>BX952</v>
      </c>
      <c r="D1474" s="36" t="str">
        <f>IF($C1474="","",_xlfn.XLOOKUP($C1474,Order!$C:$C,Order!$D:$D,"",0,1))</f>
        <v>BX952</v>
      </c>
      <c r="E1474" s="4" t="e" vm="293">
        <f>IF($C1474="","",_xlfn.XLOOKUP($C1474,Order!$C:$C,Order!$E:$E,"",0,1))</f>
        <v>#VALUE!</v>
      </c>
      <c r="F1474" s="4">
        <f>IF($C1474="","",_xlfn.XLOOKUP($C1474,Order!$C:$C,Order!$F:$F,"",0,1))</f>
        <v>6000</v>
      </c>
      <c r="G1474" s="4" t="str">
        <f>IF($C1474="","",_xlfn.XLOOKUP($C1474,Order!$C:$C,Order!$G:$G,"",0,1))</f>
        <v>6063T5</v>
      </c>
      <c r="H1474" s="4">
        <f>IF($C1474="","",_xlfn.XLOOKUP($C1474,Order!$C:$C,Order!$H:$H,"",0,1))</f>
        <v>0.22900000000000001</v>
      </c>
      <c r="I1474" s="36">
        <f>IF($C1474="","",_xlfn.XLOOKUP($C1474,Order!$C:$C,Order!$M:$M,"",0,1))</f>
        <v>0</v>
      </c>
      <c r="J1474" s="4" t="str">
        <f>IF(C1474="","",Order!$M$16)</f>
        <v>BLACK ANODIZED (FAYP06)</v>
      </c>
      <c r="K1474" s="36">
        <f>IF($C1474="","",_xlfn.XLOOKUP($C1474,Order!$C:$C,Order!$P:$P,"",0,1))</f>
        <v>0</v>
      </c>
      <c r="L1474" s="4">
        <f t="shared" si="22"/>
        <v>0</v>
      </c>
    </row>
    <row r="1475" spans="2:12" ht="23.25" hidden="1" customHeight="1" x14ac:dyDescent="0.25">
      <c r="B1475" s="4">
        <v>1470</v>
      </c>
      <c r="C1475" s="36" t="str">
        <f>IF(Order!$C$106="","",Order!$C$106)</f>
        <v>BX954</v>
      </c>
      <c r="D1475" s="36" t="str">
        <f>IF($C1475="","",_xlfn.XLOOKUP($C1475,Order!$C:$C,Order!$D:$D,"",0,1))</f>
        <v>BX954</v>
      </c>
      <c r="E1475" s="4" t="e" vm="294">
        <f>IF($C1475="","",_xlfn.XLOOKUP($C1475,Order!$C:$C,Order!$E:$E,"",0,1))</f>
        <v>#VALUE!</v>
      </c>
      <c r="F1475" s="4">
        <f>IF($C1475="","",_xlfn.XLOOKUP($C1475,Order!$C:$C,Order!$F:$F,"",0,1))</f>
        <v>6000</v>
      </c>
      <c r="G1475" s="4" t="str">
        <f>IF($C1475="","",_xlfn.XLOOKUP($C1475,Order!$C:$C,Order!$G:$G,"",0,1))</f>
        <v>6063T5</v>
      </c>
      <c r="H1475" s="4">
        <f>IF($C1475="","",_xlfn.XLOOKUP($C1475,Order!$C:$C,Order!$H:$H,"",0,1))</f>
        <v>0.47199999999999998</v>
      </c>
      <c r="I1475" s="36">
        <f>IF($C1475="","",_xlfn.XLOOKUP($C1475,Order!$C:$C,Order!$M:$M,"",0,1))</f>
        <v>0</v>
      </c>
      <c r="J1475" s="4" t="str">
        <f>IF(C1475="","",Order!$M$16)</f>
        <v>BLACK ANODIZED (FAYP06)</v>
      </c>
      <c r="K1475" s="36">
        <f>IF($C1475="","",_xlfn.XLOOKUP($C1475,Order!$C:$C,Order!$P:$P,"",0,1))</f>
        <v>0</v>
      </c>
      <c r="L1475" s="4">
        <f t="shared" si="22"/>
        <v>0</v>
      </c>
    </row>
    <row r="1476" spans="2:12" ht="23.25" hidden="1" customHeight="1" x14ac:dyDescent="0.25">
      <c r="B1476" s="4">
        <v>1471</v>
      </c>
      <c r="C1476" s="36" t="str">
        <f>IF(Order!$C$107="","",Order!$C$107)</f>
        <v>BX955</v>
      </c>
      <c r="D1476" s="36" t="str">
        <f>IF($C1476="","",_xlfn.XLOOKUP($C1476,Order!$C:$C,Order!$D:$D,"",0,1))</f>
        <v>BX955</v>
      </c>
      <c r="E1476" s="4" t="e" vm="295">
        <f>IF($C1476="","",_xlfn.XLOOKUP($C1476,Order!$C:$C,Order!$E:$E,"",0,1))</f>
        <v>#VALUE!</v>
      </c>
      <c r="F1476" s="4">
        <f>IF($C1476="","",_xlfn.XLOOKUP($C1476,Order!$C:$C,Order!$F:$F,"",0,1))</f>
        <v>6000</v>
      </c>
      <c r="G1476" s="4" t="str">
        <f>IF($C1476="","",_xlfn.XLOOKUP($C1476,Order!$C:$C,Order!$G:$G,"",0,1))</f>
        <v>6063T5</v>
      </c>
      <c r="H1476" s="4">
        <f>IF($C1476="","",_xlfn.XLOOKUP($C1476,Order!$C:$C,Order!$H:$H,"",0,1))</f>
        <v>0.18</v>
      </c>
      <c r="I1476" s="36">
        <f>IF($C1476="","",_xlfn.XLOOKUP($C1476,Order!$C:$C,Order!$M:$M,"",0,1))</f>
        <v>0</v>
      </c>
      <c r="J1476" s="4" t="str">
        <f>IF(C1476="","",Order!$M$16)</f>
        <v>BLACK ANODIZED (FAYP06)</v>
      </c>
      <c r="K1476" s="36">
        <f>IF($C1476="","",_xlfn.XLOOKUP($C1476,Order!$C:$C,Order!$P:$P,"",0,1))</f>
        <v>0</v>
      </c>
      <c r="L1476" s="4">
        <f t="shared" si="22"/>
        <v>0</v>
      </c>
    </row>
    <row r="1477" spans="2:12" ht="23.25" hidden="1" customHeight="1" x14ac:dyDescent="0.25">
      <c r="B1477" s="4">
        <v>1472</v>
      </c>
      <c r="C1477" s="36" t="str">
        <f>IF(Order!$C$108="","",Order!$C$108)</f>
        <v>BG011</v>
      </c>
      <c r="D1477" s="36" t="str">
        <f>IF($C1477="","",_xlfn.XLOOKUP($C1477,Order!$C:$C,Order!$D:$D,"",0,1))</f>
        <v>BG011</v>
      </c>
      <c r="E1477" s="4" t="e" vm="296">
        <f>IF($C1477="","",_xlfn.XLOOKUP($C1477,Order!$C:$C,Order!$E:$E,"",0,1))</f>
        <v>#VALUE!</v>
      </c>
      <c r="F1477" s="4">
        <f>IF($C1477="","",_xlfn.XLOOKUP($C1477,Order!$C:$C,Order!$F:$F,"",0,1))</f>
        <v>6000</v>
      </c>
      <c r="G1477" s="4" t="str">
        <f>IF($C1477="","",_xlfn.XLOOKUP($C1477,Order!$C:$C,Order!$G:$G,"",0,1))</f>
        <v>6063T5</v>
      </c>
      <c r="H1477" s="4">
        <f>IF($C1477="","",_xlfn.XLOOKUP($C1477,Order!$C:$C,Order!$H:$H,"",0,1))</f>
        <v>8.4000000000000005E-2</v>
      </c>
      <c r="I1477" s="36">
        <f>IF($C1477="","",_xlfn.XLOOKUP($C1477,Order!$C:$C,Order!$M:$M,"",0,1))</f>
        <v>0</v>
      </c>
      <c r="J1477" s="4" t="str">
        <f>IF(C1477="","",Order!$M$16)</f>
        <v>BLACK ANODIZED (FAYP06)</v>
      </c>
      <c r="K1477" s="36">
        <f>IF($C1477="","",_xlfn.XLOOKUP($C1477,Order!$C:$C,Order!$P:$P,"",0,1))</f>
        <v>0</v>
      </c>
      <c r="L1477" s="4">
        <f t="shared" si="22"/>
        <v>0</v>
      </c>
    </row>
    <row r="1478" spans="2:12" ht="23.25" hidden="1" customHeight="1" x14ac:dyDescent="0.25">
      <c r="B1478" s="4">
        <v>1473</v>
      </c>
      <c r="C1478" s="36" t="str">
        <f>IF(Order!$C$109="","",Order!$C$109)</f>
        <v>DV110</v>
      </c>
      <c r="D1478" s="36" t="str">
        <f>IF($C1478="","",_xlfn.XLOOKUP($C1478,Order!$C:$C,Order!$D:$D,"",0,1))</f>
        <v>DV110</v>
      </c>
      <c r="E1478" s="4" t="e" vm="297">
        <f>IF($C1478="","",_xlfn.XLOOKUP($C1478,Order!$C:$C,Order!$E:$E,"",0,1))</f>
        <v>#VALUE!</v>
      </c>
      <c r="F1478" s="4">
        <f>IF($C1478="","",_xlfn.XLOOKUP($C1478,Order!$C:$C,Order!$F:$F,"",0,1))</f>
        <v>6000</v>
      </c>
      <c r="G1478" s="4" t="str">
        <f>IF($C1478="","",_xlfn.XLOOKUP($C1478,Order!$C:$C,Order!$G:$G,"",0,1))</f>
        <v>6063T5</v>
      </c>
      <c r="H1478" s="4">
        <f>IF($C1478="","",_xlfn.XLOOKUP($C1478,Order!$C:$C,Order!$H:$H,"",0,1))</f>
        <v>0.28299999999999997</v>
      </c>
      <c r="I1478" s="36">
        <f>IF($C1478="","",_xlfn.XLOOKUP($C1478,Order!$C:$C,Order!$M:$M,"",0,1))</f>
        <v>0</v>
      </c>
      <c r="J1478" s="4" t="str">
        <f>IF(C1478="","",Order!$M$16)</f>
        <v>BLACK ANODIZED (FAYP06)</v>
      </c>
      <c r="K1478" s="36">
        <f>IF($C1478="","",_xlfn.XLOOKUP($C1478,Order!$C:$C,Order!$P:$P,"",0,1))</f>
        <v>0</v>
      </c>
      <c r="L1478" s="4">
        <f t="shared" si="22"/>
        <v>0</v>
      </c>
    </row>
    <row r="1479" spans="2:12" ht="23.25" hidden="1" customHeight="1" x14ac:dyDescent="0.25">
      <c r="B1479" s="4">
        <v>1474</v>
      </c>
      <c r="C1479" s="36" t="str">
        <f>IF(Order!$C$110="","",Order!$C$110)</f>
        <v>DV111</v>
      </c>
      <c r="D1479" s="36" t="str">
        <f>IF($C1479="","",_xlfn.XLOOKUP($C1479,Order!$C:$C,Order!$D:$D,"",0,1))</f>
        <v>DV111</v>
      </c>
      <c r="E1479" s="4" t="e" vm="298">
        <f>IF($C1479="","",_xlfn.XLOOKUP($C1479,Order!$C:$C,Order!$E:$E,"",0,1))</f>
        <v>#VALUE!</v>
      </c>
      <c r="F1479" s="4">
        <f>IF($C1479="","",_xlfn.XLOOKUP($C1479,Order!$C:$C,Order!$F:$F,"",0,1))</f>
        <v>6000</v>
      </c>
      <c r="G1479" s="4" t="str">
        <f>IF($C1479="","",_xlfn.XLOOKUP($C1479,Order!$C:$C,Order!$G:$G,"",0,1))</f>
        <v>6063T5</v>
      </c>
      <c r="H1479" s="4">
        <f>IF($C1479="","",_xlfn.XLOOKUP($C1479,Order!$C:$C,Order!$H:$H,"",0,1))</f>
        <v>0.188</v>
      </c>
      <c r="I1479" s="36">
        <f>IF($C1479="","",_xlfn.XLOOKUP($C1479,Order!$C:$C,Order!$M:$M,"",0,1))</f>
        <v>0</v>
      </c>
      <c r="J1479" s="4" t="str">
        <f>IF(C1479="","",Order!$M$16)</f>
        <v>BLACK ANODIZED (FAYP06)</v>
      </c>
      <c r="K1479" s="36">
        <f>IF($C1479="","",_xlfn.XLOOKUP($C1479,Order!$C:$C,Order!$P:$P,"",0,1))</f>
        <v>0</v>
      </c>
      <c r="L1479" s="4">
        <f t="shared" ref="L1479:L1542" si="23">IF(C1479="","",F1479/1000*H1479*I1479)</f>
        <v>0</v>
      </c>
    </row>
    <row r="1480" spans="2:12" ht="23.25" hidden="1" customHeight="1" x14ac:dyDescent="0.25">
      <c r="B1480" s="4">
        <v>1475</v>
      </c>
      <c r="C1480" s="36" t="str">
        <f>IF(Order!$C$111="","",Order!$C$111)</f>
        <v>DV112</v>
      </c>
      <c r="D1480" s="36" t="str">
        <f>IF($C1480="","",_xlfn.XLOOKUP($C1480,Order!$C:$C,Order!$D:$D,"",0,1))</f>
        <v>DV112</v>
      </c>
      <c r="E1480" s="4" t="e" vm="299">
        <f>IF($C1480="","",_xlfn.XLOOKUP($C1480,Order!$C:$C,Order!$E:$E,"",0,1))</f>
        <v>#VALUE!</v>
      </c>
      <c r="F1480" s="4">
        <f>IF($C1480="","",_xlfn.XLOOKUP($C1480,Order!$C:$C,Order!$F:$F,"",0,1))</f>
        <v>6000</v>
      </c>
      <c r="G1480" s="4" t="str">
        <f>IF($C1480="","",_xlfn.XLOOKUP($C1480,Order!$C:$C,Order!$G:$G,"",0,1))</f>
        <v>6063T5</v>
      </c>
      <c r="H1480" s="4">
        <f>IF($C1480="","",_xlfn.XLOOKUP($C1480,Order!$C:$C,Order!$H:$H,"",0,1))</f>
        <v>0.23200000000000001</v>
      </c>
      <c r="I1480" s="36">
        <f>IF($C1480="","",_xlfn.XLOOKUP($C1480,Order!$C:$C,Order!$M:$M,"",0,1))</f>
        <v>0</v>
      </c>
      <c r="J1480" s="4" t="str">
        <f>IF(C1480="","",Order!$M$16)</f>
        <v>BLACK ANODIZED (FAYP06)</v>
      </c>
      <c r="K1480" s="36">
        <f>IF($C1480="","",_xlfn.XLOOKUP($C1480,Order!$C:$C,Order!$P:$P,"",0,1))</f>
        <v>0</v>
      </c>
      <c r="L1480" s="4">
        <f t="shared" si="23"/>
        <v>0</v>
      </c>
    </row>
    <row r="1481" spans="2:12" ht="23.25" hidden="1" customHeight="1" x14ac:dyDescent="0.25">
      <c r="B1481" s="4">
        <v>1476</v>
      </c>
      <c r="C1481" s="36" t="str">
        <f>IF(Order!$C$112="","",Order!$C$112)</f>
        <v>DV132</v>
      </c>
      <c r="D1481" s="36" t="str">
        <f>IF($C1481="","",_xlfn.XLOOKUP($C1481,Order!$C:$C,Order!$D:$D,"",0,1))</f>
        <v>DV132</v>
      </c>
      <c r="E1481" s="4" t="e" vm="300">
        <f>IF($C1481="","",_xlfn.XLOOKUP($C1481,Order!$C:$C,Order!$E:$E,"",0,1))</f>
        <v>#VALUE!</v>
      </c>
      <c r="F1481" s="4">
        <f>IF($C1481="","",_xlfn.XLOOKUP($C1481,Order!$C:$C,Order!$F:$F,"",0,1))</f>
        <v>6000</v>
      </c>
      <c r="G1481" s="4" t="str">
        <f>IF($C1481="","",_xlfn.XLOOKUP($C1481,Order!$C:$C,Order!$G:$G,"",0,1))</f>
        <v>6063T5</v>
      </c>
      <c r="H1481" s="4">
        <f>IF($C1481="","",_xlfn.XLOOKUP($C1481,Order!$C:$C,Order!$H:$H,"",0,1))</f>
        <v>0.246</v>
      </c>
      <c r="I1481" s="36">
        <f>IF($C1481="","",_xlfn.XLOOKUP($C1481,Order!$C:$C,Order!$M:$M,"",0,1))</f>
        <v>0</v>
      </c>
      <c r="J1481" s="4" t="str">
        <f>IF(C1481="","",Order!$M$16)</f>
        <v>BLACK ANODIZED (FAYP06)</v>
      </c>
      <c r="K1481" s="36">
        <f>IF($C1481="","",_xlfn.XLOOKUP($C1481,Order!$C:$C,Order!$P:$P,"",0,1))</f>
        <v>0</v>
      </c>
      <c r="L1481" s="4">
        <f t="shared" si="23"/>
        <v>0</v>
      </c>
    </row>
    <row r="1482" spans="2:12" ht="23.25" hidden="1" customHeight="1" x14ac:dyDescent="0.25">
      <c r="B1482" s="4">
        <v>1477</v>
      </c>
      <c r="C1482" s="36" t="str">
        <f>IF(Order!$C$113="","",Order!$C$113)</f>
        <v>BX796</v>
      </c>
      <c r="D1482" s="36" t="str">
        <f>IF($C1482="","",_xlfn.XLOOKUP($C1482,Order!$C:$C,Order!$D:$D,"",0,1))</f>
        <v>BX796</v>
      </c>
      <c r="E1482" s="4" t="e" vm="301">
        <f>IF($C1482="","",_xlfn.XLOOKUP($C1482,Order!$C:$C,Order!$E:$E,"",0,1))</f>
        <v>#VALUE!</v>
      </c>
      <c r="F1482" s="4">
        <f>IF($C1482="","",_xlfn.XLOOKUP($C1482,Order!$C:$C,Order!$F:$F,"",0,1))</f>
        <v>6000</v>
      </c>
      <c r="G1482" s="4" t="str">
        <f>IF($C1482="","",_xlfn.XLOOKUP($C1482,Order!$C:$C,Order!$G:$G,"",0,1))</f>
        <v>6063T5</v>
      </c>
      <c r="H1482" s="4">
        <f>IF($C1482="","",_xlfn.XLOOKUP($C1482,Order!$C:$C,Order!$H:$H,"",0,1))</f>
        <v>0.22700000000000001</v>
      </c>
      <c r="I1482" s="36">
        <f>IF($C1482="","",_xlfn.XLOOKUP($C1482,Order!$C:$C,Order!$M:$M,"",0,1))</f>
        <v>0</v>
      </c>
      <c r="J1482" s="4" t="str">
        <f>IF(C1482="","",Order!$M$16)</f>
        <v>BLACK ANODIZED (FAYP06)</v>
      </c>
      <c r="K1482" s="36">
        <f>IF($C1482="","",_xlfn.XLOOKUP($C1482,Order!$C:$C,Order!$P:$P,"",0,1))</f>
        <v>0</v>
      </c>
      <c r="L1482" s="4">
        <f t="shared" si="23"/>
        <v>0</v>
      </c>
    </row>
    <row r="1483" spans="2:12" ht="23.25" hidden="1" customHeight="1" x14ac:dyDescent="0.25">
      <c r="B1483" s="4">
        <v>1478</v>
      </c>
      <c r="C1483" s="36" t="str">
        <f>IF(Order!$C$114="","",Order!$C$114)</f>
        <v>BX797</v>
      </c>
      <c r="D1483" s="36" t="str">
        <f>IF($C1483="","",_xlfn.XLOOKUP($C1483,Order!$C:$C,Order!$D:$D,"",0,1))</f>
        <v>BX797</v>
      </c>
      <c r="E1483" s="4" t="e" vm="302">
        <f>IF($C1483="","",_xlfn.XLOOKUP($C1483,Order!$C:$C,Order!$E:$E,"",0,1))</f>
        <v>#VALUE!</v>
      </c>
      <c r="F1483" s="4">
        <f>IF($C1483="","",_xlfn.XLOOKUP($C1483,Order!$C:$C,Order!$F:$F,"",0,1))</f>
        <v>6000</v>
      </c>
      <c r="G1483" s="4" t="str">
        <f>IF($C1483="","",_xlfn.XLOOKUP($C1483,Order!$C:$C,Order!$G:$G,"",0,1))</f>
        <v>6063T5</v>
      </c>
      <c r="H1483" s="4">
        <f>IF($C1483="","",_xlfn.XLOOKUP($C1483,Order!$C:$C,Order!$H:$H,"",0,1))</f>
        <v>8.6999999999999994E-2</v>
      </c>
      <c r="I1483" s="36">
        <f>IF($C1483="","",_xlfn.XLOOKUP($C1483,Order!$C:$C,Order!$M:$M,"",0,1))</f>
        <v>0</v>
      </c>
      <c r="J1483" s="4" t="str">
        <f>IF(C1483="","",Order!$M$16)</f>
        <v>BLACK ANODIZED (FAYP06)</v>
      </c>
      <c r="K1483" s="36">
        <f>IF($C1483="","",_xlfn.XLOOKUP($C1483,Order!$C:$C,Order!$P:$P,"",0,1))</f>
        <v>0</v>
      </c>
      <c r="L1483" s="4">
        <f t="shared" si="23"/>
        <v>0</v>
      </c>
    </row>
    <row r="1484" spans="2:12" ht="23.25" hidden="1" customHeight="1" x14ac:dyDescent="0.25">
      <c r="B1484" s="4">
        <v>1479</v>
      </c>
      <c r="C1484" s="36" t="str">
        <f>IF(Order!$C$115="","",Order!$C$115)</f>
        <v>BX798</v>
      </c>
      <c r="D1484" s="36" t="str">
        <f>IF($C1484="","",_xlfn.XLOOKUP($C1484,Order!$C:$C,Order!$D:$D,"",0,1))</f>
        <v>BX798</v>
      </c>
      <c r="E1484" s="4" t="e" vm="303">
        <f>IF($C1484="","",_xlfn.XLOOKUP($C1484,Order!$C:$C,Order!$E:$E,"",0,1))</f>
        <v>#VALUE!</v>
      </c>
      <c r="F1484" s="4">
        <f>IF($C1484="","",_xlfn.XLOOKUP($C1484,Order!$C:$C,Order!$F:$F,"",0,1))</f>
        <v>6000</v>
      </c>
      <c r="G1484" s="4" t="str">
        <f>IF($C1484="","",_xlfn.XLOOKUP($C1484,Order!$C:$C,Order!$G:$G,"",0,1))</f>
        <v>6063T5</v>
      </c>
      <c r="H1484" s="4">
        <f>IF($C1484="","",_xlfn.XLOOKUP($C1484,Order!$C:$C,Order!$H:$H,"",0,1))</f>
        <v>0.20300000000000001</v>
      </c>
      <c r="I1484" s="36">
        <f>IF($C1484="","",_xlfn.XLOOKUP($C1484,Order!$C:$C,Order!$M:$M,"",0,1))</f>
        <v>0</v>
      </c>
      <c r="J1484" s="4" t="str">
        <f>IF(C1484="","",Order!$M$16)</f>
        <v>BLACK ANODIZED (FAYP06)</v>
      </c>
      <c r="K1484" s="36">
        <f>IF($C1484="","",_xlfn.XLOOKUP($C1484,Order!$C:$C,Order!$P:$P,"",0,1))</f>
        <v>0</v>
      </c>
      <c r="L1484" s="4">
        <f t="shared" si="23"/>
        <v>0</v>
      </c>
    </row>
    <row r="1485" spans="2:12" ht="23.25" hidden="1" customHeight="1" x14ac:dyDescent="0.25">
      <c r="B1485" s="4">
        <v>1480</v>
      </c>
      <c r="C1485" s="36" t="str">
        <f>IF(Order!$C$116="","",Order!$C$116)</f>
        <v>BX799</v>
      </c>
      <c r="D1485" s="36" t="str">
        <f>IF($C1485="","",_xlfn.XLOOKUP($C1485,Order!$C:$C,Order!$D:$D,"",0,1))</f>
        <v>BX799</v>
      </c>
      <c r="E1485" s="4" t="e" vm="304">
        <f>IF($C1485="","",_xlfn.XLOOKUP($C1485,Order!$C:$C,Order!$E:$E,"",0,1))</f>
        <v>#VALUE!</v>
      </c>
      <c r="F1485" s="4">
        <f>IF($C1485="","",_xlfn.XLOOKUP($C1485,Order!$C:$C,Order!$F:$F,"",0,1))</f>
        <v>6000</v>
      </c>
      <c r="G1485" s="4" t="str">
        <f>IF($C1485="","",_xlfn.XLOOKUP($C1485,Order!$C:$C,Order!$G:$G,"",0,1))</f>
        <v>6063T5</v>
      </c>
      <c r="H1485" s="4">
        <f>IF($C1485="","",_xlfn.XLOOKUP($C1485,Order!$C:$C,Order!$H:$H,"",0,1))</f>
        <v>0.16300000000000001</v>
      </c>
      <c r="I1485" s="36">
        <f>IF($C1485="","",_xlfn.XLOOKUP($C1485,Order!$C:$C,Order!$M:$M,"",0,1))</f>
        <v>0</v>
      </c>
      <c r="J1485" s="4" t="str">
        <f>IF(C1485="","",Order!$M$16)</f>
        <v>BLACK ANODIZED (FAYP06)</v>
      </c>
      <c r="K1485" s="36">
        <f>IF($C1485="","",_xlfn.XLOOKUP($C1485,Order!$C:$C,Order!$P:$P,"",0,1))</f>
        <v>0</v>
      </c>
      <c r="L1485" s="4">
        <f t="shared" si="23"/>
        <v>0</v>
      </c>
    </row>
    <row r="1486" spans="2:12" ht="23.25" hidden="1" customHeight="1" x14ac:dyDescent="0.25">
      <c r="B1486" s="4">
        <v>1481</v>
      </c>
      <c r="C1486" s="36" t="str">
        <f>IF(Order!$C$117="","",Order!$C$117)</f>
        <v>BX958</v>
      </c>
      <c r="D1486" s="36" t="str">
        <f>IF($C1486="","",_xlfn.XLOOKUP($C1486,Order!$C:$C,Order!$D:$D,"",0,1))</f>
        <v>BX958</v>
      </c>
      <c r="E1486" s="4" t="e" vm="305">
        <f>IF($C1486="","",_xlfn.XLOOKUP($C1486,Order!$C:$C,Order!$E:$E,"",0,1))</f>
        <v>#VALUE!</v>
      </c>
      <c r="F1486" s="4">
        <f>IF($C1486="","",_xlfn.XLOOKUP($C1486,Order!$C:$C,Order!$F:$F,"",0,1))</f>
        <v>6000</v>
      </c>
      <c r="G1486" s="4" t="str">
        <f>IF($C1486="","",_xlfn.XLOOKUP($C1486,Order!$C:$C,Order!$G:$G,"",0,1))</f>
        <v>6063T5</v>
      </c>
      <c r="H1486" s="4">
        <f>IF($C1486="","",_xlfn.XLOOKUP($C1486,Order!$C:$C,Order!$H:$H,"",0,1))</f>
        <v>0.48199999999999998</v>
      </c>
      <c r="I1486" s="36">
        <f>IF($C1486="","",_xlfn.XLOOKUP($C1486,Order!$C:$C,Order!$M:$M,"",0,1))</f>
        <v>0</v>
      </c>
      <c r="J1486" s="4" t="str">
        <f>IF(C1486="","",Order!$M$16)</f>
        <v>BLACK ANODIZED (FAYP06)</v>
      </c>
      <c r="K1486" s="36">
        <f>IF($C1486="","",_xlfn.XLOOKUP($C1486,Order!$C:$C,Order!$P:$P,"",0,1))</f>
        <v>0</v>
      </c>
      <c r="L1486" s="4">
        <f t="shared" si="23"/>
        <v>0</v>
      </c>
    </row>
    <row r="1487" spans="2:12" ht="23.25" hidden="1" customHeight="1" x14ac:dyDescent="0.25">
      <c r="B1487" s="4">
        <v>1482</v>
      </c>
      <c r="C1487" s="36" t="str">
        <f>IF(Order!$C$118="","",Order!$C$118)</f>
        <v>BG202</v>
      </c>
      <c r="D1487" s="36" t="str">
        <f>IF($C1487="","",_xlfn.XLOOKUP($C1487,Order!$C:$C,Order!$D:$D,"",0,1))</f>
        <v>BG202</v>
      </c>
      <c r="E1487" s="4" t="e" vm="306">
        <f>IF($C1487="","",_xlfn.XLOOKUP($C1487,Order!$C:$C,Order!$E:$E,"",0,1))</f>
        <v>#VALUE!</v>
      </c>
      <c r="F1487" s="4">
        <f>IF($C1487="","",_xlfn.XLOOKUP($C1487,Order!$C:$C,Order!$F:$F,"",0,1))</f>
        <v>6000</v>
      </c>
      <c r="G1487" s="4" t="str">
        <f>IF($C1487="","",_xlfn.XLOOKUP($C1487,Order!$C:$C,Order!$G:$G,"",0,1))</f>
        <v>6063T5</v>
      </c>
      <c r="H1487" s="4">
        <f>IF($C1487="","",_xlfn.XLOOKUP($C1487,Order!$C:$C,Order!$H:$H,"",0,1))</f>
        <v>8.8999999999999996E-2</v>
      </c>
      <c r="I1487" s="36">
        <f>IF($C1487="","",_xlfn.XLOOKUP($C1487,Order!$C:$C,Order!$M:$M,"",0,1))</f>
        <v>0</v>
      </c>
      <c r="J1487" s="4" t="str">
        <f>IF(C1487="","",Order!$M$16)</f>
        <v>BLACK ANODIZED (FAYP06)</v>
      </c>
      <c r="K1487" s="36">
        <f>IF($C1487="","",_xlfn.XLOOKUP($C1487,Order!$C:$C,Order!$P:$P,"",0,1))</f>
        <v>0</v>
      </c>
      <c r="L1487" s="4">
        <f t="shared" si="23"/>
        <v>0</v>
      </c>
    </row>
    <row r="1488" spans="2:12" ht="23.25" hidden="1" customHeight="1" x14ac:dyDescent="0.25">
      <c r="B1488" s="4">
        <v>1483</v>
      </c>
      <c r="C1488" s="36" t="str">
        <f>IF(Order!$C$119="","",Order!$C$119)</f>
        <v>MP069</v>
      </c>
      <c r="D1488" s="36" t="str">
        <f>IF($C1488="","",_xlfn.XLOOKUP($C1488,Order!$C:$C,Order!$D:$D,"",0,1))</f>
        <v>MP069</v>
      </c>
      <c r="E1488" s="4" t="e" vm="307">
        <f>IF($C1488="","",_xlfn.XLOOKUP($C1488,Order!$C:$C,Order!$E:$E,"",0,1))</f>
        <v>#VALUE!</v>
      </c>
      <c r="F1488" s="4">
        <f>IF($C1488="","",_xlfn.XLOOKUP($C1488,Order!$C:$C,Order!$F:$F,"",0,1))</f>
        <v>0</v>
      </c>
      <c r="G1488" s="4" t="str">
        <f>IF($C1488="","",_xlfn.XLOOKUP($C1488,Order!$C:$C,Order!$G:$G,"",0,1))</f>
        <v>6063T5</v>
      </c>
      <c r="H1488" s="4">
        <f>IF($C1488="","",_xlfn.XLOOKUP($C1488,Order!$C:$C,Order!$H:$H,"",0,1))</f>
        <v>0.57799999999999996</v>
      </c>
      <c r="I1488" s="36">
        <f>IF($C1488="","",_xlfn.XLOOKUP($C1488,Order!$C:$C,Order!$M:$M,"",0,1))</f>
        <v>0</v>
      </c>
      <c r="J1488" s="4" t="str">
        <f>IF(C1488="","",Order!$M$16)</f>
        <v>BLACK ANODIZED (FAYP06)</v>
      </c>
      <c r="K1488" s="36">
        <f>IF($C1488="","",_xlfn.XLOOKUP($C1488,Order!$C:$C,Order!$P:$P,"",0,1))</f>
        <v>0</v>
      </c>
      <c r="L1488" s="4">
        <f t="shared" si="23"/>
        <v>0</v>
      </c>
    </row>
    <row r="1489" spans="2:12" ht="23.25" hidden="1" customHeight="1" x14ac:dyDescent="0.25">
      <c r="B1489" s="4">
        <v>1484</v>
      </c>
      <c r="C1489" s="36" t="str">
        <f>IF(Order!$C$120="","",Order!$C$120)</f>
        <v>MP070</v>
      </c>
      <c r="D1489" s="36" t="str">
        <f>IF($C1489="","",_xlfn.XLOOKUP($C1489,Order!$C:$C,Order!$D:$D,"",0,1))</f>
        <v>MP070</v>
      </c>
      <c r="E1489" s="4" t="e" vm="308">
        <f>IF($C1489="","",_xlfn.XLOOKUP($C1489,Order!$C:$C,Order!$E:$E,"",0,1))</f>
        <v>#VALUE!</v>
      </c>
      <c r="F1489" s="4">
        <f>IF($C1489="","",_xlfn.XLOOKUP($C1489,Order!$C:$C,Order!$F:$F,"",0,1))</f>
        <v>0</v>
      </c>
      <c r="G1489" s="4" t="str">
        <f>IF($C1489="","",_xlfn.XLOOKUP($C1489,Order!$C:$C,Order!$G:$G,"",0,1))</f>
        <v>6063T5</v>
      </c>
      <c r="H1489" s="4">
        <f>IF($C1489="","",_xlfn.XLOOKUP($C1489,Order!$C:$C,Order!$H:$H,"",0,1))</f>
        <v>0.46800000000000003</v>
      </c>
      <c r="I1489" s="36">
        <f>IF($C1489="","",_xlfn.XLOOKUP($C1489,Order!$C:$C,Order!$M:$M,"",0,1))</f>
        <v>0</v>
      </c>
      <c r="J1489" s="4" t="str">
        <f>IF(C1489="","",Order!$M$16)</f>
        <v>BLACK ANODIZED (FAYP06)</v>
      </c>
      <c r="K1489" s="36">
        <f>IF($C1489="","",_xlfn.XLOOKUP($C1489,Order!$C:$C,Order!$P:$P,"",0,1))</f>
        <v>0</v>
      </c>
      <c r="L1489" s="4">
        <f t="shared" si="23"/>
        <v>0</v>
      </c>
    </row>
    <row r="1490" spans="2:12" ht="23.25" hidden="1" customHeight="1" x14ac:dyDescent="0.25">
      <c r="B1490" s="4">
        <v>1485</v>
      </c>
      <c r="C1490" s="36" t="str">
        <f>IF(Order!$C$121="","",Order!$C$121)</f>
        <v>MP300</v>
      </c>
      <c r="D1490" s="36" t="str">
        <f>IF($C1490="","",_xlfn.XLOOKUP($C1490,Order!$C:$C,Order!$D:$D,"",0,1))</f>
        <v>MP300MP</v>
      </c>
      <c r="E1490" s="4" t="e" vm="309">
        <f>IF($C1490="","",_xlfn.XLOOKUP($C1490,Order!$C:$C,Order!$E:$E,"",0,1))</f>
        <v>#VALUE!</v>
      </c>
      <c r="F1490" s="4">
        <f>IF($C1490="","",_xlfn.XLOOKUP($C1490,Order!$C:$C,Order!$F:$F,"",0,1))</f>
        <v>6000</v>
      </c>
      <c r="G1490" s="4" t="str">
        <f>IF($C1490="","",_xlfn.XLOOKUP($C1490,Order!$C:$C,Order!$G:$G,"",0,1))</f>
        <v>6063T5</v>
      </c>
      <c r="H1490" s="4">
        <f>IF($C1490="","",_xlfn.XLOOKUP($C1490,Order!$C:$C,Order!$H:$H,"",0,1))</f>
        <v>0.29799999999999999</v>
      </c>
      <c r="I1490" s="36">
        <f>IF($C1490="","",_xlfn.XLOOKUP($C1490,Order!$C:$C,Order!$M:$M,"",0,1))</f>
        <v>0</v>
      </c>
      <c r="J1490" s="4" t="str">
        <f>IF(C1490="","",Order!$M$16)</f>
        <v>BLACK ANODIZED (FAYP06)</v>
      </c>
      <c r="K1490" s="36">
        <f>IF($C1490="","",_xlfn.XLOOKUP($C1490,Order!$C:$C,Order!$P:$P,"",0,1))</f>
        <v>0</v>
      </c>
      <c r="L1490" s="4">
        <f t="shared" si="23"/>
        <v>0</v>
      </c>
    </row>
    <row r="1491" spans="2:12" ht="23.25" hidden="1" customHeight="1" x14ac:dyDescent="0.25">
      <c r="B1491" s="4">
        <v>1486</v>
      </c>
      <c r="C1491" s="36" t="str">
        <f>IF(Order!$C$122="","",Order!$C$122)</f>
        <v>MP302</v>
      </c>
      <c r="D1491" s="36" t="str">
        <f>IF($C1491="","",_xlfn.XLOOKUP($C1491,Order!$C:$C,Order!$D:$D,"",0,1))</f>
        <v>MP302</v>
      </c>
      <c r="E1491" s="4" t="e" vm="310">
        <f>IF($C1491="","",_xlfn.XLOOKUP($C1491,Order!$C:$C,Order!$E:$E,"",0,1))</f>
        <v>#VALUE!</v>
      </c>
      <c r="F1491" s="4">
        <f>IF($C1491="","",_xlfn.XLOOKUP($C1491,Order!$C:$C,Order!$F:$F,"",0,1))</f>
        <v>6000</v>
      </c>
      <c r="G1491" s="4" t="str">
        <f>IF($C1491="","",_xlfn.XLOOKUP($C1491,Order!$C:$C,Order!$G:$G,"",0,1))</f>
        <v>6063T5</v>
      </c>
      <c r="H1491" s="4">
        <f>IF($C1491="","",_xlfn.XLOOKUP($C1491,Order!$C:$C,Order!$H:$H,"",0,1))</f>
        <v>0.34399999999999997</v>
      </c>
      <c r="I1491" s="36">
        <f>IF($C1491="","",_xlfn.XLOOKUP($C1491,Order!$C:$C,Order!$M:$M,"",0,1))</f>
        <v>0</v>
      </c>
      <c r="J1491" s="4" t="str">
        <f>IF(C1491="","",Order!$M$16)</f>
        <v>BLACK ANODIZED (FAYP06)</v>
      </c>
      <c r="K1491" s="36">
        <f>IF($C1491="","",_xlfn.XLOOKUP($C1491,Order!$C:$C,Order!$P:$P,"",0,1))</f>
        <v>0</v>
      </c>
      <c r="L1491" s="4">
        <f t="shared" si="23"/>
        <v>0</v>
      </c>
    </row>
    <row r="1492" spans="2:12" ht="23.25" hidden="1" customHeight="1" x14ac:dyDescent="0.25">
      <c r="B1492" s="4">
        <v>1487</v>
      </c>
      <c r="C1492" s="36" t="str">
        <f>IF(Order!$C$123="","",Order!$C$123)</f>
        <v>MP309</v>
      </c>
      <c r="D1492" s="36" t="str">
        <f>IF($C1492="","",_xlfn.XLOOKUP($C1492,Order!$C:$C,Order!$D:$D,"",0,1))</f>
        <v>MP309</v>
      </c>
      <c r="E1492" s="4" t="e" vm="311">
        <f>IF($C1492="","",_xlfn.XLOOKUP($C1492,Order!$C:$C,Order!$E:$E,"",0,1))</f>
        <v>#VALUE!</v>
      </c>
      <c r="F1492" s="4">
        <f>IF($C1492="","",_xlfn.XLOOKUP($C1492,Order!$C:$C,Order!$F:$F,"",0,1))</f>
        <v>6000</v>
      </c>
      <c r="G1492" s="4" t="str">
        <f>IF($C1492="","",_xlfn.XLOOKUP($C1492,Order!$C:$C,Order!$G:$G,"",0,1))</f>
        <v>6063T5</v>
      </c>
      <c r="H1492" s="4">
        <f>IF($C1492="","",_xlfn.XLOOKUP($C1492,Order!$C:$C,Order!$H:$H,"",0,1))</f>
        <v>0.36499999999999999</v>
      </c>
      <c r="I1492" s="36">
        <f>IF($C1492="","",_xlfn.XLOOKUP($C1492,Order!$C:$C,Order!$M:$M,"",0,1))</f>
        <v>0</v>
      </c>
      <c r="J1492" s="4" t="str">
        <f>IF(C1492="","",Order!$M$16)</f>
        <v>BLACK ANODIZED (FAYP06)</v>
      </c>
      <c r="K1492" s="36">
        <f>IF($C1492="","",_xlfn.XLOOKUP($C1492,Order!$C:$C,Order!$P:$P,"",0,1))</f>
        <v>0</v>
      </c>
      <c r="L1492" s="4">
        <f t="shared" si="23"/>
        <v>0</v>
      </c>
    </row>
    <row r="1493" spans="2:12" ht="23.25" hidden="1" customHeight="1" x14ac:dyDescent="0.25">
      <c r="B1493" s="4">
        <v>1488</v>
      </c>
      <c r="C1493" s="36" t="str">
        <f>IF(Order!$C$124="","",Order!$C$124)</f>
        <v>MP321</v>
      </c>
      <c r="D1493" s="36" t="str">
        <f>IF($C1493="","",_xlfn.XLOOKUP($C1493,Order!$C:$C,Order!$D:$D,"",0,1))</f>
        <v>MP321MP</v>
      </c>
      <c r="E1493" s="4" t="e" vm="312">
        <f>IF($C1493="","",_xlfn.XLOOKUP($C1493,Order!$C:$C,Order!$E:$E,"",0,1))</f>
        <v>#VALUE!</v>
      </c>
      <c r="F1493" s="4">
        <f>IF($C1493="","",_xlfn.XLOOKUP($C1493,Order!$C:$C,Order!$F:$F,"",0,1))</f>
        <v>6000</v>
      </c>
      <c r="G1493" s="4" t="str">
        <f>IF($C1493="","",_xlfn.XLOOKUP($C1493,Order!$C:$C,Order!$G:$G,"",0,1))</f>
        <v>6063T5</v>
      </c>
      <c r="H1493" s="4">
        <f>IF($C1493="","",_xlfn.XLOOKUP($C1493,Order!$C:$C,Order!$H:$H,"",0,1))</f>
        <v>0.33900000000000002</v>
      </c>
      <c r="I1493" s="36">
        <f>IF($C1493="","",_xlfn.XLOOKUP($C1493,Order!$C:$C,Order!$M:$M,"",0,1))</f>
        <v>0</v>
      </c>
      <c r="J1493" s="4" t="str">
        <f>IF(C1493="","",Order!$M$16)</f>
        <v>BLACK ANODIZED (FAYP06)</v>
      </c>
      <c r="K1493" s="36">
        <f>IF($C1493="","",_xlfn.XLOOKUP($C1493,Order!$C:$C,Order!$P:$P,"",0,1))</f>
        <v>0</v>
      </c>
      <c r="L1493" s="4">
        <f t="shared" si="23"/>
        <v>0</v>
      </c>
    </row>
    <row r="1494" spans="2:12" ht="23.25" hidden="1" customHeight="1" x14ac:dyDescent="0.25">
      <c r="B1494" s="4">
        <v>1489</v>
      </c>
      <c r="C1494" s="36" t="str">
        <f>IF(Order!$C$125="","",Order!$C$125)</f>
        <v>MP332</v>
      </c>
      <c r="D1494" s="36" t="str">
        <f>IF($C1494="","",_xlfn.XLOOKUP($C1494,Order!$C:$C,Order!$D:$D,"",0,1))</f>
        <v>MP332</v>
      </c>
      <c r="E1494" s="4" t="e" vm="313">
        <f>IF($C1494="","",_xlfn.XLOOKUP($C1494,Order!$C:$C,Order!$E:$E,"",0,1))</f>
        <v>#VALUE!</v>
      </c>
      <c r="F1494" s="4">
        <f>IF($C1494="","",_xlfn.XLOOKUP($C1494,Order!$C:$C,Order!$F:$F,"",0,1))</f>
        <v>6000</v>
      </c>
      <c r="G1494" s="4" t="str">
        <f>IF($C1494="","",_xlfn.XLOOKUP($C1494,Order!$C:$C,Order!$G:$G,"",0,1))</f>
        <v>6063T5</v>
      </c>
      <c r="H1494" s="4">
        <f>IF($C1494="","",_xlfn.XLOOKUP($C1494,Order!$C:$C,Order!$H:$H,"",0,1))</f>
        <v>0.47599999999999998</v>
      </c>
      <c r="I1494" s="36">
        <f>IF($C1494="","",_xlfn.XLOOKUP($C1494,Order!$C:$C,Order!$M:$M,"",0,1))</f>
        <v>0</v>
      </c>
      <c r="J1494" s="4" t="str">
        <f>IF(C1494="","",Order!$M$16)</f>
        <v>BLACK ANODIZED (FAYP06)</v>
      </c>
      <c r="K1494" s="36">
        <f>IF($C1494="","",_xlfn.XLOOKUP($C1494,Order!$C:$C,Order!$P:$P,"",0,1))</f>
        <v>0</v>
      </c>
      <c r="L1494" s="4">
        <f t="shared" si="23"/>
        <v>0</v>
      </c>
    </row>
    <row r="1495" spans="2:12" ht="23.25" hidden="1" customHeight="1" x14ac:dyDescent="0.25">
      <c r="B1495" s="4">
        <v>1490</v>
      </c>
      <c r="C1495" s="36" t="str">
        <f>IF(Order!$C$126="","",Order!$C$126)</f>
        <v>MP336</v>
      </c>
      <c r="D1495" s="36" t="str">
        <f>IF($C1495="","",_xlfn.XLOOKUP($C1495,Order!$C:$C,Order!$D:$D,"",0,1))</f>
        <v>MP336MP</v>
      </c>
      <c r="E1495" s="4" t="e" vm="314">
        <f>IF($C1495="","",_xlfn.XLOOKUP($C1495,Order!$C:$C,Order!$E:$E,"",0,1))</f>
        <v>#VALUE!</v>
      </c>
      <c r="F1495" s="4">
        <f>IF($C1495="","",_xlfn.XLOOKUP($C1495,Order!$C:$C,Order!$F:$F,"",0,1))</f>
        <v>0</v>
      </c>
      <c r="G1495" s="4" t="str">
        <f>IF($C1495="","",_xlfn.XLOOKUP($C1495,Order!$C:$C,Order!$G:$G,"",0,1))</f>
        <v>6063T5</v>
      </c>
      <c r="H1495" s="4">
        <f>IF($C1495="","",_xlfn.XLOOKUP($C1495,Order!$C:$C,Order!$H:$H,"",0,1))</f>
        <v>0.42299999999999999</v>
      </c>
      <c r="I1495" s="36">
        <f>IF($C1495="","",_xlfn.XLOOKUP($C1495,Order!$C:$C,Order!$M:$M,"",0,1))</f>
        <v>0</v>
      </c>
      <c r="J1495" s="4" t="str">
        <f>IF(C1495="","",Order!$M$16)</f>
        <v>BLACK ANODIZED (FAYP06)</v>
      </c>
      <c r="K1495" s="36">
        <f>IF($C1495="","",_xlfn.XLOOKUP($C1495,Order!$C:$C,Order!$P:$P,"",0,1))</f>
        <v>0</v>
      </c>
      <c r="L1495" s="4">
        <f t="shared" si="23"/>
        <v>0</v>
      </c>
    </row>
    <row r="1496" spans="2:12" ht="23.25" hidden="1" customHeight="1" x14ac:dyDescent="0.25">
      <c r="B1496" s="4">
        <v>1491</v>
      </c>
      <c r="C1496" s="36" t="str">
        <f>IF(Order!$C$127="","",Order!$C$127)</f>
        <v>MP352</v>
      </c>
      <c r="D1496" s="36" t="str">
        <f>IF($C1496="","",_xlfn.XLOOKUP($C1496,Order!$C:$C,Order!$D:$D,"",0,1))</f>
        <v>MP352</v>
      </c>
      <c r="E1496" s="4" t="e" vm="315">
        <f>IF($C1496="","",_xlfn.XLOOKUP($C1496,Order!$C:$C,Order!$E:$E,"",0,1))</f>
        <v>#VALUE!</v>
      </c>
      <c r="F1496" s="4">
        <f>IF($C1496="","",_xlfn.XLOOKUP($C1496,Order!$C:$C,Order!$F:$F,"",0,1))</f>
        <v>6000</v>
      </c>
      <c r="G1496" s="4" t="str">
        <f>IF($C1496="","",_xlfn.XLOOKUP($C1496,Order!$C:$C,Order!$G:$G,"",0,1))</f>
        <v>6063T5</v>
      </c>
      <c r="H1496" s="4">
        <f>IF($C1496="","",_xlfn.XLOOKUP($C1496,Order!$C:$C,Order!$H:$H,"",0,1))</f>
        <v>0.159</v>
      </c>
      <c r="I1496" s="36">
        <f>IF($C1496="","",_xlfn.XLOOKUP($C1496,Order!$C:$C,Order!$M:$M,"",0,1))</f>
        <v>0</v>
      </c>
      <c r="J1496" s="4" t="str">
        <f>IF(C1496="","",Order!$M$16)</f>
        <v>BLACK ANODIZED (FAYP06)</v>
      </c>
      <c r="K1496" s="36">
        <f>IF($C1496="","",_xlfn.XLOOKUP($C1496,Order!$C:$C,Order!$P:$P,"",0,1))</f>
        <v>0</v>
      </c>
      <c r="L1496" s="4">
        <f t="shared" si="23"/>
        <v>0</v>
      </c>
    </row>
    <row r="1497" spans="2:12" ht="23.25" hidden="1" customHeight="1" x14ac:dyDescent="0.25">
      <c r="B1497" s="4">
        <v>1492</v>
      </c>
      <c r="C1497" s="36" t="str">
        <f>IF(Order!$C$128="","",Order!$C$128)</f>
        <v>MP354</v>
      </c>
      <c r="D1497" s="36" t="str">
        <f>IF($C1497="","",_xlfn.XLOOKUP($C1497,Order!$C:$C,Order!$D:$D,"",0,1))</f>
        <v>MP354</v>
      </c>
      <c r="E1497" s="4" t="e" vm="316">
        <f>IF($C1497="","",_xlfn.XLOOKUP($C1497,Order!$C:$C,Order!$E:$E,"",0,1))</f>
        <v>#VALUE!</v>
      </c>
      <c r="F1497" s="4">
        <f>IF($C1497="","",_xlfn.XLOOKUP($C1497,Order!$C:$C,Order!$F:$F,"",0,1))</f>
        <v>6000</v>
      </c>
      <c r="G1497" s="4" t="str">
        <f>IF($C1497="","",_xlfn.XLOOKUP($C1497,Order!$C:$C,Order!$G:$G,"",0,1))</f>
        <v>6063T5</v>
      </c>
      <c r="H1497" s="4">
        <f>IF($C1497="","",_xlfn.XLOOKUP($C1497,Order!$C:$C,Order!$H:$H,"",0,1))</f>
        <v>0.78700000000000003</v>
      </c>
      <c r="I1497" s="36">
        <f>IF($C1497="","",_xlfn.XLOOKUP($C1497,Order!$C:$C,Order!$M:$M,"",0,1))</f>
        <v>0</v>
      </c>
      <c r="J1497" s="4" t="str">
        <f>IF(C1497="","",Order!$M$16)</f>
        <v>BLACK ANODIZED (FAYP06)</v>
      </c>
      <c r="K1497" s="36">
        <f>IF($C1497="","",_xlfn.XLOOKUP($C1497,Order!$C:$C,Order!$P:$P,"",0,1))</f>
        <v>0</v>
      </c>
      <c r="L1497" s="4">
        <f t="shared" si="23"/>
        <v>0</v>
      </c>
    </row>
    <row r="1498" spans="2:12" ht="23.25" hidden="1" customHeight="1" x14ac:dyDescent="0.25">
      <c r="B1498" s="4">
        <v>1493</v>
      </c>
      <c r="C1498" s="36" t="str">
        <f>IF(Order!$C$129="","",Order!$C$129)</f>
        <v>MP357</v>
      </c>
      <c r="D1498" s="36" t="str">
        <f>IF($C1498="","",_xlfn.XLOOKUP($C1498,Order!$C:$C,Order!$D:$D,"",0,1))</f>
        <v>MP357</v>
      </c>
      <c r="E1498" s="4" t="e" vm="317">
        <f>IF($C1498="","",_xlfn.XLOOKUP($C1498,Order!$C:$C,Order!$E:$E,"",0,1))</f>
        <v>#VALUE!</v>
      </c>
      <c r="F1498" s="4">
        <f>IF($C1498="","",_xlfn.XLOOKUP($C1498,Order!$C:$C,Order!$F:$F,"",0,1))</f>
        <v>6000</v>
      </c>
      <c r="G1498" s="4" t="str">
        <f>IF($C1498="","",_xlfn.XLOOKUP($C1498,Order!$C:$C,Order!$G:$G,"",0,1))</f>
        <v>6063T5</v>
      </c>
      <c r="H1498" s="4">
        <f>IF($C1498="","",_xlfn.XLOOKUP($C1498,Order!$C:$C,Order!$H:$H,"",0,1))</f>
        <v>0.46200000000000002</v>
      </c>
      <c r="I1498" s="36">
        <f>IF($C1498="","",_xlfn.XLOOKUP($C1498,Order!$C:$C,Order!$M:$M,"",0,1))</f>
        <v>0</v>
      </c>
      <c r="J1498" s="4" t="str">
        <f>IF(C1498="","",Order!$M$16)</f>
        <v>BLACK ANODIZED (FAYP06)</v>
      </c>
      <c r="K1498" s="36">
        <f>IF($C1498="","",_xlfn.XLOOKUP($C1498,Order!$C:$C,Order!$P:$P,"",0,1))</f>
        <v>0</v>
      </c>
      <c r="L1498" s="4">
        <f t="shared" si="23"/>
        <v>0</v>
      </c>
    </row>
    <row r="1499" spans="2:12" ht="23.25" hidden="1" customHeight="1" x14ac:dyDescent="0.25">
      <c r="B1499" s="4">
        <v>1494</v>
      </c>
      <c r="C1499" s="36" t="str">
        <f>IF(Order!$C$130="","",Order!$C$130)</f>
        <v>MP358</v>
      </c>
      <c r="D1499" s="36" t="str">
        <f>IF($C1499="","",_xlfn.XLOOKUP($C1499,Order!$C:$C,Order!$D:$D,"",0,1))</f>
        <v>MP358</v>
      </c>
      <c r="E1499" s="4" t="e" vm="318">
        <f>IF($C1499="","",_xlfn.XLOOKUP($C1499,Order!$C:$C,Order!$E:$E,"",0,1))</f>
        <v>#VALUE!</v>
      </c>
      <c r="F1499" s="4">
        <f>IF($C1499="","",_xlfn.XLOOKUP($C1499,Order!$C:$C,Order!$F:$F,"",0,1))</f>
        <v>6000</v>
      </c>
      <c r="G1499" s="4" t="str">
        <f>IF($C1499="","",_xlfn.XLOOKUP($C1499,Order!$C:$C,Order!$G:$G,"",0,1))</f>
        <v>6063T5</v>
      </c>
      <c r="H1499" s="4">
        <f>IF($C1499="","",_xlfn.XLOOKUP($C1499,Order!$C:$C,Order!$H:$H,"",0,1))</f>
        <v>0.42799999999999999</v>
      </c>
      <c r="I1499" s="36">
        <f>IF($C1499="","",_xlfn.XLOOKUP($C1499,Order!$C:$C,Order!$M:$M,"",0,1))</f>
        <v>0</v>
      </c>
      <c r="J1499" s="4" t="str">
        <f>IF(C1499="","",Order!$M$16)</f>
        <v>BLACK ANODIZED (FAYP06)</v>
      </c>
      <c r="K1499" s="36">
        <f>IF($C1499="","",_xlfn.XLOOKUP($C1499,Order!$C:$C,Order!$P:$P,"",0,1))</f>
        <v>0</v>
      </c>
      <c r="L1499" s="4">
        <f t="shared" si="23"/>
        <v>0</v>
      </c>
    </row>
    <row r="1500" spans="2:12" ht="23.25" hidden="1" customHeight="1" x14ac:dyDescent="0.25">
      <c r="B1500" s="4">
        <v>1495</v>
      </c>
      <c r="C1500" s="36" t="str">
        <f>IF(Order!$C$131="","",Order!$C$131)</f>
        <v>MP359</v>
      </c>
      <c r="D1500" s="36" t="str">
        <f>IF($C1500="","",_xlfn.XLOOKUP($C1500,Order!$C:$C,Order!$D:$D,"",0,1))</f>
        <v>MP359</v>
      </c>
      <c r="E1500" s="4" t="e" vm="319">
        <f>IF($C1500="","",_xlfn.XLOOKUP($C1500,Order!$C:$C,Order!$E:$E,"",0,1))</f>
        <v>#VALUE!</v>
      </c>
      <c r="F1500" s="4">
        <f>IF($C1500="","",_xlfn.XLOOKUP($C1500,Order!$C:$C,Order!$F:$F,"",0,1))</f>
        <v>6000</v>
      </c>
      <c r="G1500" s="4" t="str">
        <f>IF($C1500="","",_xlfn.XLOOKUP($C1500,Order!$C:$C,Order!$G:$G,"",0,1))</f>
        <v>6063T5</v>
      </c>
      <c r="H1500" s="4">
        <f>IF($C1500="","",_xlfn.XLOOKUP($C1500,Order!$C:$C,Order!$H:$H,"",0,1))</f>
        <v>0.38200000000000001</v>
      </c>
      <c r="I1500" s="36">
        <f>IF($C1500="","",_xlfn.XLOOKUP($C1500,Order!$C:$C,Order!$M:$M,"",0,1))</f>
        <v>0</v>
      </c>
      <c r="J1500" s="4" t="str">
        <f>IF(C1500="","",Order!$M$16)</f>
        <v>BLACK ANODIZED (FAYP06)</v>
      </c>
      <c r="K1500" s="36">
        <f>IF($C1500="","",_xlfn.XLOOKUP($C1500,Order!$C:$C,Order!$P:$P,"",0,1))</f>
        <v>0</v>
      </c>
      <c r="L1500" s="4">
        <f t="shared" si="23"/>
        <v>0</v>
      </c>
    </row>
    <row r="1501" spans="2:12" ht="23.25" hidden="1" customHeight="1" x14ac:dyDescent="0.25">
      <c r="B1501" s="4">
        <v>1496</v>
      </c>
      <c r="C1501" s="36" t="str">
        <f>IF(Order!$C$132="","",Order!$C$132)</f>
        <v>MP360</v>
      </c>
      <c r="D1501" s="36" t="str">
        <f>IF($C1501="","",_xlfn.XLOOKUP($C1501,Order!$C:$C,Order!$D:$D,"",0,1))</f>
        <v>MP360</v>
      </c>
      <c r="E1501" s="4" t="e" vm="320">
        <f>IF($C1501="","",_xlfn.XLOOKUP($C1501,Order!$C:$C,Order!$E:$E,"",0,1))</f>
        <v>#VALUE!</v>
      </c>
      <c r="F1501" s="4">
        <f>IF($C1501="","",_xlfn.XLOOKUP($C1501,Order!$C:$C,Order!$F:$F,"",0,1))</f>
        <v>6000</v>
      </c>
      <c r="G1501" s="4" t="str">
        <f>IF($C1501="","",_xlfn.XLOOKUP($C1501,Order!$C:$C,Order!$G:$G,"",0,1))</f>
        <v>6063T5</v>
      </c>
      <c r="H1501" s="4">
        <f>IF($C1501="","",_xlfn.XLOOKUP($C1501,Order!$C:$C,Order!$H:$H,"",0,1))</f>
        <v>0.313</v>
      </c>
      <c r="I1501" s="36">
        <f>IF($C1501="","",_xlfn.XLOOKUP($C1501,Order!$C:$C,Order!$M:$M,"",0,1))</f>
        <v>0</v>
      </c>
      <c r="J1501" s="4" t="str">
        <f>IF(C1501="","",Order!$M$16)</f>
        <v>BLACK ANODIZED (FAYP06)</v>
      </c>
      <c r="K1501" s="36">
        <f>IF($C1501="","",_xlfn.XLOOKUP($C1501,Order!$C:$C,Order!$P:$P,"",0,1))</f>
        <v>0</v>
      </c>
      <c r="L1501" s="4">
        <f t="shared" si="23"/>
        <v>0</v>
      </c>
    </row>
    <row r="1502" spans="2:12" ht="23.25" hidden="1" customHeight="1" x14ac:dyDescent="0.25">
      <c r="B1502" s="4">
        <v>1497</v>
      </c>
      <c r="C1502" s="36" t="str">
        <f>IF(Order!$C$133="","",Order!$C$133)</f>
        <v>MP361</v>
      </c>
      <c r="D1502" s="36" t="str">
        <f>IF($C1502="","",_xlfn.XLOOKUP($C1502,Order!$C:$C,Order!$D:$D,"",0,1))</f>
        <v>MP361</v>
      </c>
      <c r="E1502" s="4" t="e" vm="321">
        <f>IF($C1502="","",_xlfn.XLOOKUP($C1502,Order!$C:$C,Order!$E:$E,"",0,1))</f>
        <v>#VALUE!</v>
      </c>
      <c r="F1502" s="4">
        <f>IF($C1502="","",_xlfn.XLOOKUP($C1502,Order!$C:$C,Order!$F:$F,"",0,1))</f>
        <v>6000</v>
      </c>
      <c r="G1502" s="4" t="str">
        <f>IF($C1502="","",_xlfn.XLOOKUP($C1502,Order!$C:$C,Order!$G:$G,"",0,1))</f>
        <v>6063T5</v>
      </c>
      <c r="H1502" s="4">
        <f>IF($C1502="","",_xlfn.XLOOKUP($C1502,Order!$C:$C,Order!$H:$H,"",0,1))</f>
        <v>1.06</v>
      </c>
      <c r="I1502" s="36">
        <f>IF($C1502="","",_xlfn.XLOOKUP($C1502,Order!$C:$C,Order!$M:$M,"",0,1))</f>
        <v>0</v>
      </c>
      <c r="J1502" s="4" t="str">
        <f>IF(C1502="","",Order!$M$16)</f>
        <v>BLACK ANODIZED (FAYP06)</v>
      </c>
      <c r="K1502" s="36">
        <f>IF($C1502="","",_xlfn.XLOOKUP($C1502,Order!$C:$C,Order!$P:$P,"",0,1))</f>
        <v>0</v>
      </c>
      <c r="L1502" s="4">
        <f t="shared" si="23"/>
        <v>0</v>
      </c>
    </row>
    <row r="1503" spans="2:12" ht="23.25" hidden="1" customHeight="1" x14ac:dyDescent="0.25">
      <c r="B1503" s="4">
        <v>1498</v>
      </c>
      <c r="C1503" s="36" t="str">
        <f>IF(Order!$C$134="","",Order!$C$134)</f>
        <v>MP362</v>
      </c>
      <c r="D1503" s="36" t="str">
        <f>IF($C1503="","",_xlfn.XLOOKUP($C1503,Order!$C:$C,Order!$D:$D,"",0,1))</f>
        <v>MP362</v>
      </c>
      <c r="E1503" s="4" t="e" vm="322">
        <f>IF($C1503="","",_xlfn.XLOOKUP($C1503,Order!$C:$C,Order!$E:$E,"",0,1))</f>
        <v>#VALUE!</v>
      </c>
      <c r="F1503" s="4">
        <f>IF($C1503="","",_xlfn.XLOOKUP($C1503,Order!$C:$C,Order!$F:$F,"",0,1))</f>
        <v>6000</v>
      </c>
      <c r="G1503" s="4" t="str">
        <f>IF($C1503="","",_xlfn.XLOOKUP($C1503,Order!$C:$C,Order!$G:$G,"",0,1))</f>
        <v>6063T5</v>
      </c>
      <c r="H1503" s="4">
        <f>IF($C1503="","",_xlfn.XLOOKUP($C1503,Order!$C:$C,Order!$H:$H,"",0,1))</f>
        <v>0.98199999999999998</v>
      </c>
      <c r="I1503" s="36">
        <f>IF($C1503="","",_xlfn.XLOOKUP($C1503,Order!$C:$C,Order!$M:$M,"",0,1))</f>
        <v>0</v>
      </c>
      <c r="J1503" s="4" t="str">
        <f>IF(C1503="","",Order!$M$16)</f>
        <v>BLACK ANODIZED (FAYP06)</v>
      </c>
      <c r="K1503" s="36">
        <f>IF($C1503="","",_xlfn.XLOOKUP($C1503,Order!$C:$C,Order!$P:$P,"",0,1))</f>
        <v>0</v>
      </c>
      <c r="L1503" s="4">
        <f t="shared" si="23"/>
        <v>0</v>
      </c>
    </row>
    <row r="1504" spans="2:12" ht="23.25" hidden="1" customHeight="1" x14ac:dyDescent="0.25">
      <c r="B1504" s="4">
        <v>1499</v>
      </c>
      <c r="C1504" s="36" t="str">
        <f>IF(Order!$C$135="","",Order!$C$135)</f>
        <v>MP363</v>
      </c>
      <c r="D1504" s="36" t="str">
        <f>IF($C1504="","",_xlfn.XLOOKUP($C1504,Order!$C:$C,Order!$D:$D,"",0,1))</f>
        <v>MP363</v>
      </c>
      <c r="E1504" s="4" t="e" vm="323">
        <f>IF($C1504="","",_xlfn.XLOOKUP($C1504,Order!$C:$C,Order!$E:$E,"",0,1))</f>
        <v>#VALUE!</v>
      </c>
      <c r="F1504" s="4">
        <f>IF($C1504="","",_xlfn.XLOOKUP($C1504,Order!$C:$C,Order!$F:$F,"",0,1))</f>
        <v>6000</v>
      </c>
      <c r="G1504" s="4" t="str">
        <f>IF($C1504="","",_xlfn.XLOOKUP($C1504,Order!$C:$C,Order!$G:$G,"",0,1))</f>
        <v>6063T5</v>
      </c>
      <c r="H1504" s="4">
        <f>IF($C1504="","",_xlfn.XLOOKUP($C1504,Order!$C:$C,Order!$H:$H,"",0,1))</f>
        <v>0.49</v>
      </c>
      <c r="I1504" s="36">
        <f>IF($C1504="","",_xlfn.XLOOKUP($C1504,Order!$C:$C,Order!$M:$M,"",0,1))</f>
        <v>0</v>
      </c>
      <c r="J1504" s="4" t="str">
        <f>IF(C1504="","",Order!$M$16)</f>
        <v>BLACK ANODIZED (FAYP06)</v>
      </c>
      <c r="K1504" s="36">
        <f>IF($C1504="","",_xlfn.XLOOKUP($C1504,Order!$C:$C,Order!$P:$P,"",0,1))</f>
        <v>0</v>
      </c>
      <c r="L1504" s="4">
        <f t="shared" si="23"/>
        <v>0</v>
      </c>
    </row>
    <row r="1505" spans="2:12" ht="23.25" hidden="1" customHeight="1" x14ac:dyDescent="0.25">
      <c r="B1505" s="4">
        <v>1500</v>
      </c>
      <c r="C1505" s="36" t="str">
        <f>IF(Order!$C$136="","",Order!$C$136)</f>
        <v>MP370</v>
      </c>
      <c r="D1505" s="36" t="str">
        <f>IF($C1505="","",_xlfn.XLOOKUP($C1505,Order!$C:$C,Order!$D:$D,"",0,1))</f>
        <v>MP370</v>
      </c>
      <c r="E1505" s="4" t="e" vm="324">
        <f>IF($C1505="","",_xlfn.XLOOKUP($C1505,Order!$C:$C,Order!$E:$E,"",0,1))</f>
        <v>#VALUE!</v>
      </c>
      <c r="F1505" s="4">
        <f>IF($C1505="","",_xlfn.XLOOKUP($C1505,Order!$C:$C,Order!$F:$F,"",0,1))</f>
        <v>6000</v>
      </c>
      <c r="G1505" s="4" t="str">
        <f>IF($C1505="","",_xlfn.XLOOKUP($C1505,Order!$C:$C,Order!$G:$G,"",0,1))</f>
        <v>6063T5</v>
      </c>
      <c r="H1505" s="4">
        <f>IF($C1505="","",_xlfn.XLOOKUP($C1505,Order!$C:$C,Order!$H:$H,"",0,1))</f>
        <v>0.58099999999999996</v>
      </c>
      <c r="I1505" s="36">
        <f>IF($C1505="","",_xlfn.XLOOKUP($C1505,Order!$C:$C,Order!$M:$M,"",0,1))</f>
        <v>0</v>
      </c>
      <c r="J1505" s="4" t="str">
        <f>IF(C1505="","",Order!$M$16)</f>
        <v>BLACK ANODIZED (FAYP06)</v>
      </c>
      <c r="K1505" s="36">
        <f>IF($C1505="","",_xlfn.XLOOKUP($C1505,Order!$C:$C,Order!$P:$P,"",0,1))</f>
        <v>0</v>
      </c>
      <c r="L1505" s="4">
        <f t="shared" si="23"/>
        <v>0</v>
      </c>
    </row>
    <row r="1506" spans="2:12" ht="23.25" hidden="1" customHeight="1" x14ac:dyDescent="0.25">
      <c r="B1506" s="4">
        <v>1501</v>
      </c>
      <c r="C1506" s="36" t="str">
        <f>IF(Order!$C$137="","",Order!$C$137)</f>
        <v>BG001</v>
      </c>
      <c r="D1506" s="36" t="str">
        <f>IF($C1506="","",_xlfn.XLOOKUP($C1506,Order!$C:$C,Order!$D:$D,"",0,1))</f>
        <v>BG001</v>
      </c>
      <c r="E1506" s="4" t="e" vm="325">
        <f>IF($C1506="","",_xlfn.XLOOKUP($C1506,Order!$C:$C,Order!$E:$E,"",0,1))</f>
        <v>#VALUE!</v>
      </c>
      <c r="F1506" s="4">
        <f>IF($C1506="","",_xlfn.XLOOKUP($C1506,Order!$C:$C,Order!$F:$F,"",0,1))</f>
        <v>6000</v>
      </c>
      <c r="G1506" s="4" t="str">
        <f>IF($C1506="","",_xlfn.XLOOKUP($C1506,Order!$C:$C,Order!$G:$G,"",0,1))</f>
        <v>6063T5</v>
      </c>
      <c r="H1506" s="4">
        <f>IF($C1506="","",_xlfn.XLOOKUP($C1506,Order!$C:$C,Order!$H:$H,"",0,1))</f>
        <v>0.10299999999999999</v>
      </c>
      <c r="I1506" s="36">
        <f>IF($C1506="","",_xlfn.XLOOKUP($C1506,Order!$C:$C,Order!$M:$M,"",0,1))</f>
        <v>0</v>
      </c>
      <c r="J1506" s="4" t="str">
        <f>IF(C1506="","",Order!$M$16)</f>
        <v>BLACK ANODIZED (FAYP06)</v>
      </c>
      <c r="K1506" s="36">
        <f>IF($C1506="","",_xlfn.XLOOKUP($C1506,Order!$C:$C,Order!$P:$P,"",0,1))</f>
        <v>0</v>
      </c>
      <c r="L1506" s="4">
        <f t="shared" si="23"/>
        <v>0</v>
      </c>
    </row>
    <row r="1507" spans="2:12" ht="23.25" hidden="1" customHeight="1" x14ac:dyDescent="0.25">
      <c r="B1507" s="4">
        <v>1502</v>
      </c>
      <c r="C1507" s="36" t="str">
        <f>IF(Order!$C$138="","",Order!$C$138)</f>
        <v>BG035</v>
      </c>
      <c r="D1507" s="36" t="str">
        <f>IF($C1507="","",_xlfn.XLOOKUP($C1507,Order!$C:$C,Order!$D:$D,"",0,1))</f>
        <v>BG035</v>
      </c>
      <c r="E1507" s="4" t="e" vm="326">
        <f>IF($C1507="","",_xlfn.XLOOKUP($C1507,Order!$C:$C,Order!$E:$E,"",0,1))</f>
        <v>#VALUE!</v>
      </c>
      <c r="F1507" s="4">
        <f>IF($C1507="","",_xlfn.XLOOKUP($C1507,Order!$C:$C,Order!$F:$F,"",0,1))</f>
        <v>6000</v>
      </c>
      <c r="G1507" s="4" t="str">
        <f>IF($C1507="","",_xlfn.XLOOKUP($C1507,Order!$C:$C,Order!$G:$G,"",0,1))</f>
        <v>6063T5</v>
      </c>
      <c r="H1507" s="4">
        <f>IF($C1507="","",_xlfn.XLOOKUP($C1507,Order!$C:$C,Order!$H:$H,"",0,1))</f>
        <v>0.108</v>
      </c>
      <c r="I1507" s="36">
        <f>IF($C1507="","",_xlfn.XLOOKUP($C1507,Order!$C:$C,Order!$M:$M,"",0,1))</f>
        <v>0</v>
      </c>
      <c r="J1507" s="4" t="str">
        <f>IF(C1507="","",Order!$M$16)</f>
        <v>BLACK ANODIZED (FAYP06)</v>
      </c>
      <c r="K1507" s="36">
        <f>IF($C1507="","",_xlfn.XLOOKUP($C1507,Order!$C:$C,Order!$P:$P,"",0,1))</f>
        <v>0</v>
      </c>
      <c r="L1507" s="4">
        <f t="shared" si="23"/>
        <v>0</v>
      </c>
    </row>
    <row r="1508" spans="2:12" ht="23.25" hidden="1" customHeight="1" x14ac:dyDescent="0.25">
      <c r="B1508" s="4">
        <v>1503</v>
      </c>
      <c r="C1508" s="36" t="str">
        <f>IF(Order!$C$139="","",Order!$C$139)</f>
        <v>ME056</v>
      </c>
      <c r="D1508" s="36" t="str">
        <f>IF($C1508="","",_xlfn.XLOOKUP($C1508,Order!$C:$C,Order!$D:$D,"",0,1))</f>
        <v>ME056</v>
      </c>
      <c r="E1508" s="4" t="e" vm="327">
        <f>IF($C1508="","",_xlfn.XLOOKUP($C1508,Order!$C:$C,Order!$E:$E,"",0,1))</f>
        <v>#VALUE!</v>
      </c>
      <c r="F1508" s="4">
        <f>IF($C1508="","",_xlfn.XLOOKUP($C1508,Order!$C:$C,Order!$F:$F,"",0,1))</f>
        <v>6000</v>
      </c>
      <c r="G1508" s="4" t="str">
        <f>IF($C1508="","",_xlfn.XLOOKUP($C1508,Order!$C:$C,Order!$G:$G,"",0,1))</f>
        <v>6063T5</v>
      </c>
      <c r="H1508" s="4">
        <f>IF($C1508="","",_xlfn.XLOOKUP($C1508,Order!$C:$C,Order!$H:$H,"",0,1))</f>
        <v>0.16900000000000001</v>
      </c>
      <c r="I1508" s="36">
        <f>IF($C1508="","",_xlfn.XLOOKUP($C1508,Order!$C:$C,Order!$M:$M,"",0,1))</f>
        <v>0</v>
      </c>
      <c r="J1508" s="4" t="str">
        <f>IF(C1508="","",Order!$M$16)</f>
        <v>BLACK ANODIZED (FAYP06)</v>
      </c>
      <c r="K1508" s="36">
        <f>IF($C1508="","",_xlfn.XLOOKUP($C1508,Order!$C:$C,Order!$P:$P,"",0,1))</f>
        <v>0</v>
      </c>
      <c r="L1508" s="4">
        <f t="shared" si="23"/>
        <v>0</v>
      </c>
    </row>
    <row r="1509" spans="2:12" ht="23.25" hidden="1" customHeight="1" x14ac:dyDescent="0.25">
      <c r="B1509" s="4">
        <v>1504</v>
      </c>
      <c r="C1509" s="36">
        <f>IF(Order!$C$140="","",Order!$C$140)</f>
        <v>25001</v>
      </c>
      <c r="D1509" s="36">
        <f>IF($C1509="","",_xlfn.XLOOKUP($C1509,Order!$C:$C,Order!$D:$D,"",0,1))</f>
        <v>25001</v>
      </c>
      <c r="E1509" s="4" t="e" vm="328">
        <f>IF($C1509="","",_xlfn.XLOOKUP($C1509,Order!$C:$C,Order!$E:$E,"",0,1))</f>
        <v>#VALUE!</v>
      </c>
      <c r="F1509" s="4">
        <f>IF($C1509="","",_xlfn.XLOOKUP($C1509,Order!$C:$C,Order!$F:$F,"",0,1))</f>
        <v>6000</v>
      </c>
      <c r="G1509" s="4" t="str">
        <f>IF($C1509="","",_xlfn.XLOOKUP($C1509,Order!$C:$C,Order!$G:$G,"",0,1))</f>
        <v>6063T5</v>
      </c>
      <c r="H1509" s="4">
        <f>IF($C1509="","",_xlfn.XLOOKUP($C1509,Order!$C:$C,Order!$H:$H,"",0,1))</f>
        <v>0.28599999999999998</v>
      </c>
      <c r="I1509" s="36">
        <f>IF($C1509="","",_xlfn.XLOOKUP($C1509,Order!$C:$C,Order!$M:$M,"",0,1))</f>
        <v>0</v>
      </c>
      <c r="J1509" s="4" t="str">
        <f>IF(C1509="","",Order!$M$16)</f>
        <v>BLACK ANODIZED (FAYP06)</v>
      </c>
      <c r="K1509" s="36">
        <f>IF($C1509="","",_xlfn.XLOOKUP($C1509,Order!$C:$C,Order!$P:$P,"",0,1))</f>
        <v>0</v>
      </c>
      <c r="L1509" s="4">
        <f t="shared" si="23"/>
        <v>0</v>
      </c>
    </row>
    <row r="1510" spans="2:12" ht="23.25" hidden="1" customHeight="1" x14ac:dyDescent="0.25">
      <c r="B1510" s="4">
        <v>1505</v>
      </c>
      <c r="C1510" s="36" t="str">
        <f>IF(Order!$C$141="","",Order!$C$141)</f>
        <v>25002L</v>
      </c>
      <c r="D1510" s="36" t="str">
        <f>IF($C1510="","",_xlfn.XLOOKUP($C1510,Order!$C:$C,Order!$D:$D,"",0,1))</f>
        <v>25002L</v>
      </c>
      <c r="E1510" s="4" t="e" vm="329">
        <f>IF($C1510="","",_xlfn.XLOOKUP($C1510,Order!$C:$C,Order!$E:$E,"",0,1))</f>
        <v>#VALUE!</v>
      </c>
      <c r="F1510" s="4">
        <f>IF($C1510="","",_xlfn.XLOOKUP($C1510,Order!$C:$C,Order!$F:$F,"",0,1))</f>
        <v>6000</v>
      </c>
      <c r="G1510" s="4" t="str">
        <f>IF($C1510="","",_xlfn.XLOOKUP($C1510,Order!$C:$C,Order!$G:$G,"",0,1))</f>
        <v>6063T5</v>
      </c>
      <c r="H1510" s="4">
        <f>IF($C1510="","",_xlfn.XLOOKUP($C1510,Order!$C:$C,Order!$H:$H,"",0,1))</f>
        <v>0.24399999999999999</v>
      </c>
      <c r="I1510" s="36">
        <f>IF($C1510="","",_xlfn.XLOOKUP($C1510,Order!$C:$C,Order!$M:$M,"",0,1))</f>
        <v>0</v>
      </c>
      <c r="J1510" s="4" t="str">
        <f>IF(C1510="","",Order!$M$16)</f>
        <v>BLACK ANODIZED (FAYP06)</v>
      </c>
      <c r="K1510" s="36">
        <f>IF($C1510="","",_xlfn.XLOOKUP($C1510,Order!$C:$C,Order!$P:$P,"",0,1))</f>
        <v>0</v>
      </c>
      <c r="L1510" s="4">
        <f t="shared" si="23"/>
        <v>0</v>
      </c>
    </row>
    <row r="1511" spans="2:12" ht="23.25" hidden="1" customHeight="1" x14ac:dyDescent="0.25">
      <c r="B1511" s="4">
        <v>1506</v>
      </c>
      <c r="C1511" s="36">
        <f>IF(Order!$C$142="","",Order!$C$142)</f>
        <v>25016</v>
      </c>
      <c r="D1511" s="36">
        <f>IF($C1511="","",_xlfn.XLOOKUP($C1511,Order!$C:$C,Order!$D:$D,"",0,1))</f>
        <v>25016</v>
      </c>
      <c r="E1511" s="4" t="e" vm="330">
        <f>IF($C1511="","",_xlfn.XLOOKUP($C1511,Order!$C:$C,Order!$E:$E,"",0,1))</f>
        <v>#VALUE!</v>
      </c>
      <c r="F1511" s="4">
        <f>IF($C1511="","",_xlfn.XLOOKUP($C1511,Order!$C:$C,Order!$F:$F,"",0,1))</f>
        <v>6000</v>
      </c>
      <c r="G1511" s="4" t="str">
        <f>IF($C1511="","",_xlfn.XLOOKUP($C1511,Order!$C:$C,Order!$G:$G,"",0,1))</f>
        <v>6063T5</v>
      </c>
      <c r="H1511" s="4">
        <f>IF($C1511="","",_xlfn.XLOOKUP($C1511,Order!$C:$C,Order!$H:$H,"",0,1))</f>
        <v>0.32300000000000001</v>
      </c>
      <c r="I1511" s="36">
        <f>IF($C1511="","",_xlfn.XLOOKUP($C1511,Order!$C:$C,Order!$M:$M,"",0,1))</f>
        <v>0</v>
      </c>
      <c r="J1511" s="4" t="str">
        <f>IF(C1511="","",Order!$M$16)</f>
        <v>BLACK ANODIZED (FAYP06)</v>
      </c>
      <c r="K1511" s="36">
        <f>IF($C1511="","",_xlfn.XLOOKUP($C1511,Order!$C:$C,Order!$P:$P,"",0,1))</f>
        <v>0</v>
      </c>
      <c r="L1511" s="4">
        <f t="shared" si="23"/>
        <v>0</v>
      </c>
    </row>
    <row r="1512" spans="2:12" ht="23.25" hidden="1" customHeight="1" x14ac:dyDescent="0.25">
      <c r="B1512" s="4">
        <v>1507</v>
      </c>
      <c r="C1512" s="36">
        <f>IF(Order!$C$143="","",Order!$C$143)</f>
        <v>25021</v>
      </c>
      <c r="D1512" s="36">
        <f>IF($C1512="","",_xlfn.XLOOKUP($C1512,Order!$C:$C,Order!$D:$D,"",0,1))</f>
        <v>25021</v>
      </c>
      <c r="E1512" s="4" t="e" vm="331">
        <f>IF($C1512="","",_xlfn.XLOOKUP($C1512,Order!$C:$C,Order!$E:$E,"",0,1))</f>
        <v>#VALUE!</v>
      </c>
      <c r="F1512" s="4">
        <f>IF($C1512="","",_xlfn.XLOOKUP($C1512,Order!$C:$C,Order!$F:$F,"",0,1))</f>
        <v>6000</v>
      </c>
      <c r="G1512" s="4" t="str">
        <f>IF($C1512="","",_xlfn.XLOOKUP($C1512,Order!$C:$C,Order!$G:$G,"",0,1))</f>
        <v>6063T5</v>
      </c>
      <c r="H1512" s="4">
        <f>IF($C1512="","",_xlfn.XLOOKUP($C1512,Order!$C:$C,Order!$H:$H,"",0,1))</f>
        <v>0.21299999999999999</v>
      </c>
      <c r="I1512" s="36">
        <f>IF($C1512="","",_xlfn.XLOOKUP($C1512,Order!$C:$C,Order!$M:$M,"",0,1))</f>
        <v>0</v>
      </c>
      <c r="J1512" s="4" t="str">
        <f>IF(C1512="","",Order!$M$16)</f>
        <v>BLACK ANODIZED (FAYP06)</v>
      </c>
      <c r="K1512" s="36">
        <f>IF($C1512="","",_xlfn.XLOOKUP($C1512,Order!$C:$C,Order!$P:$P,"",0,1))</f>
        <v>0</v>
      </c>
      <c r="L1512" s="4">
        <f t="shared" si="23"/>
        <v>0</v>
      </c>
    </row>
    <row r="1513" spans="2:12" ht="23.25" hidden="1" customHeight="1" x14ac:dyDescent="0.25">
      <c r="B1513" s="4">
        <v>1508</v>
      </c>
      <c r="C1513" s="36">
        <f>IF(Order!$C$144="","",Order!$C$144)</f>
        <v>25026</v>
      </c>
      <c r="D1513" s="36">
        <f>IF($C1513="","",_xlfn.XLOOKUP($C1513,Order!$C:$C,Order!$D:$D,"",0,1))</f>
        <v>25026</v>
      </c>
      <c r="E1513" s="4" t="e" vm="332">
        <f>IF($C1513="","",_xlfn.XLOOKUP($C1513,Order!$C:$C,Order!$E:$E,"",0,1))</f>
        <v>#VALUE!</v>
      </c>
      <c r="F1513" s="4">
        <f>IF($C1513="","",_xlfn.XLOOKUP($C1513,Order!$C:$C,Order!$F:$F,"",0,1))</f>
        <v>6000</v>
      </c>
      <c r="G1513" s="4" t="str">
        <f>IF($C1513="","",_xlfn.XLOOKUP($C1513,Order!$C:$C,Order!$G:$G,"",0,1))</f>
        <v>6063T5</v>
      </c>
      <c r="H1513" s="4">
        <f>IF($C1513="","",_xlfn.XLOOKUP($C1513,Order!$C:$C,Order!$H:$H,"",0,1))</f>
        <v>0.47599999999999998</v>
      </c>
      <c r="I1513" s="36">
        <f>IF($C1513="","",_xlfn.XLOOKUP($C1513,Order!$C:$C,Order!$M:$M,"",0,1))</f>
        <v>0</v>
      </c>
      <c r="J1513" s="4" t="str">
        <f>IF(C1513="","",Order!$M$16)</f>
        <v>BLACK ANODIZED (FAYP06)</v>
      </c>
      <c r="K1513" s="36">
        <f>IF($C1513="","",_xlfn.XLOOKUP($C1513,Order!$C:$C,Order!$P:$P,"",0,1))</f>
        <v>0</v>
      </c>
      <c r="L1513" s="4">
        <f t="shared" si="23"/>
        <v>0</v>
      </c>
    </row>
    <row r="1514" spans="2:12" ht="23.25" hidden="1" customHeight="1" x14ac:dyDescent="0.25">
      <c r="B1514" s="4">
        <v>1509</v>
      </c>
      <c r="C1514" s="36" t="str">
        <f>IF(Order!$C$145="","",Order!$C$145)</f>
        <v>25048 (MM-376)</v>
      </c>
      <c r="D1514" s="36">
        <f>IF($C1514="","",_xlfn.XLOOKUP($C1514,Order!$C:$C,Order!$D:$D,"",0,1))</f>
        <v>25048</v>
      </c>
      <c r="E1514" s="4" t="e" vm="333">
        <f>IF($C1514="","",_xlfn.XLOOKUP($C1514,Order!$C:$C,Order!$E:$E,"",0,1))</f>
        <v>#VALUE!</v>
      </c>
      <c r="F1514" s="4">
        <f>IF($C1514="","",_xlfn.XLOOKUP($C1514,Order!$C:$C,Order!$F:$F,"",0,1))</f>
        <v>6000</v>
      </c>
      <c r="G1514" s="4" t="str">
        <f>IF($C1514="","",_xlfn.XLOOKUP($C1514,Order!$C:$C,Order!$G:$G,"",0,1))</f>
        <v>6063T5</v>
      </c>
      <c r="H1514" s="4">
        <f>IF($C1514="","",_xlfn.XLOOKUP($C1514,Order!$C:$C,Order!$H:$H,"",0,1))</f>
        <v>0.436</v>
      </c>
      <c r="I1514" s="36">
        <f>IF($C1514="","",_xlfn.XLOOKUP($C1514,Order!$C:$C,Order!$M:$M,"",0,1))</f>
        <v>0</v>
      </c>
      <c r="J1514" s="4" t="str">
        <f>IF(C1514="","",Order!$M$16)</f>
        <v>BLACK ANODIZED (FAYP06)</v>
      </c>
      <c r="K1514" s="36">
        <f>IF($C1514="","",_xlfn.XLOOKUP($C1514,Order!$C:$C,Order!$P:$P,"",0,1))</f>
        <v>0</v>
      </c>
      <c r="L1514" s="4">
        <f t="shared" si="23"/>
        <v>0</v>
      </c>
    </row>
    <row r="1515" spans="2:12" ht="23.25" hidden="1" customHeight="1" x14ac:dyDescent="0.25">
      <c r="B1515" s="4">
        <v>1510</v>
      </c>
      <c r="C1515" s="36" t="str">
        <f>IF(Order!$C$146="","",Order!$C$146)</f>
        <v>25052 (MM-375)</v>
      </c>
      <c r="D1515" s="36">
        <f>IF($C1515="","",_xlfn.XLOOKUP($C1515,Order!$C:$C,Order!$D:$D,"",0,1))</f>
        <v>25052</v>
      </c>
      <c r="E1515" s="4" t="e" vm="334">
        <f>IF($C1515="","",_xlfn.XLOOKUP($C1515,Order!$C:$C,Order!$E:$E,"",0,1))</f>
        <v>#VALUE!</v>
      </c>
      <c r="F1515" s="4">
        <f>IF($C1515="","",_xlfn.XLOOKUP($C1515,Order!$C:$C,Order!$F:$F,"",0,1))</f>
        <v>6000</v>
      </c>
      <c r="G1515" s="4" t="str">
        <f>IF($C1515="","",_xlfn.XLOOKUP($C1515,Order!$C:$C,Order!$G:$G,"",0,1))</f>
        <v>6063T5</v>
      </c>
      <c r="H1515" s="4">
        <f>IF($C1515="","",_xlfn.XLOOKUP($C1515,Order!$C:$C,Order!$H:$H,"",0,1))</f>
        <v>0.33</v>
      </c>
      <c r="I1515" s="36">
        <f>IF($C1515="","",_xlfn.XLOOKUP($C1515,Order!$C:$C,Order!$M:$M,"",0,1))</f>
        <v>0</v>
      </c>
      <c r="J1515" s="4" t="str">
        <f>IF(C1515="","",Order!$M$16)</f>
        <v>BLACK ANODIZED (FAYP06)</v>
      </c>
      <c r="K1515" s="36">
        <f>IF($C1515="","",_xlfn.XLOOKUP($C1515,Order!$C:$C,Order!$P:$P,"",0,1))</f>
        <v>0</v>
      </c>
      <c r="L1515" s="4">
        <f t="shared" si="23"/>
        <v>0</v>
      </c>
    </row>
    <row r="1516" spans="2:12" ht="23.25" hidden="1" customHeight="1" x14ac:dyDescent="0.25">
      <c r="B1516" s="4">
        <v>1511</v>
      </c>
      <c r="C1516" s="36">
        <f>IF(Order!$C$147="","",Order!$C$147)</f>
        <v>25301</v>
      </c>
      <c r="D1516" s="36">
        <f>IF($C1516="","",_xlfn.XLOOKUP($C1516,Order!$C:$C,Order!$D:$D,"",0,1))</f>
        <v>25301</v>
      </c>
      <c r="E1516" s="4" t="e" vm="335">
        <f>IF($C1516="","",_xlfn.XLOOKUP($C1516,Order!$C:$C,Order!$E:$E,"",0,1))</f>
        <v>#VALUE!</v>
      </c>
      <c r="F1516" s="4">
        <f>IF($C1516="","",_xlfn.XLOOKUP($C1516,Order!$C:$C,Order!$F:$F,"",0,1))</f>
        <v>6000</v>
      </c>
      <c r="G1516" s="4" t="str">
        <f>IF($C1516="","",_xlfn.XLOOKUP($C1516,Order!$C:$C,Order!$G:$G,"",0,1))</f>
        <v>6063T5</v>
      </c>
      <c r="H1516" s="4">
        <f>IF($C1516="","",_xlfn.XLOOKUP($C1516,Order!$C:$C,Order!$H:$H,"",0,1))</f>
        <v>0.29299999999999998</v>
      </c>
      <c r="I1516" s="36">
        <f>IF($C1516="","",_xlfn.XLOOKUP($C1516,Order!$C:$C,Order!$M:$M,"",0,1))</f>
        <v>0</v>
      </c>
      <c r="J1516" s="4" t="str">
        <f>IF(C1516="","",Order!$M$16)</f>
        <v>BLACK ANODIZED (FAYP06)</v>
      </c>
      <c r="K1516" s="36">
        <f>IF($C1516="","",_xlfn.XLOOKUP($C1516,Order!$C:$C,Order!$P:$P,"",0,1))</f>
        <v>0</v>
      </c>
      <c r="L1516" s="4">
        <f t="shared" si="23"/>
        <v>0</v>
      </c>
    </row>
    <row r="1517" spans="2:12" ht="23.25" hidden="1" customHeight="1" x14ac:dyDescent="0.25">
      <c r="B1517" s="4">
        <v>1512</v>
      </c>
      <c r="C1517" s="36">
        <f>IF(Order!$C$148="","",Order!$C$148)</f>
        <v>25311</v>
      </c>
      <c r="D1517" s="36">
        <f>IF($C1517="","",_xlfn.XLOOKUP($C1517,Order!$C:$C,Order!$D:$D,"",0,1))</f>
        <v>25311</v>
      </c>
      <c r="E1517" s="4" t="e" vm="336">
        <f>IF($C1517="","",_xlfn.XLOOKUP($C1517,Order!$C:$C,Order!$E:$E,"",0,1))</f>
        <v>#VALUE!</v>
      </c>
      <c r="F1517" s="4">
        <f>IF($C1517="","",_xlfn.XLOOKUP($C1517,Order!$C:$C,Order!$F:$F,"",0,1))</f>
        <v>6000</v>
      </c>
      <c r="G1517" s="4" t="str">
        <f>IF($C1517="","",_xlfn.XLOOKUP($C1517,Order!$C:$C,Order!$G:$G,"",0,1))</f>
        <v>6063T5</v>
      </c>
      <c r="H1517" s="4">
        <f>IF($C1517="","",_xlfn.XLOOKUP($C1517,Order!$C:$C,Order!$H:$H,"",0,1))</f>
        <v>0.28899999999999998</v>
      </c>
      <c r="I1517" s="36">
        <f>IF($C1517="","",_xlfn.XLOOKUP($C1517,Order!$C:$C,Order!$M:$M,"",0,1))</f>
        <v>0</v>
      </c>
      <c r="J1517" s="4" t="str">
        <f>IF(C1517="","",Order!$M$16)</f>
        <v>BLACK ANODIZED (FAYP06)</v>
      </c>
      <c r="K1517" s="36">
        <f>IF($C1517="","",_xlfn.XLOOKUP($C1517,Order!$C:$C,Order!$P:$P,"",0,1))</f>
        <v>0</v>
      </c>
      <c r="L1517" s="4">
        <f t="shared" si="23"/>
        <v>0</v>
      </c>
    </row>
    <row r="1518" spans="2:12" ht="23.25" hidden="1" customHeight="1" x14ac:dyDescent="0.25">
      <c r="B1518" s="4">
        <v>1513</v>
      </c>
      <c r="C1518" s="36" t="str">
        <f>IF(Order!$C$149="","",Order!$C$149)</f>
        <v>25312(25046)</v>
      </c>
      <c r="D1518" s="36">
        <f>IF($C1518="","",_xlfn.XLOOKUP($C1518,Order!$C:$C,Order!$D:$D,"",0,1))</f>
        <v>25312</v>
      </c>
      <c r="E1518" s="4" t="e" vm="337">
        <f>IF($C1518="","",_xlfn.XLOOKUP($C1518,Order!$C:$C,Order!$E:$E,"",0,1))</f>
        <v>#VALUE!</v>
      </c>
      <c r="F1518" s="4">
        <f>IF($C1518="","",_xlfn.XLOOKUP($C1518,Order!$C:$C,Order!$F:$F,"",0,1))</f>
        <v>6000</v>
      </c>
      <c r="G1518" s="4" t="str">
        <f>IF($C1518="","",_xlfn.XLOOKUP($C1518,Order!$C:$C,Order!$G:$G,"",0,1))</f>
        <v>6063T5</v>
      </c>
      <c r="H1518" s="4">
        <f>IF($C1518="","",_xlfn.XLOOKUP($C1518,Order!$C:$C,Order!$H:$H,"",0,1))</f>
        <v>0.316</v>
      </c>
      <c r="I1518" s="36">
        <f>IF($C1518="","",_xlfn.XLOOKUP($C1518,Order!$C:$C,Order!$M:$M,"",0,1))</f>
        <v>0</v>
      </c>
      <c r="J1518" s="4" t="str">
        <f>IF(C1518="","",Order!$M$16)</f>
        <v>BLACK ANODIZED (FAYP06)</v>
      </c>
      <c r="K1518" s="36">
        <f>IF($C1518="","",_xlfn.XLOOKUP($C1518,Order!$C:$C,Order!$P:$P,"",0,1))</f>
        <v>0</v>
      </c>
      <c r="L1518" s="4">
        <f t="shared" si="23"/>
        <v>0</v>
      </c>
    </row>
    <row r="1519" spans="2:12" ht="23.25" hidden="1" customHeight="1" x14ac:dyDescent="0.25">
      <c r="B1519" s="4">
        <v>1514</v>
      </c>
      <c r="C1519" s="36" t="str">
        <f>IF(Order!$C$150="","",Order!$C$150)</f>
        <v>25504L</v>
      </c>
      <c r="D1519" s="36" t="str">
        <f>IF($C1519="","",_xlfn.XLOOKUP($C1519,Order!$C:$C,Order!$D:$D,"",0,1))</f>
        <v>25504L</v>
      </c>
      <c r="E1519" s="4" t="e" vm="338">
        <f>IF($C1519="","",_xlfn.XLOOKUP($C1519,Order!$C:$C,Order!$E:$E,"",0,1))</f>
        <v>#VALUE!</v>
      </c>
      <c r="F1519" s="4">
        <f>IF($C1519="","",_xlfn.XLOOKUP($C1519,Order!$C:$C,Order!$F:$F,"",0,1))</f>
        <v>6000</v>
      </c>
      <c r="G1519" s="4" t="str">
        <f>IF($C1519="","",_xlfn.XLOOKUP($C1519,Order!$C:$C,Order!$G:$G,"",0,1))</f>
        <v>6063T5</v>
      </c>
      <c r="H1519" s="4">
        <f>IF($C1519="","",_xlfn.XLOOKUP($C1519,Order!$C:$C,Order!$H:$H,"",0,1))</f>
        <v>0.39200000000000002</v>
      </c>
      <c r="I1519" s="36">
        <f>IF($C1519="","",_xlfn.XLOOKUP($C1519,Order!$C:$C,Order!$M:$M,"",0,1))</f>
        <v>0</v>
      </c>
      <c r="J1519" s="4" t="str">
        <f>IF(C1519="","",Order!$M$16)</f>
        <v>BLACK ANODIZED (FAYP06)</v>
      </c>
      <c r="K1519" s="36">
        <f>IF($C1519="","",_xlfn.XLOOKUP($C1519,Order!$C:$C,Order!$P:$P,"",0,1))</f>
        <v>0</v>
      </c>
      <c r="L1519" s="4">
        <f t="shared" si="23"/>
        <v>0</v>
      </c>
    </row>
    <row r="1520" spans="2:12" ht="23.25" hidden="1" customHeight="1" x14ac:dyDescent="0.25">
      <c r="B1520" s="4">
        <v>1515</v>
      </c>
      <c r="C1520" s="36">
        <f>IF(Order!$C$151="","",Order!$C$151)</f>
        <v>25508</v>
      </c>
      <c r="D1520" s="36">
        <f>IF($C1520="","",_xlfn.XLOOKUP($C1520,Order!$C:$C,Order!$D:$D,"",0,1))</f>
        <v>25508</v>
      </c>
      <c r="E1520" s="4" t="e" vm="339">
        <f>IF($C1520="","",_xlfn.XLOOKUP($C1520,Order!$C:$C,Order!$E:$E,"",0,1))</f>
        <v>#VALUE!</v>
      </c>
      <c r="F1520" s="4">
        <f>IF($C1520="","",_xlfn.XLOOKUP($C1520,Order!$C:$C,Order!$F:$F,"",0,1))</f>
        <v>6000</v>
      </c>
      <c r="G1520" s="4" t="str">
        <f>IF($C1520="","",_xlfn.XLOOKUP($C1520,Order!$C:$C,Order!$G:$G,"",0,1))</f>
        <v>6063T5</v>
      </c>
      <c r="H1520" s="4">
        <f>IF($C1520="","",_xlfn.XLOOKUP($C1520,Order!$C:$C,Order!$H:$H,"",0,1))</f>
        <v>0.53300000000000003</v>
      </c>
      <c r="I1520" s="36">
        <f>IF($C1520="","",_xlfn.XLOOKUP($C1520,Order!$C:$C,Order!$M:$M,"",0,1))</f>
        <v>0</v>
      </c>
      <c r="J1520" s="4" t="str">
        <f>IF(C1520="","",Order!$M$16)</f>
        <v>BLACK ANODIZED (FAYP06)</v>
      </c>
      <c r="K1520" s="36">
        <f>IF($C1520="","",_xlfn.XLOOKUP($C1520,Order!$C:$C,Order!$P:$P,"",0,1))</f>
        <v>0</v>
      </c>
      <c r="L1520" s="4">
        <f t="shared" si="23"/>
        <v>0</v>
      </c>
    </row>
    <row r="1521" spans="2:12" ht="23.25" hidden="1" customHeight="1" x14ac:dyDescent="0.25">
      <c r="B1521" s="4">
        <v>1516</v>
      </c>
      <c r="C1521" s="36">
        <f>IF(Order!$C$152="","",Order!$C$152)</f>
        <v>25515</v>
      </c>
      <c r="D1521" s="36">
        <f>IF($C1521="","",_xlfn.XLOOKUP($C1521,Order!$C:$C,Order!$D:$D,"",0,1))</f>
        <v>25515</v>
      </c>
      <c r="E1521" s="4" t="e" vm="340">
        <f>IF($C1521="","",_xlfn.XLOOKUP($C1521,Order!$C:$C,Order!$E:$E,"",0,1))</f>
        <v>#VALUE!</v>
      </c>
      <c r="F1521" s="4">
        <f>IF($C1521="","",_xlfn.XLOOKUP($C1521,Order!$C:$C,Order!$F:$F,"",0,1))</f>
        <v>6000</v>
      </c>
      <c r="G1521" s="4" t="str">
        <f>IF($C1521="","",_xlfn.XLOOKUP($C1521,Order!$C:$C,Order!$G:$G,"",0,1))</f>
        <v>6063T5</v>
      </c>
      <c r="H1521" s="4">
        <f>IF($C1521="","",_xlfn.XLOOKUP($C1521,Order!$C:$C,Order!$H:$H,"",0,1))</f>
        <v>0.48399999999999999</v>
      </c>
      <c r="I1521" s="36">
        <f>IF($C1521="","",_xlfn.XLOOKUP($C1521,Order!$C:$C,Order!$M:$M,"",0,1))</f>
        <v>0</v>
      </c>
      <c r="J1521" s="4" t="str">
        <f>IF(C1521="","",Order!$M$16)</f>
        <v>BLACK ANODIZED (FAYP06)</v>
      </c>
      <c r="K1521" s="36">
        <f>IF($C1521="","",_xlfn.XLOOKUP($C1521,Order!$C:$C,Order!$P:$P,"",0,1))</f>
        <v>0</v>
      </c>
      <c r="L1521" s="4">
        <f t="shared" si="23"/>
        <v>0</v>
      </c>
    </row>
    <row r="1522" spans="2:12" ht="23.25" hidden="1" customHeight="1" x14ac:dyDescent="0.25">
      <c r="B1522" s="4">
        <v>1517</v>
      </c>
      <c r="C1522" s="36">
        <f>IF(Order!$C$153="","",Order!$C$153)</f>
        <v>25516</v>
      </c>
      <c r="D1522" s="36">
        <f>IF($C1522="","",_xlfn.XLOOKUP($C1522,Order!$C:$C,Order!$D:$D,"",0,1))</f>
        <v>25516</v>
      </c>
      <c r="E1522" s="4" t="e" vm="341">
        <f>IF($C1522="","",_xlfn.XLOOKUP($C1522,Order!$C:$C,Order!$E:$E,"",0,1))</f>
        <v>#VALUE!</v>
      </c>
      <c r="F1522" s="4">
        <f>IF($C1522="","",_xlfn.XLOOKUP($C1522,Order!$C:$C,Order!$F:$F,"",0,1))</f>
        <v>6000</v>
      </c>
      <c r="G1522" s="4" t="str">
        <f>IF($C1522="","",_xlfn.XLOOKUP($C1522,Order!$C:$C,Order!$G:$G,"",0,1))</f>
        <v>6063T5</v>
      </c>
      <c r="H1522" s="4">
        <f>IF($C1522="","",_xlfn.XLOOKUP($C1522,Order!$C:$C,Order!$H:$H,"",0,1))</f>
        <v>0.56000000000000005</v>
      </c>
      <c r="I1522" s="36">
        <f>IF($C1522="","",_xlfn.XLOOKUP($C1522,Order!$C:$C,Order!$M:$M,"",0,1))</f>
        <v>0</v>
      </c>
      <c r="J1522" s="4" t="str">
        <f>IF(C1522="","",Order!$M$16)</f>
        <v>BLACK ANODIZED (FAYP06)</v>
      </c>
      <c r="K1522" s="36">
        <f>IF($C1522="","",_xlfn.XLOOKUP($C1522,Order!$C:$C,Order!$P:$P,"",0,1))</f>
        <v>0</v>
      </c>
      <c r="L1522" s="4">
        <f t="shared" si="23"/>
        <v>0</v>
      </c>
    </row>
    <row r="1523" spans="2:12" ht="23.25" hidden="1" customHeight="1" x14ac:dyDescent="0.25">
      <c r="B1523" s="4">
        <v>1518</v>
      </c>
      <c r="C1523" s="36">
        <f>IF(Order!$C$154="","",Order!$C$154)</f>
        <v>25540</v>
      </c>
      <c r="D1523" s="36">
        <f>IF($C1523="","",_xlfn.XLOOKUP($C1523,Order!$C:$C,Order!$D:$D,"",0,1))</f>
        <v>25540</v>
      </c>
      <c r="E1523" s="4" t="e" vm="342">
        <f>IF($C1523="","",_xlfn.XLOOKUP($C1523,Order!$C:$C,Order!$E:$E,"",0,1))</f>
        <v>#VALUE!</v>
      </c>
      <c r="F1523" s="4">
        <f>IF($C1523="","",_xlfn.XLOOKUP($C1523,Order!$C:$C,Order!$F:$F,"",0,1))</f>
        <v>6000</v>
      </c>
      <c r="G1523" s="4" t="str">
        <f>IF($C1523="","",_xlfn.XLOOKUP($C1523,Order!$C:$C,Order!$G:$G,"",0,1))</f>
        <v>6063T5</v>
      </c>
      <c r="H1523" s="4">
        <f>IF($C1523="","",_xlfn.XLOOKUP($C1523,Order!$C:$C,Order!$H:$H,"",0,1))</f>
        <v>0.45</v>
      </c>
      <c r="I1523" s="36">
        <f>IF($C1523="","",_xlfn.XLOOKUP($C1523,Order!$C:$C,Order!$M:$M,"",0,1))</f>
        <v>0</v>
      </c>
      <c r="J1523" s="4" t="str">
        <f>IF(C1523="","",Order!$M$16)</f>
        <v>BLACK ANODIZED (FAYP06)</v>
      </c>
      <c r="K1523" s="36">
        <f>IF($C1523="","",_xlfn.XLOOKUP($C1523,Order!$C:$C,Order!$P:$P,"",0,1))</f>
        <v>0</v>
      </c>
      <c r="L1523" s="4">
        <f t="shared" si="23"/>
        <v>0</v>
      </c>
    </row>
    <row r="1524" spans="2:12" ht="23.25" hidden="1" customHeight="1" x14ac:dyDescent="0.25">
      <c r="B1524" s="4">
        <v>1519</v>
      </c>
      <c r="C1524" s="36">
        <f>IF(Order!$C$155="","",Order!$C$155)</f>
        <v>25542</v>
      </c>
      <c r="D1524" s="36">
        <f>IF($C1524="","",_xlfn.XLOOKUP($C1524,Order!$C:$C,Order!$D:$D,"",0,1))</f>
        <v>25542</v>
      </c>
      <c r="E1524" s="4" t="e" vm="343">
        <f>IF($C1524="","",_xlfn.XLOOKUP($C1524,Order!$C:$C,Order!$E:$E,"",0,1))</f>
        <v>#VALUE!</v>
      </c>
      <c r="F1524" s="4">
        <f>IF($C1524="","",_xlfn.XLOOKUP($C1524,Order!$C:$C,Order!$F:$F,"",0,1))</f>
        <v>6000</v>
      </c>
      <c r="G1524" s="4" t="str">
        <f>IF($C1524="","",_xlfn.XLOOKUP($C1524,Order!$C:$C,Order!$G:$G,"",0,1))</f>
        <v>6063T5</v>
      </c>
      <c r="H1524" s="4">
        <f>IF($C1524="","",_xlfn.XLOOKUP($C1524,Order!$C:$C,Order!$H:$H,"",0,1))</f>
        <v>0.54200000000000004</v>
      </c>
      <c r="I1524" s="36">
        <f>IF($C1524="","",_xlfn.XLOOKUP($C1524,Order!$C:$C,Order!$M:$M,"",0,1))</f>
        <v>0</v>
      </c>
      <c r="J1524" s="4" t="str">
        <f>IF(C1524="","",Order!$M$16)</f>
        <v>BLACK ANODIZED (FAYP06)</v>
      </c>
      <c r="K1524" s="36">
        <f>IF($C1524="","",_xlfn.XLOOKUP($C1524,Order!$C:$C,Order!$P:$P,"",0,1))</f>
        <v>0</v>
      </c>
      <c r="L1524" s="4">
        <f t="shared" si="23"/>
        <v>0</v>
      </c>
    </row>
    <row r="1525" spans="2:12" ht="23.25" hidden="1" customHeight="1" x14ac:dyDescent="0.25">
      <c r="B1525" s="4">
        <v>1520</v>
      </c>
      <c r="C1525" s="36" t="str">
        <f>IF(Order!$C$156="","",Order!$C$156)</f>
        <v>VZ024L</v>
      </c>
      <c r="D1525" s="36" t="str">
        <f>IF($C1525="","",_xlfn.XLOOKUP($C1525,Order!$C:$C,Order!$D:$D,"",0,1))</f>
        <v>VZ024L</v>
      </c>
      <c r="E1525" s="4" t="e" vm="344">
        <f>IF($C1525="","",_xlfn.XLOOKUP($C1525,Order!$C:$C,Order!$E:$E,"",0,1))</f>
        <v>#VALUE!</v>
      </c>
      <c r="F1525" s="4">
        <f>IF($C1525="","",_xlfn.XLOOKUP($C1525,Order!$C:$C,Order!$F:$F,"",0,1))</f>
        <v>6000</v>
      </c>
      <c r="G1525" s="4" t="str">
        <f>IF($C1525="","",_xlfn.XLOOKUP($C1525,Order!$C:$C,Order!$G:$G,"",0,1))</f>
        <v>6063T5</v>
      </c>
      <c r="H1525" s="4">
        <f>IF($C1525="","",_xlfn.XLOOKUP($C1525,Order!$C:$C,Order!$H:$H,"",0,1))</f>
        <v>0.19800000000000001</v>
      </c>
      <c r="I1525" s="36">
        <f>IF($C1525="","",_xlfn.XLOOKUP($C1525,Order!$C:$C,Order!$M:$M,"",0,1))</f>
        <v>0</v>
      </c>
      <c r="J1525" s="4" t="str">
        <f>IF(C1525="","",Order!$M$16)</f>
        <v>BLACK ANODIZED (FAYP06)</v>
      </c>
      <c r="K1525" s="36">
        <f>IF($C1525="","",_xlfn.XLOOKUP($C1525,Order!$C:$C,Order!$P:$P,"",0,1))</f>
        <v>0</v>
      </c>
      <c r="L1525" s="4">
        <f t="shared" si="23"/>
        <v>0</v>
      </c>
    </row>
    <row r="1526" spans="2:12" ht="23.25" hidden="1" customHeight="1" x14ac:dyDescent="0.25">
      <c r="B1526" s="4">
        <v>1521</v>
      </c>
      <c r="C1526" s="36" t="str">
        <f>IF(Order!$C$157="","",Order!$C$157)</f>
        <v/>
      </c>
      <c r="D1526" s="36" t="str">
        <f>IF($C1526="","",_xlfn.XLOOKUP($C1526,Order!$C:$C,Order!$D:$D,"",0,1))</f>
        <v/>
      </c>
      <c r="E1526" s="4" t="str">
        <f>IF($C1526="","",_xlfn.XLOOKUP($C1526,Order!$C:$C,Order!$E:$E,"",0,1))</f>
        <v/>
      </c>
      <c r="F1526" s="4" t="str">
        <f>IF($C1526="","",_xlfn.XLOOKUP($C1526,Order!$C:$C,Order!$F:$F,"",0,1))</f>
        <v/>
      </c>
      <c r="G1526" s="4" t="str">
        <f>IF($C1526="","",_xlfn.XLOOKUP($C1526,Order!$C:$C,Order!$G:$G,"",0,1))</f>
        <v/>
      </c>
      <c r="H1526" s="4" t="str">
        <f>IF($C1526="","",_xlfn.XLOOKUP($C1526,Order!$C:$C,Order!$H:$H,"",0,1))</f>
        <v/>
      </c>
      <c r="I1526" s="36" t="str">
        <f>IF($C1526="","",_xlfn.XLOOKUP($C1526,Order!$C:$C,Order!$M:$M,"",0,1))</f>
        <v/>
      </c>
      <c r="J1526" s="4" t="str">
        <f>IF(C1526="","",Order!$M$16)</f>
        <v/>
      </c>
      <c r="K1526" s="36" t="str">
        <f>IF($C1526="","",_xlfn.XLOOKUP($C1526,Order!$C:$C,Order!$P:$P,"",0,1))</f>
        <v/>
      </c>
      <c r="L1526" s="4" t="str">
        <f t="shared" si="23"/>
        <v/>
      </c>
    </row>
    <row r="1527" spans="2:12" ht="23.25" hidden="1" customHeight="1" x14ac:dyDescent="0.25">
      <c r="B1527" s="4">
        <v>1522</v>
      </c>
      <c r="C1527" s="36" t="str">
        <f>IF(Order!$C$158="","",Order!$C$158)</f>
        <v>VZ060L</v>
      </c>
      <c r="D1527" s="36" t="str">
        <f>IF($C1527="","",_xlfn.XLOOKUP($C1527,Order!$C:$C,Order!$D:$D,"",0,1))</f>
        <v>VZ060L</v>
      </c>
      <c r="E1527" s="4" t="e" vm="345">
        <f>IF($C1527="","",_xlfn.XLOOKUP($C1527,Order!$C:$C,Order!$E:$E,"",0,1))</f>
        <v>#VALUE!</v>
      </c>
      <c r="F1527" s="4">
        <f>IF($C1527="","",_xlfn.XLOOKUP($C1527,Order!$C:$C,Order!$F:$F,"",0,1))</f>
        <v>6000</v>
      </c>
      <c r="G1527" s="4" t="str">
        <f>IF($C1527="","",_xlfn.XLOOKUP($C1527,Order!$C:$C,Order!$G:$G,"",0,1))</f>
        <v>6063T5</v>
      </c>
      <c r="H1527" s="4">
        <f>IF($C1527="","",_xlfn.XLOOKUP($C1527,Order!$C:$C,Order!$H:$H,"",0,1))</f>
        <v>0.28799999999999998</v>
      </c>
      <c r="I1527" s="36">
        <f>IF($C1527="","",_xlfn.XLOOKUP($C1527,Order!$C:$C,Order!$M:$M,"",0,1))</f>
        <v>0</v>
      </c>
      <c r="J1527" s="4" t="str">
        <f>IF(C1527="","",Order!$M$16)</f>
        <v>BLACK ANODIZED (FAYP06)</v>
      </c>
      <c r="K1527" s="36">
        <f>IF($C1527="","",_xlfn.XLOOKUP($C1527,Order!$C:$C,Order!$P:$P,"",0,1))</f>
        <v>0</v>
      </c>
      <c r="L1527" s="4">
        <f t="shared" si="23"/>
        <v>0</v>
      </c>
    </row>
    <row r="1528" spans="2:12" ht="23.25" hidden="1" customHeight="1" x14ac:dyDescent="0.25">
      <c r="B1528" s="4">
        <v>1523</v>
      </c>
      <c r="C1528" s="36" t="str">
        <f>IF(Order!$C$159="","",Order!$C$159)</f>
        <v>VZ201</v>
      </c>
      <c r="D1528" s="36" t="str">
        <f>IF($C1528="","",_xlfn.XLOOKUP($C1528,Order!$C:$C,Order!$D:$D,"",0,1))</f>
        <v>VZ201</v>
      </c>
      <c r="E1528" s="4" t="e" vm="346">
        <f>IF($C1528="","",_xlfn.XLOOKUP($C1528,Order!$C:$C,Order!$E:$E,"",0,1))</f>
        <v>#VALUE!</v>
      </c>
      <c r="F1528" s="4">
        <f>IF($C1528="","",_xlfn.XLOOKUP($C1528,Order!$C:$C,Order!$F:$F,"",0,1))</f>
        <v>6000</v>
      </c>
      <c r="G1528" s="4" t="str">
        <f>IF($C1528="","",_xlfn.XLOOKUP($C1528,Order!$C:$C,Order!$G:$G,"",0,1))</f>
        <v>6063T5</v>
      </c>
      <c r="H1528" s="4">
        <f>IF($C1528="","",_xlfn.XLOOKUP($C1528,Order!$C:$C,Order!$H:$H,"",0,1))</f>
        <v>0.21</v>
      </c>
      <c r="I1528" s="36">
        <f>IF($C1528="","",_xlfn.XLOOKUP($C1528,Order!$C:$C,Order!$M:$M,"",0,1))</f>
        <v>0</v>
      </c>
      <c r="J1528" s="4" t="str">
        <f>IF(C1528="","",Order!$M$16)</f>
        <v>BLACK ANODIZED (FAYP06)</v>
      </c>
      <c r="K1528" s="36">
        <f>IF($C1528="","",_xlfn.XLOOKUP($C1528,Order!$C:$C,Order!$P:$P,"",0,1))</f>
        <v>0</v>
      </c>
      <c r="L1528" s="4">
        <f t="shared" si="23"/>
        <v>0</v>
      </c>
    </row>
    <row r="1529" spans="2:12" ht="23.25" hidden="1" customHeight="1" x14ac:dyDescent="0.25">
      <c r="B1529" s="4">
        <v>1524</v>
      </c>
      <c r="C1529" s="36" t="str">
        <f>IF(Order!$C$160="","",Order!$C$160)</f>
        <v/>
      </c>
      <c r="D1529" s="36" t="str">
        <f>IF($C1529="","",_xlfn.XLOOKUP($C1529,Order!$C:$C,Order!$D:$D,"",0,1))</f>
        <v/>
      </c>
      <c r="E1529" s="4" t="str">
        <f>IF($C1529="","",_xlfn.XLOOKUP($C1529,Order!$C:$C,Order!$E:$E,"",0,1))</f>
        <v/>
      </c>
      <c r="F1529" s="4" t="str">
        <f>IF($C1529="","",_xlfn.XLOOKUP($C1529,Order!$C:$C,Order!$F:$F,"",0,1))</f>
        <v/>
      </c>
      <c r="G1529" s="4" t="str">
        <f>IF($C1529="","",_xlfn.XLOOKUP($C1529,Order!$C:$C,Order!$G:$G,"",0,1))</f>
        <v/>
      </c>
      <c r="H1529" s="4" t="str">
        <f>IF($C1529="","",_xlfn.XLOOKUP($C1529,Order!$C:$C,Order!$H:$H,"",0,1))</f>
        <v/>
      </c>
      <c r="I1529" s="36" t="str">
        <f>IF($C1529="","",_xlfn.XLOOKUP($C1529,Order!$C:$C,Order!$M:$M,"",0,1))</f>
        <v/>
      </c>
      <c r="J1529" s="4" t="str">
        <f>IF(C1529="","",Order!$M$16)</f>
        <v/>
      </c>
      <c r="K1529" s="36" t="str">
        <f>IF($C1529="","",_xlfn.XLOOKUP($C1529,Order!$C:$C,Order!$P:$P,"",0,1))</f>
        <v/>
      </c>
      <c r="L1529" s="4" t="str">
        <f t="shared" si="23"/>
        <v/>
      </c>
    </row>
    <row r="1530" spans="2:12" ht="23.25" hidden="1" customHeight="1" x14ac:dyDescent="0.25">
      <c r="B1530" s="4">
        <v>1525</v>
      </c>
      <c r="C1530" s="36" t="str">
        <f>IF(Order!$C$161="","",Order!$C$161)</f>
        <v xml:space="preserve">BX828 </v>
      </c>
      <c r="D1530" s="36" t="str">
        <f>IF($C1530="","",_xlfn.XLOOKUP($C1530,Order!$C:$C,Order!$D:$D,"",0,1))</f>
        <v>BX828</v>
      </c>
      <c r="E1530" s="4" t="e" vm="347">
        <f>IF($C1530="","",_xlfn.XLOOKUP($C1530,Order!$C:$C,Order!$E:$E,"",0,1))</f>
        <v>#VALUE!</v>
      </c>
      <c r="F1530" s="4">
        <f>IF($C1530="","",_xlfn.XLOOKUP($C1530,Order!$C:$C,Order!$F:$F,"",0,1))</f>
        <v>6000</v>
      </c>
      <c r="G1530" s="4" t="str">
        <f>IF($C1530="","",_xlfn.XLOOKUP($C1530,Order!$C:$C,Order!$G:$G,"",0,1))</f>
        <v>6063T5</v>
      </c>
      <c r="H1530" s="4">
        <f>IF($C1530="","",_xlfn.XLOOKUP($C1530,Order!$C:$C,Order!$H:$H,"",0,1))</f>
        <v>0</v>
      </c>
      <c r="I1530" s="36">
        <f>IF($C1530="","",_xlfn.XLOOKUP($C1530,Order!$C:$C,Order!$M:$M,"",0,1))</f>
        <v>0</v>
      </c>
      <c r="J1530" s="4" t="str">
        <f>IF(C1530="","",Order!$M$16)</f>
        <v>BLACK ANODIZED (FAYP06)</v>
      </c>
      <c r="K1530" s="36">
        <f>IF($C1530="","",_xlfn.XLOOKUP($C1530,Order!$C:$C,Order!$P:$P,"",0,1))</f>
        <v>0</v>
      </c>
      <c r="L1530" s="4">
        <f t="shared" si="23"/>
        <v>0</v>
      </c>
    </row>
    <row r="1531" spans="2:12" ht="23.25" hidden="1" customHeight="1" x14ac:dyDescent="0.25">
      <c r="B1531" s="4">
        <v>1526</v>
      </c>
      <c r="C1531" s="36">
        <f>IF(Order!$C$162="","",Order!$C$162)</f>
        <v>30044</v>
      </c>
      <c r="D1531" s="36">
        <f>IF($C1531="","",_xlfn.XLOOKUP($C1531,Order!$C:$C,Order!$D:$D,"",0,1))</f>
        <v>30044</v>
      </c>
      <c r="E1531" s="4" t="e" vm="348">
        <f>IF($C1531="","",_xlfn.XLOOKUP($C1531,Order!$C:$C,Order!$E:$E,"",0,1))</f>
        <v>#VALUE!</v>
      </c>
      <c r="F1531" s="4">
        <f>IF($C1531="","",_xlfn.XLOOKUP($C1531,Order!$C:$C,Order!$F:$F,"",0,1))</f>
        <v>6000</v>
      </c>
      <c r="G1531" s="4" t="str">
        <f>IF($C1531="","",_xlfn.XLOOKUP($C1531,Order!$C:$C,Order!$G:$G,"",0,1))</f>
        <v>6063T5</v>
      </c>
      <c r="H1531" s="4">
        <f>IF($C1531="","",_xlfn.XLOOKUP($C1531,Order!$C:$C,Order!$H:$H,"",0,1))</f>
        <v>0.22600000000000001</v>
      </c>
      <c r="I1531" s="36">
        <f>IF($C1531="","",_xlfn.XLOOKUP($C1531,Order!$C:$C,Order!$M:$M,"",0,1))</f>
        <v>0</v>
      </c>
      <c r="J1531" s="4" t="str">
        <f>IF(C1531="","",Order!$M$16)</f>
        <v>BLACK ANODIZED (FAYP06)</v>
      </c>
      <c r="K1531" s="36">
        <f>IF($C1531="","",_xlfn.XLOOKUP($C1531,Order!$C:$C,Order!$P:$P,"",0,1))</f>
        <v>0</v>
      </c>
      <c r="L1531" s="4">
        <f t="shared" si="23"/>
        <v>0</v>
      </c>
    </row>
    <row r="1532" spans="2:12" ht="23.25" customHeight="1" x14ac:dyDescent="0.25">
      <c r="B1532" s="4">
        <v>1527</v>
      </c>
      <c r="C1532" s="36" t="str">
        <f>IF(Order!$C$163="","",Order!$C$163)</f>
        <v>AF180U</v>
      </c>
      <c r="D1532" s="36" t="str">
        <f>IF($C1532="","",_xlfn.XLOOKUP($C1532,Order!$C:$C,Order!$D:$D,"",0,1))</f>
        <v>AF180U</v>
      </c>
      <c r="E1532" s="4" t="e" vm="349">
        <f>IF($C1532="","",_xlfn.XLOOKUP($C1532,Order!$C:$C,Order!$E:$E,"",0,1))</f>
        <v>#VALUE!</v>
      </c>
      <c r="F1532" s="4">
        <f>IF($C1532="","",_xlfn.XLOOKUP($C1532,Order!$C:$C,Order!$F:$F,"",0,1))</f>
        <v>6000</v>
      </c>
      <c r="G1532" s="4" t="str">
        <f>IF($C1532="","",_xlfn.XLOOKUP($C1532,Order!$C:$C,Order!$G:$G,"",0,1))</f>
        <v>6063T5</v>
      </c>
      <c r="H1532" s="4">
        <f>IF($C1532="","",_xlfn.XLOOKUP($C1532,Order!$C:$C,Order!$H:$H,"",0,1))</f>
        <v>0.64200000000000002</v>
      </c>
      <c r="I1532" s="36">
        <f>IF($C1532="","",_xlfn.XLOOKUP($C1532,Order!$C:$C,Order!$M:$M,"",0,1))</f>
        <v>50</v>
      </c>
      <c r="J1532" s="4" t="str">
        <f>IF(C1532="","",Order!$M$16)</f>
        <v>BLACK ANODIZED (FAYP06)</v>
      </c>
      <c r="K1532" s="36">
        <f>IF($C1532="","",_xlfn.XLOOKUP($C1532,Order!$C:$C,Order!$P:$P,"",0,1))</f>
        <v>0</v>
      </c>
      <c r="L1532" s="4">
        <f t="shared" si="23"/>
        <v>192.60000000000002</v>
      </c>
    </row>
    <row r="1533" spans="2:12" ht="23.25" hidden="1" customHeight="1" x14ac:dyDescent="0.25">
      <c r="B1533" s="4">
        <v>1528</v>
      </c>
      <c r="C1533" s="36" t="str">
        <f>IF(Order!$C$164="","",Order!$C$164)</f>
        <v>BX627</v>
      </c>
      <c r="D1533" s="36" t="str">
        <f>IF($C1533="","",_xlfn.XLOOKUP($C1533,Order!$C:$C,Order!$D:$D,"",0,1))</f>
        <v>BX627</v>
      </c>
      <c r="E1533" s="4" t="e" vm="350">
        <f>IF($C1533="","",_xlfn.XLOOKUP($C1533,Order!$C:$C,Order!$E:$E,"",0,1))</f>
        <v>#VALUE!</v>
      </c>
      <c r="F1533" s="4">
        <f>IF($C1533="","",_xlfn.XLOOKUP($C1533,Order!$C:$C,Order!$F:$F,"",0,1))</f>
        <v>6000</v>
      </c>
      <c r="G1533" s="4" t="str">
        <f>IF($C1533="","",_xlfn.XLOOKUP($C1533,Order!$C:$C,Order!$G:$G,"",0,1))</f>
        <v>6063T5</v>
      </c>
      <c r="H1533" s="4">
        <f>IF($C1533="","",_xlfn.XLOOKUP($C1533,Order!$C:$C,Order!$H:$H,"",0,1))</f>
        <v>0.44800000000000001</v>
      </c>
      <c r="I1533" s="36">
        <f>IF($C1533="","",_xlfn.XLOOKUP($C1533,Order!$C:$C,Order!$M:$M,"",0,1))</f>
        <v>0</v>
      </c>
      <c r="J1533" s="4" t="str">
        <f>IF(C1533="","",Order!$M$16)</f>
        <v>BLACK ANODIZED (FAYP06)</v>
      </c>
      <c r="K1533" s="36">
        <f>IF($C1533="","",_xlfn.XLOOKUP($C1533,Order!$C:$C,Order!$P:$P,"",0,1))</f>
        <v>0</v>
      </c>
      <c r="L1533" s="4">
        <f t="shared" si="23"/>
        <v>0</v>
      </c>
    </row>
    <row r="1534" spans="2:12" ht="23.25" hidden="1" customHeight="1" x14ac:dyDescent="0.25">
      <c r="B1534" s="4">
        <v>1529</v>
      </c>
      <c r="C1534" s="36" t="str">
        <f>IF(Order!$C$165="","",Order!$C$165)</f>
        <v>BX812</v>
      </c>
      <c r="D1534" s="36" t="str">
        <f>IF($C1534="","",_xlfn.XLOOKUP($C1534,Order!$C:$C,Order!$D:$D,"",0,1))</f>
        <v>BX812</v>
      </c>
      <c r="E1534" s="4" t="e" vm="351">
        <f>IF($C1534="","",_xlfn.XLOOKUP($C1534,Order!$C:$C,Order!$E:$E,"",0,1))</f>
        <v>#VALUE!</v>
      </c>
      <c r="F1534" s="4">
        <f>IF($C1534="","",_xlfn.XLOOKUP($C1534,Order!$C:$C,Order!$F:$F,"",0,1))</f>
        <v>6000</v>
      </c>
      <c r="G1534" s="4" t="str">
        <f>IF($C1534="","",_xlfn.XLOOKUP($C1534,Order!$C:$C,Order!$G:$G,"",0,1))</f>
        <v>6063T5</v>
      </c>
      <c r="H1534" s="4">
        <f>IF($C1534="","",_xlfn.XLOOKUP($C1534,Order!$C:$C,Order!$H:$H,"",0,1))</f>
        <v>1.373</v>
      </c>
      <c r="I1534" s="36">
        <f>IF($C1534="","",_xlfn.XLOOKUP($C1534,Order!$C:$C,Order!$M:$M,"",0,1))</f>
        <v>0</v>
      </c>
      <c r="J1534" s="4" t="str">
        <f>IF(C1534="","",Order!$M$16)</f>
        <v>BLACK ANODIZED (FAYP06)</v>
      </c>
      <c r="K1534" s="36">
        <f>IF($C1534="","",_xlfn.XLOOKUP($C1534,Order!$C:$C,Order!$P:$P,"",0,1))</f>
        <v>0</v>
      </c>
      <c r="L1534" s="4">
        <f t="shared" si="23"/>
        <v>0</v>
      </c>
    </row>
    <row r="1535" spans="2:12" ht="23.25" hidden="1" customHeight="1" x14ac:dyDescent="0.25">
      <c r="B1535" s="4">
        <v>1530</v>
      </c>
      <c r="C1535" s="36">
        <f>IF(Order!$C$166="","",Order!$C$166)</f>
        <v>25517</v>
      </c>
      <c r="D1535" s="36">
        <f>IF($C1535="","",_xlfn.XLOOKUP($C1535,Order!$C:$C,Order!$D:$D,"",0,1))</f>
        <v>25517</v>
      </c>
      <c r="E1535" s="4" t="e" vm="352">
        <f>IF($C1535="","",_xlfn.XLOOKUP($C1535,Order!$C:$C,Order!$E:$E,"",0,1))</f>
        <v>#VALUE!</v>
      </c>
      <c r="F1535" s="4">
        <f>IF($C1535="","",_xlfn.XLOOKUP($C1535,Order!$C:$C,Order!$F:$F,"",0,1))</f>
        <v>6000</v>
      </c>
      <c r="G1535" s="4" t="str">
        <f>IF($C1535="","",_xlfn.XLOOKUP($C1535,Order!$C:$C,Order!$G:$G,"",0,1))</f>
        <v>6063T5</v>
      </c>
      <c r="H1535" s="4">
        <f>IF($C1535="","",_xlfn.XLOOKUP($C1535,Order!$C:$C,Order!$H:$H,"",0,1))</f>
        <v>0.39200000000000002</v>
      </c>
      <c r="I1535" s="36">
        <f>IF($C1535="","",_xlfn.XLOOKUP($C1535,Order!$C:$C,Order!$M:$M,"",0,1))</f>
        <v>0</v>
      </c>
      <c r="J1535" s="4" t="str">
        <f>IF(C1535="","",Order!$M$16)</f>
        <v>BLACK ANODIZED (FAYP06)</v>
      </c>
      <c r="K1535" s="36">
        <f>IF($C1535="","",_xlfn.XLOOKUP($C1535,Order!$C:$C,Order!$P:$P,"",0,1))</f>
        <v>0</v>
      </c>
      <c r="L1535" s="4">
        <f t="shared" si="23"/>
        <v>0</v>
      </c>
    </row>
    <row r="1536" spans="2:12" ht="23.25" hidden="1" customHeight="1" x14ac:dyDescent="0.25">
      <c r="B1536" s="4">
        <v>1531</v>
      </c>
      <c r="C1536" s="36" t="str">
        <f>IF(Order!$C$167="","",Order!$C$167)</f>
        <v>25517A</v>
      </c>
      <c r="D1536" s="36" t="str">
        <f>IF($C1536="","",_xlfn.XLOOKUP($C1536,Order!$C:$C,Order!$D:$D,"",0,1))</f>
        <v>25517A</v>
      </c>
      <c r="E1536" s="4" t="e" vm="352">
        <f>IF($C1536="","",_xlfn.XLOOKUP($C1536,Order!$C:$C,Order!$E:$E,"",0,1))</f>
        <v>#VALUE!</v>
      </c>
      <c r="F1536" s="4">
        <f>IF($C1536="","",_xlfn.XLOOKUP($C1536,Order!$C:$C,Order!$F:$F,"",0,1))</f>
        <v>6000</v>
      </c>
      <c r="G1536" s="4" t="str">
        <f>IF($C1536="","",_xlfn.XLOOKUP($C1536,Order!$C:$C,Order!$G:$G,"",0,1))</f>
        <v>6063T5</v>
      </c>
      <c r="H1536" s="4">
        <f>IF($C1536="","",_xlfn.XLOOKUP($C1536,Order!$C:$C,Order!$H:$H,"",0,1))</f>
        <v>0.36</v>
      </c>
      <c r="I1536" s="36">
        <f>IF($C1536="","",_xlfn.XLOOKUP($C1536,Order!$C:$C,Order!$M:$M,"",0,1))</f>
        <v>0</v>
      </c>
      <c r="J1536" s="4" t="str">
        <f>IF(C1536="","",Order!$M$16)</f>
        <v>BLACK ANODIZED (FAYP06)</v>
      </c>
      <c r="K1536" s="36">
        <f>IF($C1536="","",_xlfn.XLOOKUP($C1536,Order!$C:$C,Order!$P:$P,"",0,1))</f>
        <v>0</v>
      </c>
      <c r="L1536" s="4">
        <f t="shared" si="23"/>
        <v>0</v>
      </c>
    </row>
    <row r="1537" spans="2:12" ht="23.25" hidden="1" customHeight="1" x14ac:dyDescent="0.25">
      <c r="B1537" s="4">
        <v>1532</v>
      </c>
      <c r="C1537" s="36">
        <f>IF(Order!$C$168="","",Order!$C$168)</f>
        <v>25518</v>
      </c>
      <c r="D1537" s="36">
        <f>IF($C1537="","",_xlfn.XLOOKUP($C1537,Order!$C:$C,Order!$D:$D,"",0,1))</f>
        <v>25518</v>
      </c>
      <c r="E1537" s="4" t="e" vm="353">
        <f>IF($C1537="","",_xlfn.XLOOKUP($C1537,Order!$C:$C,Order!$E:$E,"",0,1))</f>
        <v>#VALUE!</v>
      </c>
      <c r="F1537" s="4">
        <f>IF($C1537="","",_xlfn.XLOOKUP($C1537,Order!$C:$C,Order!$F:$F,"",0,1))</f>
        <v>6000</v>
      </c>
      <c r="G1537" s="4" t="str">
        <f>IF($C1537="","",_xlfn.XLOOKUP($C1537,Order!$C:$C,Order!$G:$G,"",0,1))</f>
        <v>6063T5</v>
      </c>
      <c r="H1537" s="4">
        <f>IF($C1537="","",_xlfn.XLOOKUP($C1537,Order!$C:$C,Order!$H:$H,"",0,1))</f>
        <v>0.36299999999999999</v>
      </c>
      <c r="I1537" s="36">
        <f>IF($C1537="","",_xlfn.XLOOKUP($C1537,Order!$C:$C,Order!$M:$M,"",0,1))</f>
        <v>0</v>
      </c>
      <c r="J1537" s="4" t="str">
        <f>IF(C1537="","",Order!$M$16)</f>
        <v>BLACK ANODIZED (FAYP06)</v>
      </c>
      <c r="K1537" s="36">
        <f>IF($C1537="","",_xlfn.XLOOKUP($C1537,Order!$C:$C,Order!$P:$P,"",0,1))</f>
        <v>0</v>
      </c>
      <c r="L1537" s="4">
        <f t="shared" si="23"/>
        <v>0</v>
      </c>
    </row>
    <row r="1538" spans="2:12" ht="23.25" hidden="1" customHeight="1" x14ac:dyDescent="0.25">
      <c r="B1538" s="4">
        <v>1533</v>
      </c>
      <c r="C1538" s="36">
        <f>IF(Order!$C$169="","",Order!$C$169)</f>
        <v>25520</v>
      </c>
      <c r="D1538" s="36">
        <f>IF($C1538="","",_xlfn.XLOOKUP($C1538,Order!$C:$C,Order!$D:$D,"",0,1))</f>
        <v>25520</v>
      </c>
      <c r="E1538" s="4" t="e" vm="354">
        <f>IF($C1538="","",_xlfn.XLOOKUP($C1538,Order!$C:$C,Order!$E:$E,"",0,1))</f>
        <v>#VALUE!</v>
      </c>
      <c r="F1538" s="4">
        <f>IF($C1538="","",_xlfn.XLOOKUP($C1538,Order!$C:$C,Order!$F:$F,"",0,1))</f>
        <v>6000</v>
      </c>
      <c r="G1538" s="4" t="str">
        <f>IF($C1538="","",_xlfn.XLOOKUP($C1538,Order!$C:$C,Order!$G:$G,"",0,1))</f>
        <v>6063T5</v>
      </c>
      <c r="H1538" s="4">
        <f>IF($C1538="","",_xlfn.XLOOKUP($C1538,Order!$C:$C,Order!$H:$H,"",0,1))</f>
        <v>0.373</v>
      </c>
      <c r="I1538" s="36">
        <f>IF($C1538="","",_xlfn.XLOOKUP($C1538,Order!$C:$C,Order!$M:$M,"",0,1))</f>
        <v>0</v>
      </c>
      <c r="J1538" s="4" t="str">
        <f>IF(C1538="","",Order!$M$16)</f>
        <v>BLACK ANODIZED (FAYP06)</v>
      </c>
      <c r="K1538" s="36">
        <f>IF($C1538="","",_xlfn.XLOOKUP($C1538,Order!$C:$C,Order!$P:$P,"",0,1))</f>
        <v>0</v>
      </c>
      <c r="L1538" s="4">
        <f t="shared" si="23"/>
        <v>0</v>
      </c>
    </row>
    <row r="1539" spans="2:12" ht="23.25" hidden="1" customHeight="1" x14ac:dyDescent="0.25">
      <c r="B1539" s="4">
        <v>1534</v>
      </c>
      <c r="C1539" s="36">
        <f>IF(Order!$C$170="","",Order!$C$170)</f>
        <v>25617</v>
      </c>
      <c r="D1539" s="36">
        <f>IF($C1539="","",_xlfn.XLOOKUP($C1539,Order!$C:$C,Order!$D:$D,"",0,1))</f>
        <v>25617</v>
      </c>
      <c r="E1539" s="4" t="e" vm="355">
        <f>IF($C1539="","",_xlfn.XLOOKUP($C1539,Order!$C:$C,Order!$E:$E,"",0,1))</f>
        <v>#VALUE!</v>
      </c>
      <c r="F1539" s="4">
        <f>IF($C1539="","",_xlfn.XLOOKUP($C1539,Order!$C:$C,Order!$F:$F,"",0,1))</f>
        <v>6000</v>
      </c>
      <c r="G1539" s="4" t="str">
        <f>IF($C1539="","",_xlfn.XLOOKUP($C1539,Order!$C:$C,Order!$G:$G,"",0,1))</f>
        <v>6063T5</v>
      </c>
      <c r="H1539" s="4">
        <f>IF($C1539="","",_xlfn.XLOOKUP($C1539,Order!$C:$C,Order!$H:$H,"",0,1))</f>
        <v>0.373</v>
      </c>
      <c r="I1539" s="36">
        <f>IF($C1539="","",_xlfn.XLOOKUP($C1539,Order!$C:$C,Order!$M:$M,"",0,1))</f>
        <v>0</v>
      </c>
      <c r="J1539" s="4" t="str">
        <f>IF(C1539="","",Order!$M$16)</f>
        <v>BLACK ANODIZED (FAYP06)</v>
      </c>
      <c r="K1539" s="36">
        <f>IF($C1539="","",_xlfn.XLOOKUP($C1539,Order!$C:$C,Order!$P:$P,"",0,1))</f>
        <v>0</v>
      </c>
      <c r="L1539" s="4">
        <f t="shared" si="23"/>
        <v>0</v>
      </c>
    </row>
    <row r="1540" spans="2:12" ht="23.25" hidden="1" customHeight="1" x14ac:dyDescent="0.25">
      <c r="B1540" s="4">
        <v>1535</v>
      </c>
      <c r="C1540" s="36" t="str">
        <f>IF(Order!$C$171="","",Order!$C$171)</f>
        <v>TB600</v>
      </c>
      <c r="D1540" s="36" t="str">
        <f>IF($C1540="","",_xlfn.XLOOKUP($C1540,Order!$C:$C,Order!$D:$D,"",0,1))</f>
        <v>TB600</v>
      </c>
      <c r="E1540" s="4" t="e" vm="356">
        <f>IF($C1540="","",_xlfn.XLOOKUP($C1540,Order!$C:$C,Order!$E:$E,"",0,1))</f>
        <v>#VALUE!</v>
      </c>
      <c r="F1540" s="4">
        <f>IF($C1540="","",_xlfn.XLOOKUP($C1540,Order!$C:$C,Order!$F:$F,"",0,1))</f>
        <v>6000</v>
      </c>
      <c r="G1540" s="4" t="str">
        <f>IF($C1540="","",_xlfn.XLOOKUP($C1540,Order!$C:$C,Order!$G:$G,"",0,1))</f>
        <v>6063T5</v>
      </c>
      <c r="H1540" s="4">
        <f>IF($C1540="","",_xlfn.XLOOKUP($C1540,Order!$C:$C,Order!$H:$H,"",0,1))</f>
        <v>0.73099999999999998</v>
      </c>
      <c r="I1540" s="36">
        <f>IF($C1540="","",_xlfn.XLOOKUP($C1540,Order!$C:$C,Order!$M:$M,"",0,1))</f>
        <v>0</v>
      </c>
      <c r="J1540" s="4" t="str">
        <f>IF(C1540="","",Order!$M$16)</f>
        <v>BLACK ANODIZED (FAYP06)</v>
      </c>
      <c r="K1540" s="36">
        <f>IF($C1540="","",_xlfn.XLOOKUP($C1540,Order!$C:$C,Order!$P:$P,"",0,1))</f>
        <v>0</v>
      </c>
      <c r="L1540" s="4">
        <f t="shared" si="23"/>
        <v>0</v>
      </c>
    </row>
    <row r="1541" spans="2:12" ht="23.25" customHeight="1" x14ac:dyDescent="0.25">
      <c r="B1541" s="4">
        <v>1536</v>
      </c>
      <c r="C1541" s="36" t="str">
        <f>IF(Order!$C$172="","",Order!$C$172)</f>
        <v>TB650</v>
      </c>
      <c r="D1541" s="36" t="str">
        <f>IF($C1541="","",_xlfn.XLOOKUP($C1541,Order!$C:$C,Order!$D:$D,"",0,1))</f>
        <v>TB650</v>
      </c>
      <c r="E1541" s="4" t="e" vm="357">
        <f>IF($C1541="","",_xlfn.XLOOKUP($C1541,Order!$C:$C,Order!$E:$E,"",0,1))</f>
        <v>#VALUE!</v>
      </c>
      <c r="F1541" s="4">
        <f>IF($C1541="","",_xlfn.XLOOKUP($C1541,Order!$C:$C,Order!$F:$F,"",0,1))</f>
        <v>6000</v>
      </c>
      <c r="G1541" s="4" t="str">
        <f>IF($C1541="","",_xlfn.XLOOKUP($C1541,Order!$C:$C,Order!$G:$G,"",0,1))</f>
        <v>6063T5</v>
      </c>
      <c r="H1541" s="4">
        <f>IF($C1541="","",_xlfn.XLOOKUP($C1541,Order!$C:$C,Order!$H:$H,"",0,1))</f>
        <v>0.77500000000000002</v>
      </c>
      <c r="I1541" s="36">
        <f>IF($C1541="","",_xlfn.XLOOKUP($C1541,Order!$C:$C,Order!$M:$M,"",0,1))</f>
        <v>50</v>
      </c>
      <c r="J1541" s="4" t="str">
        <f>IF(C1541="","",Order!$M$16)</f>
        <v>BLACK ANODIZED (FAYP06)</v>
      </c>
      <c r="K1541" s="36">
        <f>IF($C1541="","",_xlfn.XLOOKUP($C1541,Order!$C:$C,Order!$P:$P,"",0,1))</f>
        <v>0</v>
      </c>
      <c r="L1541" s="4">
        <f t="shared" si="23"/>
        <v>232.50000000000003</v>
      </c>
    </row>
    <row r="1542" spans="2:12" ht="23.25" hidden="1" customHeight="1" x14ac:dyDescent="0.25">
      <c r="B1542" s="4">
        <v>1537</v>
      </c>
      <c r="C1542" s="36" t="str">
        <f>IF(Order!$C$173="","",Order!$C$173)</f>
        <v>PC0276</v>
      </c>
      <c r="D1542" s="36" t="str">
        <f>IF($C1542="","",_xlfn.XLOOKUP($C1542,Order!$C:$C,Order!$D:$D,"",0,1))</f>
        <v>PC027 6</v>
      </c>
      <c r="E1542" s="4" t="e" vm="358">
        <f>IF($C1542="","",_xlfn.XLOOKUP($C1542,Order!$C:$C,Order!$E:$E,"",0,1))</f>
        <v>#VALUE!</v>
      </c>
      <c r="F1542" s="4">
        <f>IF($C1542="","",_xlfn.XLOOKUP($C1542,Order!$C:$C,Order!$F:$F,"",0,1))</f>
        <v>6000</v>
      </c>
      <c r="G1542" s="4" t="str">
        <f>IF($C1542="","",_xlfn.XLOOKUP($C1542,Order!$C:$C,Order!$G:$G,"",0,1))</f>
        <v>6063T5</v>
      </c>
      <c r="H1542" s="4">
        <f>IF($C1542="","",_xlfn.XLOOKUP($C1542,Order!$C:$C,Order!$H:$H,"",0,1))</f>
        <v>0.53500000000000003</v>
      </c>
      <c r="I1542" s="36">
        <f>IF($C1542="","",_xlfn.XLOOKUP($C1542,Order!$C:$C,Order!$M:$M,"",0,1))</f>
        <v>0</v>
      </c>
      <c r="J1542" s="4" t="str">
        <f>IF(C1542="","",Order!$M$16)</f>
        <v>BLACK ANODIZED (FAYP06)</v>
      </c>
      <c r="K1542" s="36">
        <f>IF($C1542="","",_xlfn.XLOOKUP($C1542,Order!$C:$C,Order!$P:$P,"",0,1))</f>
        <v>0</v>
      </c>
      <c r="L1542" s="4">
        <f t="shared" si="23"/>
        <v>0</v>
      </c>
    </row>
    <row r="1543" spans="2:12" ht="23.25" customHeight="1" x14ac:dyDescent="0.25">
      <c r="B1543" s="4">
        <v>1538</v>
      </c>
      <c r="C1543" s="36" t="str">
        <f>IF(Order!$C$174="","",Order!$C$174)</f>
        <v>PC0276.5A</v>
      </c>
      <c r="D1543" s="36" t="str">
        <f>IF($C1543="","",_xlfn.XLOOKUP($C1543,Order!$C:$C,Order!$D:$D,"",0,1))</f>
        <v>PC027 6.5A</v>
      </c>
      <c r="E1543" s="4" t="e" vm="359">
        <f>IF($C1543="","",_xlfn.XLOOKUP($C1543,Order!$C:$C,Order!$E:$E,"",0,1))</f>
        <v>#VALUE!</v>
      </c>
      <c r="F1543" s="4">
        <f>IF($C1543="","",_xlfn.XLOOKUP($C1543,Order!$C:$C,Order!$F:$F,"",0,1))</f>
        <v>6000</v>
      </c>
      <c r="G1543" s="4" t="str">
        <f>IF($C1543="","",_xlfn.XLOOKUP($C1543,Order!$C:$C,Order!$G:$G,"",0,1))</f>
        <v>6063T5</v>
      </c>
      <c r="H1543" s="4">
        <f>IF($C1543="","",_xlfn.XLOOKUP($C1543,Order!$C:$C,Order!$H:$H,"",0,1))</f>
        <v>0.61899999999999999</v>
      </c>
      <c r="I1543" s="36">
        <f>IF($C1543="","",_xlfn.XLOOKUP($C1543,Order!$C:$C,Order!$M:$M,"",0,1))</f>
        <v>200</v>
      </c>
      <c r="J1543" s="4" t="str">
        <f>IF(C1543="","",Order!$M$16)</f>
        <v>BLACK ANODIZED (FAYP06)</v>
      </c>
      <c r="K1543" s="36">
        <f>IF($C1543="","",_xlfn.XLOOKUP($C1543,Order!$C:$C,Order!$P:$P,"",0,1))</f>
        <v>0</v>
      </c>
      <c r="L1543" s="4">
        <f t="shared" ref="L1543:L1606" si="24">IF(C1543="","",F1543/1000*H1543*I1543)</f>
        <v>742.8</v>
      </c>
    </row>
    <row r="1544" spans="2:12" ht="23.25" hidden="1" customHeight="1" x14ac:dyDescent="0.25">
      <c r="B1544" s="4">
        <v>1539</v>
      </c>
      <c r="C1544" s="36" t="str">
        <f>IF(Order!$C$175="","",Order!$C$175)</f>
        <v>E77</v>
      </c>
      <c r="D1544" s="36" t="str">
        <f>IF($C1544="","",_xlfn.XLOOKUP($C1544,Order!$C:$C,Order!$D:$D,"",0,1))</f>
        <v>E77</v>
      </c>
      <c r="E1544" s="4" t="e" vm="360">
        <f>IF($C1544="","",_xlfn.XLOOKUP($C1544,Order!$C:$C,Order!$E:$E,"",0,1))</f>
        <v>#VALUE!</v>
      </c>
      <c r="F1544" s="4">
        <f>IF($C1544="","",_xlfn.XLOOKUP($C1544,Order!$C:$C,Order!$F:$F,"",0,1))</f>
        <v>6000</v>
      </c>
      <c r="G1544" s="4" t="str">
        <f>IF($C1544="","",_xlfn.XLOOKUP($C1544,Order!$C:$C,Order!$G:$G,"",0,1))</f>
        <v>6063T5</v>
      </c>
      <c r="H1544" s="4">
        <f>IF($C1544="","",_xlfn.XLOOKUP($C1544,Order!$C:$C,Order!$H:$H,"",0,1))</f>
        <v>0.6</v>
      </c>
      <c r="I1544" s="36">
        <f>IF($C1544="","",_xlfn.XLOOKUP($C1544,Order!$C:$C,Order!$M:$M,"",0,1))</f>
        <v>0</v>
      </c>
      <c r="J1544" s="4" t="str">
        <f>IF(C1544="","",Order!$M$16)</f>
        <v>BLACK ANODIZED (FAYP06)</v>
      </c>
      <c r="K1544" s="36">
        <f>IF($C1544="","",_xlfn.XLOOKUP($C1544,Order!$C:$C,Order!$P:$P,"",0,1))</f>
        <v>0</v>
      </c>
      <c r="L1544" s="4">
        <f t="shared" si="24"/>
        <v>0</v>
      </c>
    </row>
    <row r="1545" spans="2:12" ht="23.25" hidden="1" customHeight="1" x14ac:dyDescent="0.25">
      <c r="B1545" s="4">
        <v>1540</v>
      </c>
      <c r="C1545" s="36" t="str">
        <f>IF(Order!$C$176="","",Order!$C$176)</f>
        <v>ALB099 1.1</v>
      </c>
      <c r="D1545" s="36" t="str">
        <f>IF($C1545="","",_xlfn.XLOOKUP($C1545,Order!$C:$C,Order!$D:$D,"",0,1))</f>
        <v>ALB099</v>
      </c>
      <c r="E1545" s="4" t="e" vm="361">
        <f>IF($C1545="","",_xlfn.XLOOKUP($C1545,Order!$C:$C,Order!$E:$E,"",0,1))</f>
        <v>#VALUE!</v>
      </c>
      <c r="F1545" s="4">
        <f>IF($C1545="","",_xlfn.XLOOKUP($C1545,Order!$C:$C,Order!$F:$F,"",0,1))</f>
        <v>6000</v>
      </c>
      <c r="G1545" s="4" t="str">
        <f>IF($C1545="","",_xlfn.XLOOKUP($C1545,Order!$C:$C,Order!$G:$G,"",0,1))</f>
        <v>6063T5</v>
      </c>
      <c r="H1545" s="4">
        <f>IF($C1545="","",_xlfn.XLOOKUP($C1545,Order!$C:$C,Order!$H:$H,"",0,1))</f>
        <v>0.74299999999999999</v>
      </c>
      <c r="I1545" s="36">
        <f>IF($C1545="","",_xlfn.XLOOKUP($C1545,Order!$C:$C,Order!$M:$M,"",0,1))</f>
        <v>0</v>
      </c>
      <c r="J1545" s="4" t="str">
        <f>IF(C1545="","",Order!$M$16)</f>
        <v>BLACK ANODIZED (FAYP06)</v>
      </c>
      <c r="K1545" s="36">
        <f>IF($C1545="","",_xlfn.XLOOKUP($C1545,Order!$C:$C,Order!$P:$P,"",0,1))</f>
        <v>0</v>
      </c>
      <c r="L1545" s="4">
        <f t="shared" si="24"/>
        <v>0</v>
      </c>
    </row>
    <row r="1546" spans="2:12" ht="23.25" hidden="1" customHeight="1" x14ac:dyDescent="0.25">
      <c r="B1546" s="4">
        <v>1541</v>
      </c>
      <c r="C1546" s="36" t="str">
        <f>IF(Order!$C$177="","",Order!$C$177)</f>
        <v>ALB099 1.2</v>
      </c>
      <c r="D1546" s="36" t="str">
        <f>IF($C1546="","",_xlfn.XLOOKUP($C1546,Order!$C:$C,Order!$D:$D,"",0,1))</f>
        <v>ALB099 1.2</v>
      </c>
      <c r="E1546" s="4" t="e" vm="362">
        <f>IF($C1546="","",_xlfn.XLOOKUP($C1546,Order!$C:$C,Order!$E:$E,"",0,1))</f>
        <v>#VALUE!</v>
      </c>
      <c r="F1546" s="4">
        <f>IF($C1546="","",_xlfn.XLOOKUP($C1546,Order!$C:$C,Order!$F:$F,"",0,1))</f>
        <v>6000</v>
      </c>
      <c r="G1546" s="4" t="str">
        <f>IF($C1546="","",_xlfn.XLOOKUP($C1546,Order!$C:$C,Order!$G:$G,"",0,1))</f>
        <v>6063T5</v>
      </c>
      <c r="H1546" s="4">
        <f>IF($C1546="","",_xlfn.XLOOKUP($C1546,Order!$C:$C,Order!$H:$H,"",0,1))</f>
        <v>0.81499999999999995</v>
      </c>
      <c r="I1546" s="36">
        <f>IF($C1546="","",_xlfn.XLOOKUP($C1546,Order!$C:$C,Order!$M:$M,"",0,1))</f>
        <v>0</v>
      </c>
      <c r="J1546" s="4" t="str">
        <f>IF(C1546="","",Order!$M$16)</f>
        <v>BLACK ANODIZED (FAYP06)</v>
      </c>
      <c r="K1546" s="36">
        <f>IF($C1546="","",_xlfn.XLOOKUP($C1546,Order!$C:$C,Order!$P:$P,"",0,1))</f>
        <v>0</v>
      </c>
      <c r="L1546" s="4">
        <f t="shared" si="24"/>
        <v>0</v>
      </c>
    </row>
    <row r="1547" spans="2:12" ht="23.25" hidden="1" customHeight="1" x14ac:dyDescent="0.25">
      <c r="B1547" s="4">
        <v>1542</v>
      </c>
      <c r="C1547" s="36" t="str">
        <f>IF(Order!$C$178="","",Order!$C$178)</f>
        <v>LB005</v>
      </c>
      <c r="D1547" s="36" t="str">
        <f>IF($C1547="","",_xlfn.XLOOKUP($C1547,Order!$C:$C,Order!$D:$D,"",0,1))</f>
        <v>LB005</v>
      </c>
      <c r="E1547" s="4" t="e" vm="363">
        <f>IF($C1547="","",_xlfn.XLOOKUP($C1547,Order!$C:$C,Order!$E:$E,"",0,1))</f>
        <v>#VALUE!</v>
      </c>
      <c r="F1547" s="4">
        <f>IF($C1547="","",_xlfn.XLOOKUP($C1547,Order!$C:$C,Order!$F:$F,"",0,1))</f>
        <v>6000</v>
      </c>
      <c r="G1547" s="4" t="str">
        <f>IF($C1547="","",_xlfn.XLOOKUP($C1547,Order!$C:$C,Order!$G:$G,"",0,1))</f>
        <v>6063T5</v>
      </c>
      <c r="H1547" s="4">
        <f>IF($C1547="","",_xlfn.XLOOKUP($C1547,Order!$C:$C,Order!$H:$H,"",0,1))</f>
        <v>0</v>
      </c>
      <c r="I1547" s="36">
        <f>IF($C1547="","",_xlfn.XLOOKUP($C1547,Order!$C:$C,Order!$M:$M,"",0,1))</f>
        <v>0</v>
      </c>
      <c r="J1547" s="4" t="str">
        <f>IF(C1547="","",Order!$M$16)</f>
        <v>BLACK ANODIZED (FAYP06)</v>
      </c>
      <c r="K1547" s="36">
        <f>IF($C1547="","",_xlfn.XLOOKUP($C1547,Order!$C:$C,Order!$P:$P,"",0,1))</f>
        <v>0</v>
      </c>
      <c r="L1547" s="4">
        <f t="shared" si="24"/>
        <v>0</v>
      </c>
    </row>
    <row r="1548" spans="2:12" ht="23.25" hidden="1" customHeight="1" x14ac:dyDescent="0.25">
      <c r="B1548" s="4">
        <v>1543</v>
      </c>
      <c r="C1548" s="36" t="str">
        <f>IF(Order!$C$179="","",Order!$C$179)</f>
        <v>LB007</v>
      </c>
      <c r="D1548" s="36" t="str">
        <f>IF($C1548="","",_xlfn.XLOOKUP($C1548,Order!$C:$C,Order!$D:$D,"",0,1))</f>
        <v>LB007</v>
      </c>
      <c r="E1548" s="4" t="e" vm="364">
        <f>IF($C1548="","",_xlfn.XLOOKUP($C1548,Order!$C:$C,Order!$E:$E,"",0,1))</f>
        <v>#VALUE!</v>
      </c>
      <c r="F1548" s="4">
        <f>IF($C1548="","",_xlfn.XLOOKUP($C1548,Order!$C:$C,Order!$F:$F,"",0,1))</f>
        <v>6000</v>
      </c>
      <c r="G1548" s="4" t="str">
        <f>IF($C1548="","",_xlfn.XLOOKUP($C1548,Order!$C:$C,Order!$G:$G,"",0,1))</f>
        <v>6063T5</v>
      </c>
      <c r="H1548" s="4">
        <f>IF($C1548="","",_xlfn.XLOOKUP($C1548,Order!$C:$C,Order!$H:$H,"",0,1))</f>
        <v>0.61</v>
      </c>
      <c r="I1548" s="36">
        <f>IF($C1548="","",_xlfn.XLOOKUP($C1548,Order!$C:$C,Order!$M:$M,"",0,1))</f>
        <v>0</v>
      </c>
      <c r="J1548" s="4" t="str">
        <f>IF(C1548="","",Order!$M$16)</f>
        <v>BLACK ANODIZED (FAYP06)</v>
      </c>
      <c r="K1548" s="36">
        <f>IF($C1548="","",_xlfn.XLOOKUP($C1548,Order!$C:$C,Order!$P:$P,"",0,1))</f>
        <v>0</v>
      </c>
      <c r="L1548" s="4">
        <f t="shared" si="24"/>
        <v>0</v>
      </c>
    </row>
    <row r="1549" spans="2:12" ht="23.25" customHeight="1" x14ac:dyDescent="0.25">
      <c r="B1549" s="4">
        <v>1544</v>
      </c>
      <c r="C1549" s="36" t="str">
        <f>IF(Order!$C$180="","",Order!$C$180)</f>
        <v>LB008</v>
      </c>
      <c r="D1549" s="36" t="str">
        <f>IF($C1549="","",_xlfn.XLOOKUP($C1549,Order!$C:$C,Order!$D:$D,"",0,1))</f>
        <v>LB008</v>
      </c>
      <c r="E1549" s="4" t="e" vm="365">
        <f>IF($C1549="","",_xlfn.XLOOKUP($C1549,Order!$C:$C,Order!$E:$E,"",0,1))</f>
        <v>#VALUE!</v>
      </c>
      <c r="F1549" s="4">
        <f>IF($C1549="","",_xlfn.XLOOKUP($C1549,Order!$C:$C,Order!$F:$F,"",0,1))</f>
        <v>6000</v>
      </c>
      <c r="G1549" s="4" t="str">
        <f>IF($C1549="","",_xlfn.XLOOKUP($C1549,Order!$C:$C,Order!$G:$G,"",0,1))</f>
        <v>6063T5</v>
      </c>
      <c r="H1549" s="4">
        <f>IF($C1549="","",_xlfn.XLOOKUP($C1549,Order!$C:$C,Order!$H:$H,"",0,1))</f>
        <v>0.50600000000000001</v>
      </c>
      <c r="I1549" s="36">
        <f>IF($C1549="","",_xlfn.XLOOKUP($C1549,Order!$C:$C,Order!$M:$M,"",0,1))</f>
        <v>300</v>
      </c>
      <c r="J1549" s="4" t="str">
        <f>IF(C1549="","",Order!$M$16)</f>
        <v>BLACK ANODIZED (FAYP06)</v>
      </c>
      <c r="K1549" s="36">
        <f>IF($C1549="","",_xlfn.XLOOKUP($C1549,Order!$C:$C,Order!$P:$P,"",0,1))</f>
        <v>0</v>
      </c>
      <c r="L1549" s="4">
        <f t="shared" si="24"/>
        <v>910.8</v>
      </c>
    </row>
    <row r="1550" spans="2:12" ht="23.25" hidden="1" customHeight="1" x14ac:dyDescent="0.25">
      <c r="B1550" s="4">
        <v>1545</v>
      </c>
      <c r="C1550" s="36" t="str">
        <f>IF(Order!$C$181="","",Order!$C$181)</f>
        <v>LB010</v>
      </c>
      <c r="D1550" s="36" t="str">
        <f>IF($C1550="","",_xlfn.XLOOKUP($C1550,Order!$C:$C,Order!$D:$D,"",0,1))</f>
        <v>LB010</v>
      </c>
      <c r="E1550" s="4" t="e" vm="366">
        <f>IF($C1550="","",_xlfn.XLOOKUP($C1550,Order!$C:$C,Order!$E:$E,"",0,1))</f>
        <v>#VALUE!</v>
      </c>
      <c r="F1550" s="4">
        <f>IF($C1550="","",_xlfn.XLOOKUP($C1550,Order!$C:$C,Order!$F:$F,"",0,1))</f>
        <v>6000</v>
      </c>
      <c r="G1550" s="4" t="str">
        <f>IF($C1550="","",_xlfn.XLOOKUP($C1550,Order!$C:$C,Order!$G:$G,"",0,1))</f>
        <v>6063T5</v>
      </c>
      <c r="H1550" s="4">
        <f>IF($C1550="","",_xlfn.XLOOKUP($C1550,Order!$C:$C,Order!$H:$H,"",0,1))</f>
        <v>0</v>
      </c>
      <c r="I1550" s="36">
        <f>IF($C1550="","",_xlfn.XLOOKUP($C1550,Order!$C:$C,Order!$M:$M,"",0,1))</f>
        <v>0</v>
      </c>
      <c r="J1550" s="4" t="str">
        <f>IF(C1550="","",Order!$M$16)</f>
        <v>BLACK ANODIZED (FAYP06)</v>
      </c>
      <c r="K1550" s="36">
        <f>IF($C1550="","",_xlfn.XLOOKUP($C1550,Order!$C:$C,Order!$P:$P,"",0,1))</f>
        <v>0</v>
      </c>
      <c r="L1550" s="4">
        <f t="shared" si="24"/>
        <v>0</v>
      </c>
    </row>
    <row r="1551" spans="2:12" ht="23.25" hidden="1" customHeight="1" x14ac:dyDescent="0.25">
      <c r="B1551" s="4">
        <v>1546</v>
      </c>
      <c r="C1551" s="36" t="str">
        <f>IF(Order!$C$182="","",Order!$C$182)</f>
        <v>LB020</v>
      </c>
      <c r="D1551" s="36" t="str">
        <f>IF($C1551="","",_xlfn.XLOOKUP($C1551,Order!$C:$C,Order!$D:$D,"",0,1))</f>
        <v>LB020</v>
      </c>
      <c r="E1551" s="4" t="e" vm="367">
        <f>IF($C1551="","",_xlfn.XLOOKUP($C1551,Order!$C:$C,Order!$E:$E,"",0,1))</f>
        <v>#VALUE!</v>
      </c>
      <c r="F1551" s="4">
        <f>IF($C1551="","",_xlfn.XLOOKUP($C1551,Order!$C:$C,Order!$F:$F,"",0,1))</f>
        <v>6000</v>
      </c>
      <c r="G1551" s="4" t="str">
        <f>IF($C1551="","",_xlfn.XLOOKUP($C1551,Order!$C:$C,Order!$G:$G,"",0,1))</f>
        <v>6063T5</v>
      </c>
      <c r="H1551" s="4">
        <f>IF($C1551="","",_xlfn.XLOOKUP($C1551,Order!$C:$C,Order!$H:$H,"",0,1))</f>
        <v>0.67300000000000004</v>
      </c>
      <c r="I1551" s="36">
        <f>IF($C1551="","",_xlfn.XLOOKUP($C1551,Order!$C:$C,Order!$M:$M,"",0,1))</f>
        <v>0</v>
      </c>
      <c r="J1551" s="4" t="str">
        <f>IF(C1551="","",Order!$M$16)</f>
        <v>BLACK ANODIZED (FAYP06)</v>
      </c>
      <c r="K1551" s="36">
        <f>IF($C1551="","",_xlfn.XLOOKUP($C1551,Order!$C:$C,Order!$P:$P,"",0,1))</f>
        <v>0</v>
      </c>
      <c r="L1551" s="4">
        <f t="shared" si="24"/>
        <v>0</v>
      </c>
    </row>
    <row r="1552" spans="2:12" ht="23.25" hidden="1" customHeight="1" x14ac:dyDescent="0.25">
      <c r="B1552" s="4">
        <v>1547</v>
      </c>
      <c r="C1552" s="36" t="str">
        <f>IF(Order!$C$183="","",Order!$C$183)</f>
        <v>PLB036</v>
      </c>
      <c r="D1552" s="36" t="str">
        <f>IF($C1552="","",_xlfn.XLOOKUP($C1552,Order!$C:$C,Order!$D:$D,"",0,1))</f>
        <v>PLB036</v>
      </c>
      <c r="E1552" s="4" t="e" vm="368">
        <f>IF($C1552="","",_xlfn.XLOOKUP($C1552,Order!$C:$C,Order!$E:$E,"",0,1))</f>
        <v>#VALUE!</v>
      </c>
      <c r="F1552" s="4">
        <f>IF($C1552="","",_xlfn.XLOOKUP($C1552,Order!$C:$C,Order!$F:$F,"",0,1))</f>
        <v>6000</v>
      </c>
      <c r="G1552" s="4" t="str">
        <f>IF($C1552="","",_xlfn.XLOOKUP($C1552,Order!$C:$C,Order!$G:$G,"",0,1))</f>
        <v>6063T5</v>
      </c>
      <c r="H1552" s="4">
        <f>IF($C1552="","",_xlfn.XLOOKUP($C1552,Order!$C:$C,Order!$H:$H,"",0,1))</f>
        <v>0.51400000000000001</v>
      </c>
      <c r="I1552" s="36">
        <f>IF($C1552="","",_xlfn.XLOOKUP($C1552,Order!$C:$C,Order!$M:$M,"",0,1))</f>
        <v>0</v>
      </c>
      <c r="J1552" s="4" t="str">
        <f>IF(C1552="","",Order!$M$16)</f>
        <v>BLACK ANODIZED (FAYP06)</v>
      </c>
      <c r="K1552" s="36">
        <f>IF($C1552="","",_xlfn.XLOOKUP($C1552,Order!$C:$C,Order!$P:$P,"",0,1))</f>
        <v>0</v>
      </c>
      <c r="L1552" s="4">
        <f t="shared" si="24"/>
        <v>0</v>
      </c>
    </row>
    <row r="1553" spans="2:12" ht="23.25" customHeight="1" x14ac:dyDescent="0.25">
      <c r="B1553" s="4">
        <v>1548</v>
      </c>
      <c r="C1553" s="36" t="str">
        <f>IF(Order!$C$184="","",Order!$C$184)</f>
        <v>PLB036P</v>
      </c>
      <c r="D1553" s="36" t="str">
        <f>IF($C1553="","",_xlfn.XLOOKUP($C1553,Order!$C:$C,Order!$D:$D,"",0,1))</f>
        <v>PLB036P</v>
      </c>
      <c r="E1553" s="4" t="e" vm="369">
        <f>IF($C1553="","",_xlfn.XLOOKUP($C1553,Order!$C:$C,Order!$E:$E,"",0,1))</f>
        <v>#VALUE!</v>
      </c>
      <c r="F1553" s="4">
        <f>IF($C1553="","",_xlfn.XLOOKUP($C1553,Order!$C:$C,Order!$F:$F,"",0,1))</f>
        <v>6000</v>
      </c>
      <c r="G1553" s="4" t="str">
        <f>IF($C1553="","",_xlfn.XLOOKUP($C1553,Order!$C:$C,Order!$G:$G,"",0,1))</f>
        <v>6063T5</v>
      </c>
      <c r="H1553" s="4">
        <f>IF($C1553="","",_xlfn.XLOOKUP($C1553,Order!$C:$C,Order!$H:$H,"",0,1))</f>
        <v>0.46600000000000003</v>
      </c>
      <c r="I1553" s="36">
        <f>IF($C1553="","",_xlfn.XLOOKUP($C1553,Order!$C:$C,Order!$M:$M,"",0,1))</f>
        <v>100</v>
      </c>
      <c r="J1553" s="4" t="str">
        <f>IF(C1553="","",Order!$M$16)</f>
        <v>BLACK ANODIZED (FAYP06)</v>
      </c>
      <c r="K1553" s="36">
        <f>IF($C1553="","",_xlfn.XLOOKUP($C1553,Order!$C:$C,Order!$P:$P,"",0,1))</f>
        <v>0</v>
      </c>
      <c r="L1553" s="4">
        <f t="shared" si="24"/>
        <v>279.60000000000002</v>
      </c>
    </row>
    <row r="1554" spans="2:12" ht="23.25" hidden="1" customHeight="1" x14ac:dyDescent="0.25">
      <c r="B1554" s="4">
        <v>1549</v>
      </c>
      <c r="C1554" s="36" t="str">
        <f>IF(Order!$C$185="","",Order!$C$185)</f>
        <v>LB037</v>
      </c>
      <c r="D1554" s="36" t="str">
        <f>IF($C1554="","",_xlfn.XLOOKUP($C1554,Order!$C:$C,Order!$D:$D,"",0,1))</f>
        <v>LB037</v>
      </c>
      <c r="E1554" s="4" t="e" vm="370">
        <f>IF($C1554="","",_xlfn.XLOOKUP($C1554,Order!$C:$C,Order!$E:$E,"",0,1))</f>
        <v>#VALUE!</v>
      </c>
      <c r="F1554" s="4">
        <f>IF($C1554="","",_xlfn.XLOOKUP($C1554,Order!$C:$C,Order!$F:$F,"",0,1))</f>
        <v>6000</v>
      </c>
      <c r="G1554" s="4" t="str">
        <f>IF($C1554="","",_xlfn.XLOOKUP($C1554,Order!$C:$C,Order!$G:$G,"",0,1))</f>
        <v>6063T5</v>
      </c>
      <c r="H1554" s="4">
        <f>IF($C1554="","",_xlfn.XLOOKUP($C1554,Order!$C:$C,Order!$H:$H,"",0,1))</f>
        <v>0.68100000000000005</v>
      </c>
      <c r="I1554" s="36">
        <f>IF($C1554="","",_xlfn.XLOOKUP($C1554,Order!$C:$C,Order!$M:$M,"",0,1))</f>
        <v>0</v>
      </c>
      <c r="J1554" s="4" t="str">
        <f>IF(C1554="","",Order!$M$16)</f>
        <v>BLACK ANODIZED (FAYP06)</v>
      </c>
      <c r="K1554" s="36">
        <f>IF($C1554="","",_xlfn.XLOOKUP($C1554,Order!$C:$C,Order!$P:$P,"",0,1))</f>
        <v>0</v>
      </c>
      <c r="L1554" s="4">
        <f t="shared" si="24"/>
        <v>0</v>
      </c>
    </row>
    <row r="1555" spans="2:12" ht="23.25" hidden="1" customHeight="1" x14ac:dyDescent="0.25">
      <c r="B1555" s="4">
        <v>1550</v>
      </c>
      <c r="C1555" s="36" t="str">
        <f>IF(Order!$C$186="","",Order!$C$186)</f>
        <v>LB038</v>
      </c>
      <c r="D1555" s="36" t="str">
        <f>IF($C1555="","",_xlfn.XLOOKUP($C1555,Order!$C:$C,Order!$D:$D,"",0,1))</f>
        <v>LB038</v>
      </c>
      <c r="E1555" s="4" t="e" vm="371">
        <f>IF($C1555="","",_xlfn.XLOOKUP($C1555,Order!$C:$C,Order!$E:$E,"",0,1))</f>
        <v>#VALUE!</v>
      </c>
      <c r="F1555" s="4">
        <f>IF($C1555="","",_xlfn.XLOOKUP($C1555,Order!$C:$C,Order!$F:$F,"",0,1))</f>
        <v>6000</v>
      </c>
      <c r="G1555" s="4" t="str">
        <f>IF($C1555="","",_xlfn.XLOOKUP($C1555,Order!$C:$C,Order!$G:$G,"",0,1))</f>
        <v>6063T5</v>
      </c>
      <c r="H1555" s="4">
        <f>IF($C1555="","",_xlfn.XLOOKUP($C1555,Order!$C:$C,Order!$H:$H,"",0,1))</f>
        <v>0</v>
      </c>
      <c r="I1555" s="36">
        <f>IF($C1555="","",_xlfn.XLOOKUP($C1555,Order!$C:$C,Order!$M:$M,"",0,1))</f>
        <v>0</v>
      </c>
      <c r="J1555" s="4" t="str">
        <f>IF(C1555="","",Order!$M$16)</f>
        <v>BLACK ANODIZED (FAYP06)</v>
      </c>
      <c r="K1555" s="36">
        <f>IF($C1555="","",_xlfn.XLOOKUP($C1555,Order!$C:$C,Order!$P:$P,"",0,1))</f>
        <v>0</v>
      </c>
      <c r="L1555" s="4">
        <f t="shared" si="24"/>
        <v>0</v>
      </c>
    </row>
    <row r="1556" spans="2:12" ht="23.25" hidden="1" customHeight="1" x14ac:dyDescent="0.25">
      <c r="B1556" s="4">
        <v>1551</v>
      </c>
      <c r="C1556" s="36" t="str">
        <f>IF(Order!$C$187="","",Order!$C$187)</f>
        <v>LB050</v>
      </c>
      <c r="D1556" s="36" t="str">
        <f>IF($C1556="","",_xlfn.XLOOKUP($C1556,Order!$C:$C,Order!$D:$D,"",0,1))</f>
        <v>LB050</v>
      </c>
      <c r="E1556" s="4" t="e" vm="372">
        <f>IF($C1556="","",_xlfn.XLOOKUP($C1556,Order!$C:$C,Order!$E:$E,"",0,1))</f>
        <v>#VALUE!</v>
      </c>
      <c r="F1556" s="4">
        <f>IF($C1556="","",_xlfn.XLOOKUP($C1556,Order!$C:$C,Order!$F:$F,"",0,1))</f>
        <v>6000</v>
      </c>
      <c r="G1556" s="4" t="str">
        <f>IF($C1556="","",_xlfn.XLOOKUP($C1556,Order!$C:$C,Order!$G:$G,"",0,1))</f>
        <v>6063T5</v>
      </c>
      <c r="H1556" s="4">
        <f>IF($C1556="","",_xlfn.XLOOKUP($C1556,Order!$C:$C,Order!$H:$H,"",0,1))</f>
        <v>0.61699999999999999</v>
      </c>
      <c r="I1556" s="36">
        <f>IF($C1556="","",_xlfn.XLOOKUP($C1556,Order!$C:$C,Order!$M:$M,"",0,1))</f>
        <v>0</v>
      </c>
      <c r="J1556" s="4" t="str">
        <f>IF(C1556="","",Order!$M$16)</f>
        <v>BLACK ANODIZED (FAYP06)</v>
      </c>
      <c r="K1556" s="36">
        <f>IF($C1556="","",_xlfn.XLOOKUP($C1556,Order!$C:$C,Order!$P:$P,"",0,1))</f>
        <v>0</v>
      </c>
      <c r="L1556" s="4">
        <f t="shared" si="24"/>
        <v>0</v>
      </c>
    </row>
    <row r="1557" spans="2:12" ht="23.25" hidden="1" customHeight="1" x14ac:dyDescent="0.25">
      <c r="B1557" s="4">
        <v>1552</v>
      </c>
      <c r="C1557" s="36" t="str">
        <f>IF(Order!$C$188="","",Order!$C$188)</f>
        <v>LB070</v>
      </c>
      <c r="D1557" s="36" t="str">
        <f>IF($C1557="","",_xlfn.XLOOKUP($C1557,Order!$C:$C,Order!$D:$D,"",0,1))</f>
        <v>LB070</v>
      </c>
      <c r="E1557" s="4" t="e" vm="373">
        <f>IF($C1557="","",_xlfn.XLOOKUP($C1557,Order!$C:$C,Order!$E:$E,"",0,1))</f>
        <v>#VALUE!</v>
      </c>
      <c r="F1557" s="4">
        <f>IF($C1557="","",_xlfn.XLOOKUP($C1557,Order!$C:$C,Order!$F:$F,"",0,1))</f>
        <v>6000</v>
      </c>
      <c r="G1557" s="4" t="str">
        <f>IF($C1557="","",_xlfn.XLOOKUP($C1557,Order!$C:$C,Order!$G:$G,"",0,1))</f>
        <v>6063T5</v>
      </c>
      <c r="H1557" s="4">
        <f>IF($C1557="","",_xlfn.XLOOKUP($C1557,Order!$C:$C,Order!$H:$H,"",0,1))</f>
        <v>0.71699999999999997</v>
      </c>
      <c r="I1557" s="36">
        <f>IF($C1557="","",_xlfn.XLOOKUP($C1557,Order!$C:$C,Order!$M:$M,"",0,1))</f>
        <v>0</v>
      </c>
      <c r="J1557" s="4" t="str">
        <f>IF(C1557="","",Order!$M$16)</f>
        <v>BLACK ANODIZED (FAYP06)</v>
      </c>
      <c r="K1557" s="36">
        <f>IF($C1557="","",_xlfn.XLOOKUP($C1557,Order!$C:$C,Order!$P:$P,"",0,1))</f>
        <v>0</v>
      </c>
      <c r="L1557" s="4">
        <f t="shared" si="24"/>
        <v>0</v>
      </c>
    </row>
    <row r="1558" spans="2:12" ht="23.25" hidden="1" customHeight="1" x14ac:dyDescent="0.25">
      <c r="B1558" s="4">
        <v>1553</v>
      </c>
      <c r="C1558" s="36" t="str">
        <f>IF(Order!$C$189="","",Order!$C$189)</f>
        <v>LB081</v>
      </c>
      <c r="D1558" s="36" t="str">
        <f>IF($C1558="","",_xlfn.XLOOKUP($C1558,Order!$C:$C,Order!$D:$D,"",0,1))</f>
        <v>LB081</v>
      </c>
      <c r="E1558" s="4" t="e" vm="374">
        <f>IF($C1558="","",_xlfn.XLOOKUP($C1558,Order!$C:$C,Order!$E:$E,"",0,1))</f>
        <v>#VALUE!</v>
      </c>
      <c r="F1558" s="4">
        <f>IF($C1558="","",_xlfn.XLOOKUP($C1558,Order!$C:$C,Order!$F:$F,"",0,1))</f>
        <v>6000</v>
      </c>
      <c r="G1558" s="4" t="str">
        <f>IF($C1558="","",_xlfn.XLOOKUP($C1558,Order!$C:$C,Order!$G:$G,"",0,1))</f>
        <v>6063T5</v>
      </c>
      <c r="H1558" s="4">
        <f>IF($C1558="","",_xlfn.XLOOKUP($C1558,Order!$C:$C,Order!$H:$H,"",0,1))</f>
        <v>0.52800000000000002</v>
      </c>
      <c r="I1558" s="36">
        <f>IF($C1558="","",_xlfn.XLOOKUP($C1558,Order!$C:$C,Order!$M:$M,"",0,1))</f>
        <v>0</v>
      </c>
      <c r="J1558" s="4" t="str">
        <f>IF(C1558="","",Order!$M$16)</f>
        <v>BLACK ANODIZED (FAYP06)</v>
      </c>
      <c r="K1558" s="36">
        <f>IF($C1558="","",_xlfn.XLOOKUP($C1558,Order!$C:$C,Order!$P:$P,"",0,1))</f>
        <v>0</v>
      </c>
      <c r="L1558" s="4">
        <f t="shared" si="24"/>
        <v>0</v>
      </c>
    </row>
    <row r="1559" spans="2:12" ht="23.25" hidden="1" customHeight="1" x14ac:dyDescent="0.25">
      <c r="B1559" s="4">
        <v>1554</v>
      </c>
      <c r="C1559" s="36" t="str">
        <f>IF(Order!$C$190="","",Order!$C$190)</f>
        <v>BX816</v>
      </c>
      <c r="D1559" s="36" t="str">
        <f>IF($C1559="","",_xlfn.XLOOKUP($C1559,Order!$C:$C,Order!$D:$D,"",0,1))</f>
        <v>BX816</v>
      </c>
      <c r="E1559" s="4" t="e" vm="375">
        <f>IF($C1559="","",_xlfn.XLOOKUP($C1559,Order!$C:$C,Order!$E:$E,"",0,1))</f>
        <v>#VALUE!</v>
      </c>
      <c r="F1559" s="4">
        <f>IF($C1559="","",_xlfn.XLOOKUP($C1559,Order!$C:$C,Order!$F:$F,"",0,1))</f>
        <v>6000</v>
      </c>
      <c r="G1559" s="4" t="str">
        <f>IF($C1559="","",_xlfn.XLOOKUP($C1559,Order!$C:$C,Order!$G:$G,"",0,1))</f>
        <v>6063T5</v>
      </c>
      <c r="H1559" s="4">
        <f>IF($C1559="","",_xlfn.XLOOKUP($C1559,Order!$C:$C,Order!$H:$H,"",0,1))</f>
        <v>0.67</v>
      </c>
      <c r="I1559" s="36">
        <f>IF($C1559="","",_xlfn.XLOOKUP($C1559,Order!$C:$C,Order!$M:$M,"",0,1))</f>
        <v>0</v>
      </c>
      <c r="J1559" s="4" t="str">
        <f>IF(C1559="","",Order!$M$16)</f>
        <v>BLACK ANODIZED (FAYP06)</v>
      </c>
      <c r="K1559" s="36">
        <f>IF($C1559="","",_xlfn.XLOOKUP($C1559,Order!$C:$C,Order!$P:$P,"",0,1))</f>
        <v>0</v>
      </c>
      <c r="L1559" s="4">
        <f t="shared" si="24"/>
        <v>0</v>
      </c>
    </row>
    <row r="1560" spans="2:12" ht="23.25" hidden="1" customHeight="1" x14ac:dyDescent="0.25">
      <c r="B1560" s="4">
        <v>1555</v>
      </c>
      <c r="C1560" s="36" t="str">
        <f>IF(Order!$C$191="","",Order!$C$191)</f>
        <v>BX841</v>
      </c>
      <c r="D1560" s="36" t="str">
        <f>IF($C1560="","",_xlfn.XLOOKUP($C1560,Order!$C:$C,Order!$D:$D,"",0,1))</f>
        <v>BX841</v>
      </c>
      <c r="E1560" s="4" t="e" vm="376">
        <f>IF($C1560="","",_xlfn.XLOOKUP($C1560,Order!$C:$C,Order!$E:$E,"",0,1))</f>
        <v>#VALUE!</v>
      </c>
      <c r="F1560" s="4">
        <f>IF($C1560="","",_xlfn.XLOOKUP($C1560,Order!$C:$C,Order!$F:$F,"",0,1))</f>
        <v>6000</v>
      </c>
      <c r="G1560" s="4" t="str">
        <f>IF($C1560="","",_xlfn.XLOOKUP($C1560,Order!$C:$C,Order!$G:$G,"",0,1))</f>
        <v>6063T5</v>
      </c>
      <c r="H1560" s="4">
        <f>IF($C1560="","",_xlfn.XLOOKUP($C1560,Order!$C:$C,Order!$H:$H,"",0,1))</f>
        <v>0.54500000000000004</v>
      </c>
      <c r="I1560" s="36">
        <f>IF($C1560="","",_xlfn.XLOOKUP($C1560,Order!$C:$C,Order!$M:$M,"",0,1))</f>
        <v>0</v>
      </c>
      <c r="J1560" s="4" t="str">
        <f>IF(C1560="","",Order!$M$16)</f>
        <v>BLACK ANODIZED (FAYP06)</v>
      </c>
      <c r="K1560" s="36">
        <f>IF($C1560="","",_xlfn.XLOOKUP($C1560,Order!$C:$C,Order!$P:$P,"",0,1))</f>
        <v>0</v>
      </c>
      <c r="L1560" s="4">
        <f t="shared" si="24"/>
        <v>0</v>
      </c>
    </row>
    <row r="1561" spans="2:12" ht="23.25" hidden="1" customHeight="1" x14ac:dyDescent="0.25">
      <c r="B1561" s="4">
        <v>1556</v>
      </c>
      <c r="C1561" s="36" t="str">
        <f>IF(Order!$C$192="","",Order!$C$192)</f>
        <v>BX842</v>
      </c>
      <c r="D1561" s="36" t="str">
        <f>IF($C1561="","",_xlfn.XLOOKUP($C1561,Order!$C:$C,Order!$D:$D,"",0,1))</f>
        <v>BX842</v>
      </c>
      <c r="E1561" s="4" t="e" vm="377">
        <f>IF($C1561="","",_xlfn.XLOOKUP($C1561,Order!$C:$C,Order!$E:$E,"",0,1))</f>
        <v>#VALUE!</v>
      </c>
      <c r="F1561" s="4">
        <f>IF($C1561="","",_xlfn.XLOOKUP($C1561,Order!$C:$C,Order!$F:$F,"",0,1))</f>
        <v>6000</v>
      </c>
      <c r="G1561" s="4" t="str">
        <f>IF($C1561="","",_xlfn.XLOOKUP($C1561,Order!$C:$C,Order!$G:$G,"",0,1))</f>
        <v>6063T5</v>
      </c>
      <c r="H1561" s="4">
        <f>IF($C1561="","",_xlfn.XLOOKUP($C1561,Order!$C:$C,Order!$H:$H,"",0,1))</f>
        <v>0</v>
      </c>
      <c r="I1561" s="36">
        <f>IF($C1561="","",_xlfn.XLOOKUP($C1561,Order!$C:$C,Order!$M:$M,"",0,1))</f>
        <v>0</v>
      </c>
      <c r="J1561" s="4" t="str">
        <f>IF(C1561="","",Order!$M$16)</f>
        <v>BLACK ANODIZED (FAYP06)</v>
      </c>
      <c r="K1561" s="36">
        <f>IF($C1561="","",_xlfn.XLOOKUP($C1561,Order!$C:$C,Order!$P:$P,"",0,1))</f>
        <v>0</v>
      </c>
      <c r="L1561" s="4">
        <f t="shared" si="24"/>
        <v>0</v>
      </c>
    </row>
    <row r="1562" spans="2:12" ht="23.25" hidden="1" customHeight="1" x14ac:dyDescent="0.25">
      <c r="B1562" s="4">
        <v>1557</v>
      </c>
      <c r="C1562" s="36" t="str">
        <f>IF(Order!$C$193="","",Order!$C$193)</f>
        <v>BX1041</v>
      </c>
      <c r="D1562" s="36" t="str">
        <f>IF($C1562="","",_xlfn.XLOOKUP($C1562,Order!$C:$C,Order!$D:$D,"",0,1))</f>
        <v>BX1041</v>
      </c>
      <c r="E1562" s="4" t="e" vm="378">
        <f>IF($C1562="","",_xlfn.XLOOKUP($C1562,Order!$C:$C,Order!$E:$E,"",0,1))</f>
        <v>#VALUE!</v>
      </c>
      <c r="F1562" s="4">
        <f>IF($C1562="","",_xlfn.XLOOKUP($C1562,Order!$C:$C,Order!$F:$F,"",0,1))</f>
        <v>6000</v>
      </c>
      <c r="G1562" s="4" t="str">
        <f>IF($C1562="","",_xlfn.XLOOKUP($C1562,Order!$C:$C,Order!$G:$G,"",0,1))</f>
        <v>6063T5</v>
      </c>
      <c r="H1562" s="4">
        <f>IF($C1562="","",_xlfn.XLOOKUP($C1562,Order!$C:$C,Order!$H:$H,"",0,1))</f>
        <v>0.72499999999999998</v>
      </c>
      <c r="I1562" s="36">
        <f>IF($C1562="","",_xlfn.XLOOKUP($C1562,Order!$C:$C,Order!$M:$M,"",0,1))</f>
        <v>0</v>
      </c>
      <c r="J1562" s="4" t="str">
        <f>IF(C1562="","",Order!$M$16)</f>
        <v>BLACK ANODIZED (FAYP06)</v>
      </c>
      <c r="K1562" s="36">
        <f>IF($C1562="","",_xlfn.XLOOKUP($C1562,Order!$C:$C,Order!$P:$P,"",0,1))</f>
        <v>0</v>
      </c>
      <c r="L1562" s="4">
        <f t="shared" si="24"/>
        <v>0</v>
      </c>
    </row>
    <row r="1563" spans="2:12" ht="23.25" hidden="1" customHeight="1" x14ac:dyDescent="0.25">
      <c r="B1563" s="4">
        <v>1558</v>
      </c>
      <c r="C1563" s="36" t="str">
        <f>IF(Order!$C$194="","",Order!$C$194)</f>
        <v/>
      </c>
      <c r="D1563" s="36" t="str">
        <f>IF($C1563="","",_xlfn.XLOOKUP($C1563,Order!$C:$C,Order!$D:$D,"",0,1))</f>
        <v/>
      </c>
      <c r="E1563" s="4" t="str">
        <f>IF($C1563="","",_xlfn.XLOOKUP($C1563,Order!$C:$C,Order!$E:$E,"",0,1))</f>
        <v/>
      </c>
      <c r="F1563" s="4" t="str">
        <f>IF($C1563="","",_xlfn.XLOOKUP($C1563,Order!$C:$C,Order!$F:$F,"",0,1))</f>
        <v/>
      </c>
      <c r="G1563" s="4" t="str">
        <f>IF($C1563="","",_xlfn.XLOOKUP($C1563,Order!$C:$C,Order!$G:$G,"",0,1))</f>
        <v/>
      </c>
      <c r="H1563" s="4" t="str">
        <f>IF($C1563="","",_xlfn.XLOOKUP($C1563,Order!$C:$C,Order!$H:$H,"",0,1))</f>
        <v/>
      </c>
      <c r="I1563" s="36" t="str">
        <f>IF($C1563="","",_xlfn.XLOOKUP($C1563,Order!$C:$C,Order!$M:$M,"",0,1))</f>
        <v/>
      </c>
      <c r="J1563" s="4" t="str">
        <f>IF(C1563="","",Order!$M$16)</f>
        <v/>
      </c>
      <c r="K1563" s="36" t="str">
        <f>IF($C1563="","",_xlfn.XLOOKUP($C1563,Order!$C:$C,Order!$P:$P,"",0,1))</f>
        <v/>
      </c>
      <c r="L1563" s="4" t="str">
        <f t="shared" si="24"/>
        <v/>
      </c>
    </row>
    <row r="1564" spans="2:12" ht="23.25" hidden="1" customHeight="1" x14ac:dyDescent="0.25">
      <c r="B1564" s="4">
        <v>1559</v>
      </c>
      <c r="C1564" s="36" t="str">
        <f>IF(Order!$C$195="","",Order!$C$195)</f>
        <v>TGR2X1 (Rectangular tube 2"X1" with 0.90 mm thickness c/reforco)</v>
      </c>
      <c r="D1564" s="36" t="str">
        <f>IF($C1564="","",_xlfn.XLOOKUP($C1564,Order!$C:$C,Order!$D:$D,"",0,1))</f>
        <v>TGR2X1</v>
      </c>
      <c r="E1564" s="4" t="e" vm="379">
        <f>IF($C1564="","",_xlfn.XLOOKUP($C1564,Order!$C:$C,Order!$E:$E,"",0,1))</f>
        <v>#VALUE!</v>
      </c>
      <c r="F1564" s="4">
        <f>IF($C1564="","",_xlfn.XLOOKUP($C1564,Order!$C:$C,Order!$F:$F,"",0,1))</f>
        <v>6000</v>
      </c>
      <c r="G1564" s="4" t="str">
        <f>IF($C1564="","",_xlfn.XLOOKUP($C1564,Order!$C:$C,Order!$G:$G,"",0,1))</f>
        <v>6063T5</v>
      </c>
      <c r="H1564" s="4">
        <f>IF($C1564="","",_xlfn.XLOOKUP($C1564,Order!$C:$C,Order!$H:$H,"",0,1))</f>
        <v>0.39500000000000002</v>
      </c>
      <c r="I1564" s="36">
        <f>IF($C1564="","",_xlfn.XLOOKUP($C1564,Order!$C:$C,Order!$M:$M,"",0,1))</f>
        <v>0</v>
      </c>
      <c r="J1564" s="4" t="str">
        <f>IF(C1564="","",Order!$M$16)</f>
        <v>BLACK ANODIZED (FAYP06)</v>
      </c>
      <c r="K1564" s="36">
        <f>IF($C1564="","",_xlfn.XLOOKUP($C1564,Order!$C:$C,Order!$P:$P,"",0,1))</f>
        <v>0</v>
      </c>
      <c r="L1564" s="4">
        <f t="shared" si="24"/>
        <v>0</v>
      </c>
    </row>
    <row r="1565" spans="2:12" ht="23.25" hidden="1" customHeight="1" x14ac:dyDescent="0.25">
      <c r="B1565" s="4">
        <v>1560</v>
      </c>
      <c r="C1565" s="36" t="str">
        <f>IF(Order!$C$196="","",Order!$C$196)</f>
        <v>TGR3X1.1/2L (Rectangular tube 3"x1.1 /2" with 1.00 mm tickness c/reforço)</v>
      </c>
      <c r="D1565" s="36" t="str">
        <f>IF($C1565="","",_xlfn.XLOOKUP($C1565,Order!$C:$C,Order!$D:$D,"",0,1))</f>
        <v>TGR3X1.1-2L</v>
      </c>
      <c r="E1565" s="4" t="e" vm="380">
        <f>IF($C1565="","",_xlfn.XLOOKUP($C1565,Order!$C:$C,Order!$E:$E,"",0,1))</f>
        <v>#VALUE!</v>
      </c>
      <c r="F1565" s="4">
        <f>IF($C1565="","",_xlfn.XLOOKUP($C1565,Order!$C:$C,Order!$F:$F,"",0,1))</f>
        <v>6000</v>
      </c>
      <c r="G1565" s="4" t="str">
        <f>IF($C1565="","",_xlfn.XLOOKUP($C1565,Order!$C:$C,Order!$G:$G,"",0,1))</f>
        <v>6063T5</v>
      </c>
      <c r="H1565" s="4">
        <f>IF($C1565="","",_xlfn.XLOOKUP($C1565,Order!$C:$C,Order!$H:$H,"",0,1))</f>
        <v>0.65200000000000002</v>
      </c>
      <c r="I1565" s="36">
        <f>IF($C1565="","",_xlfn.XLOOKUP($C1565,Order!$C:$C,Order!$M:$M,"",0,1))</f>
        <v>0</v>
      </c>
      <c r="J1565" s="4" t="str">
        <f>IF(C1565="","",Order!$M$16)</f>
        <v>BLACK ANODIZED (FAYP06)</v>
      </c>
      <c r="K1565" s="36">
        <f>IF($C1565="","",_xlfn.XLOOKUP($C1565,Order!$C:$C,Order!$P:$P,"",0,1))</f>
        <v>0</v>
      </c>
      <c r="L1565" s="4">
        <f t="shared" si="24"/>
        <v>0</v>
      </c>
    </row>
    <row r="1566" spans="2:12" ht="23.25" hidden="1" customHeight="1" x14ac:dyDescent="0.25">
      <c r="B1566" s="4">
        <v>1561</v>
      </c>
      <c r="C1566" s="36" t="str">
        <f>IF(Order!$C$197="","",Order!$C$197)</f>
        <v>TGR3X1.1/2 (Rectangular tube 3"x1.1 /2" with 1.98 mm tickness c/reforço)</v>
      </c>
      <c r="D1566" s="36" t="str">
        <f>IF($C1566="","",_xlfn.XLOOKUP($C1566,Order!$C:$C,Order!$D:$D,"",0,1))</f>
        <v>TGR3X1.1-2</v>
      </c>
      <c r="E1566" s="4" t="e" vm="381">
        <f>IF($C1566="","",_xlfn.XLOOKUP($C1566,Order!$C:$C,Order!$E:$E,"",0,1))</f>
        <v>#VALUE!</v>
      </c>
      <c r="F1566" s="4">
        <f>IF($C1566="","",_xlfn.XLOOKUP($C1566,Order!$C:$C,Order!$F:$F,"",0,1))</f>
        <v>6000</v>
      </c>
      <c r="G1566" s="4" t="str">
        <f>IF($C1566="","",_xlfn.XLOOKUP($C1566,Order!$C:$C,Order!$G:$G,"",0,1))</f>
        <v>6063T5</v>
      </c>
      <c r="H1566" s="4">
        <f>IF($C1566="","",_xlfn.XLOOKUP($C1566,Order!$C:$C,Order!$H:$H,"",0,1))</f>
        <v>0.94799999999999995</v>
      </c>
      <c r="I1566" s="36">
        <f>IF($C1566="","",_xlfn.XLOOKUP($C1566,Order!$C:$C,Order!$M:$M,"",0,1))</f>
        <v>0</v>
      </c>
      <c r="J1566" s="4" t="str">
        <f>IF(C1566="","",Order!$M$16)</f>
        <v>BLACK ANODIZED (FAYP06)</v>
      </c>
      <c r="K1566" s="36">
        <f>IF($C1566="","",_xlfn.XLOOKUP($C1566,Order!$C:$C,Order!$P:$P,"",0,1))</f>
        <v>0</v>
      </c>
      <c r="L1566" s="4">
        <f t="shared" si="24"/>
        <v>0</v>
      </c>
    </row>
    <row r="1567" spans="2:12" ht="23.25" hidden="1" customHeight="1" x14ac:dyDescent="0.25">
      <c r="B1567" s="4">
        <v>1562</v>
      </c>
      <c r="C1567" s="36" t="str">
        <f>IF(Order!$C$198="","",Order!$C$198)</f>
        <v>TGR4X2 (Rectangular Tube 4" X 2" with 1.50 mm tickness c/reforço)</v>
      </c>
      <c r="D1567" s="36" t="str">
        <f>IF($C1567="","",_xlfn.XLOOKUP($C1567,Order!$C:$C,Order!$D:$D,"",0,1))</f>
        <v>TGR4X2</v>
      </c>
      <c r="E1567" s="4" t="e" vm="382">
        <f>IF($C1567="","",_xlfn.XLOOKUP($C1567,Order!$C:$C,Order!$E:$E,"",0,1))</f>
        <v>#VALUE!</v>
      </c>
      <c r="F1567" s="4">
        <f>IF($C1567="","",_xlfn.XLOOKUP($C1567,Order!$C:$C,Order!$F:$F,"",0,1))</f>
        <v>6000</v>
      </c>
      <c r="G1567" s="4" t="str">
        <f>IF($C1567="","",_xlfn.XLOOKUP($C1567,Order!$C:$C,Order!$G:$G,"",0,1))</f>
        <v>6063T5</v>
      </c>
      <c r="H1567" s="4">
        <f>IF($C1567="","",_xlfn.XLOOKUP($C1567,Order!$C:$C,Order!$H:$H,"",0,1))</f>
        <v>1.268</v>
      </c>
      <c r="I1567" s="36">
        <f>IF($C1567="","",_xlfn.XLOOKUP($C1567,Order!$C:$C,Order!$M:$M,"",0,1))</f>
        <v>0</v>
      </c>
      <c r="J1567" s="4" t="str">
        <f>IF(C1567="","",Order!$M$16)</f>
        <v>BLACK ANODIZED (FAYP06)</v>
      </c>
      <c r="K1567" s="36">
        <f>IF($C1567="","",_xlfn.XLOOKUP($C1567,Order!$C:$C,Order!$P:$P,"",0,1))</f>
        <v>0</v>
      </c>
      <c r="L1567" s="4">
        <f t="shared" si="24"/>
        <v>0</v>
      </c>
    </row>
    <row r="1568" spans="2:12" ht="23.25" hidden="1" customHeight="1" x14ac:dyDescent="0.25">
      <c r="B1568" s="4">
        <v>1563</v>
      </c>
      <c r="C1568" s="36" t="str">
        <f>IF(Order!$C$199="","",Order!$C$199)</f>
        <v>MT 0045 (Retangular Tube 3x1.1/2 com raia)</v>
      </c>
      <c r="D1568" s="36" t="str">
        <f>IF($C1568="","",_xlfn.XLOOKUP($C1568,Order!$C:$C,Order!$D:$D,"",0,1))</f>
        <v>MT0045</v>
      </c>
      <c r="E1568" s="4" t="e" vm="383">
        <f>IF($C1568="","",_xlfn.XLOOKUP($C1568,Order!$C:$C,Order!$E:$E,"",0,1))</f>
        <v>#VALUE!</v>
      </c>
      <c r="F1568" s="4">
        <f>IF($C1568="","",_xlfn.XLOOKUP($C1568,Order!$C:$C,Order!$F:$F,"",0,1))</f>
        <v>6000</v>
      </c>
      <c r="G1568" s="4" t="str">
        <f>IF($C1568="","",_xlfn.XLOOKUP($C1568,Order!$C:$C,Order!$G:$G,"",0,1))</f>
        <v>6063T5</v>
      </c>
      <c r="H1568" s="4">
        <f>IF($C1568="","",_xlfn.XLOOKUP($C1568,Order!$C:$C,Order!$H:$H,"",0,1))</f>
        <v>0.66400000000000003</v>
      </c>
      <c r="I1568" s="36">
        <f>IF($C1568="","",_xlfn.XLOOKUP($C1568,Order!$C:$C,Order!$M:$M,"",0,1))</f>
        <v>0</v>
      </c>
      <c r="J1568" s="4" t="str">
        <f>IF(C1568="","",Order!$M$16)</f>
        <v>BLACK ANODIZED (FAYP06)</v>
      </c>
      <c r="K1568" s="36">
        <f>IF($C1568="","",_xlfn.XLOOKUP($C1568,Order!$C:$C,Order!$P:$P,"",0,1))</f>
        <v>0</v>
      </c>
      <c r="L1568" s="4">
        <f t="shared" si="24"/>
        <v>0</v>
      </c>
    </row>
    <row r="1569" spans="2:12" ht="23.25" hidden="1" customHeight="1" x14ac:dyDescent="0.25">
      <c r="B1569" s="4">
        <v>1564</v>
      </c>
      <c r="C1569" s="36" t="str">
        <f>IF(Order!$C$200="","",Order!$C$200)</f>
        <v>MT0008</v>
      </c>
      <c r="D1569" s="36" t="str">
        <f>IF($C1569="","",_xlfn.XLOOKUP($C1569,Order!$C:$C,Order!$D:$D,"",0,1))</f>
        <v>MT0008</v>
      </c>
      <c r="E1569" s="4" t="e" vm="384">
        <f>IF($C1569="","",_xlfn.XLOOKUP($C1569,Order!$C:$C,Order!$E:$E,"",0,1))</f>
        <v>#VALUE!</v>
      </c>
      <c r="F1569" s="4">
        <f>IF($C1569="","",_xlfn.XLOOKUP($C1569,Order!$C:$C,Order!$F:$F,"",0,1))</f>
        <v>6000</v>
      </c>
      <c r="G1569" s="4" t="str">
        <f>IF($C1569="","",_xlfn.XLOOKUP($C1569,Order!$C:$C,Order!$G:$G,"",0,1))</f>
        <v>6063T5</v>
      </c>
      <c r="H1569" s="4">
        <f>IF($C1569="","",_xlfn.XLOOKUP($C1569,Order!$C:$C,Order!$H:$H,"",0,1))</f>
        <v>0.44400000000000001</v>
      </c>
      <c r="I1569" s="36">
        <f>IF($C1569="","",_xlfn.XLOOKUP($C1569,Order!$C:$C,Order!$M:$M,"",0,1))</f>
        <v>0</v>
      </c>
      <c r="J1569" s="4" t="str">
        <f>IF(C1569="","",Order!$M$16)</f>
        <v>BLACK ANODIZED (FAYP06)</v>
      </c>
      <c r="K1569" s="36">
        <f>IF($C1569="","",_xlfn.XLOOKUP($C1569,Order!$C:$C,Order!$P:$P,"",0,1))</f>
        <v>0</v>
      </c>
      <c r="L1569" s="4">
        <f t="shared" si="24"/>
        <v>0</v>
      </c>
    </row>
    <row r="1570" spans="2:12" ht="23.25" hidden="1" customHeight="1" x14ac:dyDescent="0.25">
      <c r="B1570" s="4">
        <v>1565</v>
      </c>
      <c r="C1570" s="36" t="str">
        <f>IF(Order!$C$201="","",Order!$C$201)</f>
        <v>MT0010</v>
      </c>
      <c r="D1570" s="36" t="str">
        <f>IF($C1570="","",_xlfn.XLOOKUP($C1570,Order!$C:$C,Order!$D:$D,"",0,1))</f>
        <v>MT0010</v>
      </c>
      <c r="E1570" s="4" t="e" vm="385">
        <f>IF($C1570="","",_xlfn.XLOOKUP($C1570,Order!$C:$C,Order!$E:$E,"",0,1))</f>
        <v>#VALUE!</v>
      </c>
      <c r="F1570" s="4">
        <f>IF($C1570="","",_xlfn.XLOOKUP($C1570,Order!$C:$C,Order!$F:$F,"",0,1))</f>
        <v>6000</v>
      </c>
      <c r="G1570" s="4" t="str">
        <f>IF($C1570="","",_xlfn.XLOOKUP($C1570,Order!$C:$C,Order!$G:$G,"",0,1))</f>
        <v>6063T5</v>
      </c>
      <c r="H1570" s="4">
        <f>IF($C1570="","",_xlfn.XLOOKUP($C1570,Order!$C:$C,Order!$H:$H,"",0,1))</f>
        <v>0.49299999999999999</v>
      </c>
      <c r="I1570" s="36">
        <f>IF($C1570="","",_xlfn.XLOOKUP($C1570,Order!$C:$C,Order!$M:$M,"",0,1))</f>
        <v>0</v>
      </c>
      <c r="J1570" s="4" t="str">
        <f>IF(C1570="","",Order!$M$16)</f>
        <v>BLACK ANODIZED (FAYP06)</v>
      </c>
      <c r="K1570" s="36">
        <f>IF($C1570="","",_xlfn.XLOOKUP($C1570,Order!$C:$C,Order!$P:$P,"",0,1))</f>
        <v>0</v>
      </c>
      <c r="L1570" s="4">
        <f t="shared" si="24"/>
        <v>0</v>
      </c>
    </row>
    <row r="1571" spans="2:12" ht="23.25" customHeight="1" x14ac:dyDescent="0.25">
      <c r="B1571" s="4">
        <v>1566</v>
      </c>
      <c r="C1571" s="36" t="str">
        <f>IF(Order!$C$202="","",Order!$C$202)</f>
        <v>CG072</v>
      </c>
      <c r="D1571" s="36" t="str">
        <f>IF($C1571="","",_xlfn.XLOOKUP($C1571,Order!$C:$C,Order!$D:$D,"",0,1))</f>
        <v>CG072</v>
      </c>
      <c r="E1571" s="4" t="e" vm="386">
        <f>IF($C1571="","",_xlfn.XLOOKUP($C1571,Order!$C:$C,Order!$E:$E,"",0,1))</f>
        <v>#VALUE!</v>
      </c>
      <c r="F1571" s="4">
        <f>IF($C1571="","",_xlfn.XLOOKUP($C1571,Order!$C:$C,Order!$F:$F,"",0,1))</f>
        <v>6000</v>
      </c>
      <c r="G1571" s="4" t="str">
        <f>IF($C1571="","",_xlfn.XLOOKUP($C1571,Order!$C:$C,Order!$G:$G,"",0,1))</f>
        <v>6063T5</v>
      </c>
      <c r="H1571" s="4">
        <f>IF($C1571="","",_xlfn.XLOOKUP($C1571,Order!$C:$C,Order!$H:$H,"",0,1))</f>
        <v>0.96299999999999997</v>
      </c>
      <c r="I1571" s="36">
        <f>IF($C1571="","",_xlfn.XLOOKUP($C1571,Order!$C:$C,Order!$M:$M,"",0,1))</f>
        <v>50</v>
      </c>
      <c r="J1571" s="4" t="str">
        <f>IF(C1571="","",Order!$M$16)</f>
        <v>BLACK ANODIZED (FAYP06)</v>
      </c>
      <c r="K1571" s="36">
        <f>IF($C1571="","",_xlfn.XLOOKUP($C1571,Order!$C:$C,Order!$P:$P,"",0,1))</f>
        <v>0</v>
      </c>
      <c r="L1571" s="4">
        <f t="shared" si="24"/>
        <v>288.89999999999998</v>
      </c>
    </row>
    <row r="1572" spans="2:12" ht="23.25" hidden="1" customHeight="1" x14ac:dyDescent="0.25">
      <c r="B1572" s="4">
        <v>1567</v>
      </c>
      <c r="C1572" s="36" t="str">
        <f>IF(Order!$C$203="","",Order!$C$203)</f>
        <v>MT0046</v>
      </c>
      <c r="D1572" s="36" t="str">
        <f>IF($C1572="","",_xlfn.XLOOKUP($C1572,Order!$C:$C,Order!$D:$D,"",0,1))</f>
        <v>MT0046</v>
      </c>
      <c r="E1572" s="4" t="e" vm="387">
        <f>IF($C1572="","",_xlfn.XLOOKUP($C1572,Order!$C:$C,Order!$E:$E,"",0,1))</f>
        <v>#VALUE!</v>
      </c>
      <c r="F1572" s="4">
        <f>IF($C1572="","",_xlfn.XLOOKUP($C1572,Order!$C:$C,Order!$F:$F,"",0,1))</f>
        <v>6000</v>
      </c>
      <c r="G1572" s="4" t="str">
        <f>IF($C1572="","",_xlfn.XLOOKUP($C1572,Order!$C:$C,Order!$G:$G,"",0,1))</f>
        <v>6063T5</v>
      </c>
      <c r="H1572" s="4">
        <f>IF($C1572="","",_xlfn.XLOOKUP($C1572,Order!$C:$C,Order!$H:$H,"",0,1))</f>
        <v>1.2410000000000001</v>
      </c>
      <c r="I1572" s="36">
        <f>IF($C1572="","",_xlfn.XLOOKUP($C1572,Order!$C:$C,Order!$M:$M,"",0,1))</f>
        <v>0</v>
      </c>
      <c r="J1572" s="4" t="str">
        <f>IF(C1572="","",Order!$M$16)</f>
        <v>BLACK ANODIZED (FAYP06)</v>
      </c>
      <c r="K1572" s="36">
        <f>IF($C1572="","",_xlfn.XLOOKUP($C1572,Order!$C:$C,Order!$P:$P,"",0,1))</f>
        <v>0</v>
      </c>
      <c r="L1572" s="4">
        <f t="shared" si="24"/>
        <v>0</v>
      </c>
    </row>
    <row r="1573" spans="2:12" ht="23.25" hidden="1" customHeight="1" x14ac:dyDescent="0.25">
      <c r="B1573" s="4">
        <v>1568</v>
      </c>
      <c r="C1573" s="36" t="str">
        <f>IF(Order!$C$204="","",Order!$C$204)</f>
        <v>MT0047</v>
      </c>
      <c r="D1573" s="36" t="str">
        <f>IF($C1573="","",_xlfn.XLOOKUP($C1573,Order!$C:$C,Order!$D:$D,"",0,1))</f>
        <v>MT0047</v>
      </c>
      <c r="E1573" s="4" t="e" vm="388">
        <f>IF($C1573="","",_xlfn.XLOOKUP($C1573,Order!$C:$C,Order!$E:$E,"",0,1))</f>
        <v>#VALUE!</v>
      </c>
      <c r="F1573" s="4">
        <f>IF($C1573="","",_xlfn.XLOOKUP($C1573,Order!$C:$C,Order!$F:$F,"",0,1))</f>
        <v>6000</v>
      </c>
      <c r="G1573" s="4" t="str">
        <f>IF($C1573="","",_xlfn.XLOOKUP($C1573,Order!$C:$C,Order!$G:$G,"",0,1))</f>
        <v>6063T5</v>
      </c>
      <c r="H1573" s="4">
        <f>IF($C1573="","",_xlfn.XLOOKUP($C1573,Order!$C:$C,Order!$H:$H,"",0,1))</f>
        <v>0.23599999999999999</v>
      </c>
      <c r="I1573" s="36">
        <f>IF($C1573="","",_xlfn.XLOOKUP($C1573,Order!$C:$C,Order!$M:$M,"",0,1))</f>
        <v>0</v>
      </c>
      <c r="J1573" s="4" t="str">
        <f>IF(C1573="","",Order!$M$16)</f>
        <v>BLACK ANODIZED (FAYP06)</v>
      </c>
      <c r="K1573" s="36">
        <f>IF($C1573="","",_xlfn.XLOOKUP($C1573,Order!$C:$C,Order!$P:$P,"",0,1))</f>
        <v>0</v>
      </c>
      <c r="L1573" s="4">
        <f t="shared" si="24"/>
        <v>0</v>
      </c>
    </row>
    <row r="1574" spans="2:12" ht="23.25" hidden="1" customHeight="1" x14ac:dyDescent="0.25">
      <c r="B1574" s="4">
        <v>1569</v>
      </c>
      <c r="C1574" s="36" t="str">
        <f>IF(Order!$C$205="","",Order!$C$205)</f>
        <v>MT0048</v>
      </c>
      <c r="D1574" s="36" t="str">
        <f>IF($C1574="","",_xlfn.XLOOKUP($C1574,Order!$C:$C,Order!$D:$D,"",0,1))</f>
        <v>MT0048</v>
      </c>
      <c r="E1574" s="4" t="e" vm="389">
        <f>IF($C1574="","",_xlfn.XLOOKUP($C1574,Order!$C:$C,Order!$E:$E,"",0,1))</f>
        <v>#VALUE!</v>
      </c>
      <c r="F1574" s="4">
        <f>IF($C1574="","",_xlfn.XLOOKUP($C1574,Order!$C:$C,Order!$F:$F,"",0,1))</f>
        <v>6000</v>
      </c>
      <c r="G1574" s="4" t="str">
        <f>IF($C1574="","",_xlfn.XLOOKUP($C1574,Order!$C:$C,Order!$G:$G,"",0,1))</f>
        <v>6063T5</v>
      </c>
      <c r="H1574" s="4">
        <f>IF($C1574="","",_xlfn.XLOOKUP($C1574,Order!$C:$C,Order!$H:$H,"",0,1))</f>
        <v>0.79300000000000004</v>
      </c>
      <c r="I1574" s="36">
        <f>IF($C1574="","",_xlfn.XLOOKUP($C1574,Order!$C:$C,Order!$M:$M,"",0,1))</f>
        <v>0</v>
      </c>
      <c r="J1574" s="4" t="str">
        <f>IF(C1574="","",Order!$M$16)</f>
        <v>BLACK ANODIZED (FAYP06)</v>
      </c>
      <c r="K1574" s="36">
        <f>IF($C1574="","",_xlfn.XLOOKUP($C1574,Order!$C:$C,Order!$P:$P,"",0,1))</f>
        <v>0</v>
      </c>
      <c r="L1574" s="4">
        <f t="shared" si="24"/>
        <v>0</v>
      </c>
    </row>
    <row r="1575" spans="2:12" ht="23.25" hidden="1" customHeight="1" x14ac:dyDescent="0.25">
      <c r="B1575" s="4">
        <v>1570</v>
      </c>
      <c r="C1575" s="36" t="str">
        <f>IF(Order!$C$206="","",Order!$C$206)</f>
        <v>CG075 (MT0049)</v>
      </c>
      <c r="D1575" s="36" t="str">
        <f>IF($C1575="","",_xlfn.XLOOKUP($C1575,Order!$C:$C,Order!$D:$D,"",0,1))</f>
        <v>MT0049</v>
      </c>
      <c r="E1575" s="4" t="e" vm="390">
        <f>IF($C1575="","",_xlfn.XLOOKUP($C1575,Order!$C:$C,Order!$E:$E,"",0,1))</f>
        <v>#VALUE!</v>
      </c>
      <c r="F1575" s="4">
        <f>IF($C1575="","",_xlfn.XLOOKUP($C1575,Order!$C:$C,Order!$F:$F,"",0,1))</f>
        <v>6000</v>
      </c>
      <c r="G1575" s="4" t="str">
        <f>IF($C1575="","",_xlfn.XLOOKUP($C1575,Order!$C:$C,Order!$G:$G,"",0,1))</f>
        <v>6063T5</v>
      </c>
      <c r="H1575" s="4">
        <f>IF($C1575="","",_xlfn.XLOOKUP($C1575,Order!$C:$C,Order!$H:$H,"",0,1))</f>
        <v>0.46300000000000002</v>
      </c>
      <c r="I1575" s="36">
        <f>IF($C1575="","",_xlfn.XLOOKUP($C1575,Order!$C:$C,Order!$M:$M,"",0,1))</f>
        <v>0</v>
      </c>
      <c r="J1575" s="4" t="str">
        <f>IF(C1575="","",Order!$M$16)</f>
        <v>BLACK ANODIZED (FAYP06)</v>
      </c>
      <c r="K1575" s="36">
        <f>IF($C1575="","",_xlfn.XLOOKUP($C1575,Order!$C:$C,Order!$P:$P,"",0,1))</f>
        <v>0</v>
      </c>
      <c r="L1575" s="4">
        <f t="shared" si="24"/>
        <v>0</v>
      </c>
    </row>
    <row r="1576" spans="2:12" ht="23.25" customHeight="1" x14ac:dyDescent="0.25">
      <c r="B1576" s="4">
        <v>1571</v>
      </c>
      <c r="C1576" s="36" t="str">
        <f>IF(Order!$C$207="","",Order!$C$207)</f>
        <v>CG2535</v>
      </c>
      <c r="D1576" s="36" t="str">
        <f>IF($C1576="","",_xlfn.XLOOKUP($C1576,Order!$C:$C,Order!$D:$D,"",0,1))</f>
        <v>CG2535</v>
      </c>
      <c r="E1576" s="4" t="e" vm="391">
        <f>IF($C1576="","",_xlfn.XLOOKUP($C1576,Order!$C:$C,Order!$E:$E,"",0,1))</f>
        <v>#VALUE!</v>
      </c>
      <c r="F1576" s="4">
        <f>IF($C1576="","",_xlfn.XLOOKUP($C1576,Order!$C:$C,Order!$F:$F,"",0,1))</f>
        <v>6000</v>
      </c>
      <c r="G1576" s="4" t="str">
        <f>IF($C1576="","",_xlfn.XLOOKUP($C1576,Order!$C:$C,Order!$G:$G,"",0,1))</f>
        <v>6063T5</v>
      </c>
      <c r="H1576" s="4">
        <f>IF($C1576="","",_xlfn.XLOOKUP($C1576,Order!$C:$C,Order!$H:$H,"",0,1))</f>
        <v>0.39400000000000002</v>
      </c>
      <c r="I1576" s="36">
        <f>IF($C1576="","",_xlfn.XLOOKUP($C1576,Order!$C:$C,Order!$M:$M,"",0,1))</f>
        <v>50</v>
      </c>
      <c r="J1576" s="4" t="str">
        <f>IF(C1576="","",Order!$M$16)</f>
        <v>BLACK ANODIZED (FAYP06)</v>
      </c>
      <c r="K1576" s="36">
        <f>IF($C1576="","",_xlfn.XLOOKUP($C1576,Order!$C:$C,Order!$P:$P,"",0,1))</f>
        <v>0</v>
      </c>
      <c r="L1576" s="4">
        <f t="shared" si="24"/>
        <v>118.19999999999999</v>
      </c>
    </row>
    <row r="1577" spans="2:12" ht="23.25" hidden="1" customHeight="1" x14ac:dyDescent="0.25">
      <c r="B1577" s="4">
        <v>1572</v>
      </c>
      <c r="C1577" s="36" t="str">
        <f>IF(Order!$C$208="","",Order!$C$208)</f>
        <v>BX706</v>
      </c>
      <c r="D1577" s="36" t="str">
        <f>IF($C1577="","",_xlfn.XLOOKUP($C1577,Order!$C:$C,Order!$D:$D,"",0,1))</f>
        <v>BX706</v>
      </c>
      <c r="E1577" s="4" t="e" vm="392">
        <f>IF($C1577="","",_xlfn.XLOOKUP($C1577,Order!$C:$C,Order!$E:$E,"",0,1))</f>
        <v>#VALUE!</v>
      </c>
      <c r="F1577" s="4">
        <f>IF($C1577="","",_xlfn.XLOOKUP($C1577,Order!$C:$C,Order!$F:$F,"",0,1))</f>
        <v>6000</v>
      </c>
      <c r="G1577" s="4" t="str">
        <f>IF($C1577="","",_xlfn.XLOOKUP($C1577,Order!$C:$C,Order!$G:$G,"",0,1))</f>
        <v>6063T5</v>
      </c>
      <c r="H1577" s="4">
        <f>IF($C1577="","",_xlfn.XLOOKUP($C1577,Order!$C:$C,Order!$H:$H,"",0,1))</f>
        <v>0.84799999999999998</v>
      </c>
      <c r="I1577" s="36">
        <f>IF($C1577="","",_xlfn.XLOOKUP($C1577,Order!$C:$C,Order!$M:$M,"",0,1))</f>
        <v>0</v>
      </c>
      <c r="J1577" s="4" t="str">
        <f>IF(C1577="","",Order!$M$16)</f>
        <v>BLACK ANODIZED (FAYP06)</v>
      </c>
      <c r="K1577" s="36">
        <f>IF($C1577="","",_xlfn.XLOOKUP($C1577,Order!$C:$C,Order!$P:$P,"",0,1))</f>
        <v>0</v>
      </c>
      <c r="L1577" s="4">
        <f t="shared" si="24"/>
        <v>0</v>
      </c>
    </row>
    <row r="1578" spans="2:12" ht="23.25" hidden="1" customHeight="1" x14ac:dyDescent="0.25">
      <c r="B1578" s="4">
        <v>1573</v>
      </c>
      <c r="C1578" s="36" t="str">
        <f>IF(Order!$C$209="","",Order!$C$209)</f>
        <v>GR001</v>
      </c>
      <c r="D1578" s="36" t="str">
        <f>IF($C1578="","",_xlfn.XLOOKUP($C1578,Order!$C:$C,Order!$D:$D,"",0,1))</f>
        <v>GR001</v>
      </c>
      <c r="E1578" s="4" t="e" vm="393">
        <f>IF($C1578="","",_xlfn.XLOOKUP($C1578,Order!$C:$C,Order!$E:$E,"",0,1))</f>
        <v>#VALUE!</v>
      </c>
      <c r="F1578" s="4">
        <f>IF($C1578="","",_xlfn.XLOOKUP($C1578,Order!$C:$C,Order!$F:$F,"",0,1))</f>
        <v>6000</v>
      </c>
      <c r="G1578" s="4" t="str">
        <f>IF($C1578="","",_xlfn.XLOOKUP($C1578,Order!$C:$C,Order!$G:$G,"",0,1))</f>
        <v>6063T5</v>
      </c>
      <c r="H1578" s="4">
        <f>IF($C1578="","",_xlfn.XLOOKUP($C1578,Order!$C:$C,Order!$H:$H,"",0,1))</f>
        <v>1.0089999999999999</v>
      </c>
      <c r="I1578" s="36">
        <f>IF($C1578="","",_xlfn.XLOOKUP($C1578,Order!$C:$C,Order!$M:$M,"",0,1))</f>
        <v>0</v>
      </c>
      <c r="J1578" s="4" t="str">
        <f>IF(C1578="","",Order!$M$16)</f>
        <v>BLACK ANODIZED (FAYP06)</v>
      </c>
      <c r="K1578" s="36">
        <f>IF($C1578="","",_xlfn.XLOOKUP($C1578,Order!$C:$C,Order!$P:$P,"",0,1))</f>
        <v>0</v>
      </c>
      <c r="L1578" s="4">
        <f t="shared" si="24"/>
        <v>0</v>
      </c>
    </row>
    <row r="1579" spans="2:12" ht="23.25" hidden="1" customHeight="1" x14ac:dyDescent="0.25">
      <c r="B1579" s="4">
        <v>1574</v>
      </c>
      <c r="C1579" s="36" t="str">
        <f>IF(Order!$C$210="","",Order!$C$210)</f>
        <v>GR002</v>
      </c>
      <c r="D1579" s="36" t="str">
        <f>IF($C1579="","",_xlfn.XLOOKUP($C1579,Order!$C:$C,Order!$D:$D,"",0,1))</f>
        <v>GR002</v>
      </c>
      <c r="E1579" s="4" t="e" vm="394">
        <f>IF($C1579="","",_xlfn.XLOOKUP($C1579,Order!$C:$C,Order!$E:$E,"",0,1))</f>
        <v>#VALUE!</v>
      </c>
      <c r="F1579" s="4">
        <f>IF($C1579="","",_xlfn.XLOOKUP($C1579,Order!$C:$C,Order!$F:$F,"",0,1))</f>
        <v>6000</v>
      </c>
      <c r="G1579" s="4" t="str">
        <f>IF($C1579="","",_xlfn.XLOOKUP($C1579,Order!$C:$C,Order!$G:$G,"",0,1))</f>
        <v>6063T5</v>
      </c>
      <c r="H1579" s="4">
        <f>IF($C1579="","",_xlfn.XLOOKUP($C1579,Order!$C:$C,Order!$H:$H,"",0,1))</f>
        <v>0.95599999999999996</v>
      </c>
      <c r="I1579" s="36">
        <f>IF($C1579="","",_xlfn.XLOOKUP($C1579,Order!$C:$C,Order!$M:$M,"",0,1))</f>
        <v>0</v>
      </c>
      <c r="J1579" s="4" t="str">
        <f>IF(C1579="","",Order!$M$16)</f>
        <v>BLACK ANODIZED (FAYP06)</v>
      </c>
      <c r="K1579" s="36">
        <f>IF($C1579="","",_xlfn.XLOOKUP($C1579,Order!$C:$C,Order!$P:$P,"",0,1))</f>
        <v>0</v>
      </c>
      <c r="L1579" s="4">
        <f t="shared" si="24"/>
        <v>0</v>
      </c>
    </row>
    <row r="1580" spans="2:12" ht="23.25" hidden="1" customHeight="1" x14ac:dyDescent="0.25">
      <c r="B1580" s="4">
        <v>1575</v>
      </c>
      <c r="C1580" s="36" t="str">
        <f>IF(Order!$C$211="","",Order!$C$211)</f>
        <v>BX062</v>
      </c>
      <c r="D1580" s="36" t="str">
        <f>IF($C1580="","",_xlfn.XLOOKUP($C1580,Order!$C:$C,Order!$D:$D,"",0,1))</f>
        <v>BX062</v>
      </c>
      <c r="E1580" s="4" t="e" vm="395">
        <f>IF($C1580="","",_xlfn.XLOOKUP($C1580,Order!$C:$C,Order!$E:$E,"",0,1))</f>
        <v>#VALUE!</v>
      </c>
      <c r="F1580" s="4">
        <f>IF($C1580="","",_xlfn.XLOOKUP($C1580,Order!$C:$C,Order!$F:$F,"",0,1))</f>
        <v>6000</v>
      </c>
      <c r="G1580" s="4" t="str">
        <f>IF($C1580="","",_xlfn.XLOOKUP($C1580,Order!$C:$C,Order!$G:$G,"",0,1))</f>
        <v>6063T5</v>
      </c>
      <c r="H1580" s="4">
        <f>IF($C1580="","",_xlfn.XLOOKUP($C1580,Order!$C:$C,Order!$H:$H,"",0,1))</f>
        <v>0.23599999999999999</v>
      </c>
      <c r="I1580" s="36">
        <f>IF($C1580="","",_xlfn.XLOOKUP($C1580,Order!$C:$C,Order!$M:$M,"",0,1))</f>
        <v>0</v>
      </c>
      <c r="J1580" s="4" t="str">
        <f>IF(C1580="","",Order!$M$16)</f>
        <v>BLACK ANODIZED (FAYP06)</v>
      </c>
      <c r="K1580" s="36">
        <f>IF($C1580="","",_xlfn.XLOOKUP($C1580,Order!$C:$C,Order!$P:$P,"",0,1))</f>
        <v>0</v>
      </c>
      <c r="L1580" s="4">
        <f t="shared" si="24"/>
        <v>0</v>
      </c>
    </row>
    <row r="1581" spans="2:12" ht="23.25" hidden="1" customHeight="1" x14ac:dyDescent="0.25">
      <c r="B1581" s="4">
        <v>1576</v>
      </c>
      <c r="C1581" s="36" t="str">
        <f>IF(Order!$C$212="","",Order!$C$212)</f>
        <v>BX101</v>
      </c>
      <c r="D1581" s="36" t="str">
        <f>IF($C1581="","",_xlfn.XLOOKUP($C1581,Order!$C:$C,Order!$D:$D,"",0,1))</f>
        <v>BX101</v>
      </c>
      <c r="E1581" s="4" t="e" vm="396">
        <f>IF($C1581="","",_xlfn.XLOOKUP($C1581,Order!$C:$C,Order!$E:$E,"",0,1))</f>
        <v>#VALUE!</v>
      </c>
      <c r="F1581" s="4">
        <f>IF($C1581="","",_xlfn.XLOOKUP($C1581,Order!$C:$C,Order!$F:$F,"",0,1))</f>
        <v>6000</v>
      </c>
      <c r="G1581" s="4" t="str">
        <f>IF($C1581="","",_xlfn.XLOOKUP($C1581,Order!$C:$C,Order!$G:$G,"",0,1))</f>
        <v>6063T5</v>
      </c>
      <c r="H1581" s="4">
        <f>IF($C1581="","",_xlfn.XLOOKUP($C1581,Order!$C:$C,Order!$H:$H,"",0,1))</f>
        <v>0.42599999999999999</v>
      </c>
      <c r="I1581" s="36">
        <f>IF($C1581="","",_xlfn.XLOOKUP($C1581,Order!$C:$C,Order!$M:$M,"",0,1))</f>
        <v>0</v>
      </c>
      <c r="J1581" s="4" t="str">
        <f>IF(C1581="","",Order!$M$16)</f>
        <v>BLACK ANODIZED (FAYP06)</v>
      </c>
      <c r="K1581" s="36">
        <f>IF($C1581="","",_xlfn.XLOOKUP($C1581,Order!$C:$C,Order!$P:$P,"",0,1))</f>
        <v>0</v>
      </c>
      <c r="L1581" s="4">
        <f t="shared" si="24"/>
        <v>0</v>
      </c>
    </row>
    <row r="1582" spans="2:12" ht="23.25" hidden="1" customHeight="1" x14ac:dyDescent="0.25">
      <c r="B1582" s="4">
        <v>1577</v>
      </c>
      <c r="C1582" s="36" t="str">
        <f>IF(Order!$C$213="","",Order!$C$213)</f>
        <v>BX060</v>
      </c>
      <c r="D1582" s="36" t="str">
        <f>IF($C1582="","",_xlfn.XLOOKUP($C1582,Order!$C:$C,Order!$D:$D,"",0,1))</f>
        <v>BX060</v>
      </c>
      <c r="E1582" s="4" t="e" vm="397">
        <f>IF($C1582="","",_xlfn.XLOOKUP($C1582,Order!$C:$C,Order!$E:$E,"",0,1))</f>
        <v>#VALUE!</v>
      </c>
      <c r="F1582" s="4">
        <f>IF($C1582="","",_xlfn.XLOOKUP($C1582,Order!$C:$C,Order!$F:$F,"",0,1))</f>
        <v>6000</v>
      </c>
      <c r="G1582" s="4" t="str">
        <f>IF($C1582="","",_xlfn.XLOOKUP($C1582,Order!$C:$C,Order!$G:$G,"",0,1))</f>
        <v>6063T5</v>
      </c>
      <c r="H1582" s="4">
        <f>IF($C1582="","",_xlfn.XLOOKUP($C1582,Order!$C:$C,Order!$H:$H,"",0,1))</f>
        <v>0.17499999999999999</v>
      </c>
      <c r="I1582" s="36">
        <f>IF($C1582="","",_xlfn.XLOOKUP($C1582,Order!$C:$C,Order!$M:$M,"",0,1))</f>
        <v>0</v>
      </c>
      <c r="J1582" s="4" t="str">
        <f>IF(C1582="","",Order!$M$16)</f>
        <v>BLACK ANODIZED (FAYP06)</v>
      </c>
      <c r="K1582" s="36">
        <f>IF($C1582="","",_xlfn.XLOOKUP($C1582,Order!$C:$C,Order!$P:$P,"",0,1))</f>
        <v>0</v>
      </c>
      <c r="L1582" s="4">
        <f t="shared" si="24"/>
        <v>0</v>
      </c>
    </row>
    <row r="1583" spans="2:12" ht="23.25" hidden="1" customHeight="1" x14ac:dyDescent="0.25">
      <c r="B1583" s="4">
        <v>1578</v>
      </c>
      <c r="C1583" s="36" t="str">
        <f>IF(Order!$C$214="","",Order!$C$214)</f>
        <v>BX061</v>
      </c>
      <c r="D1583" s="36" t="str">
        <f>IF($C1583="","",_xlfn.XLOOKUP($C1583,Order!$C:$C,Order!$D:$D,"",0,1))</f>
        <v>BX061</v>
      </c>
      <c r="E1583" s="4" t="e" vm="398">
        <f>IF($C1583="","",_xlfn.XLOOKUP($C1583,Order!$C:$C,Order!$E:$E,"",0,1))</f>
        <v>#VALUE!</v>
      </c>
      <c r="F1583" s="4">
        <f>IF($C1583="","",_xlfn.XLOOKUP($C1583,Order!$C:$C,Order!$F:$F,"",0,1))</f>
        <v>6000</v>
      </c>
      <c r="G1583" s="4" t="str">
        <f>IF($C1583="","",_xlfn.XLOOKUP($C1583,Order!$C:$C,Order!$G:$G,"",0,1))</f>
        <v>6063T5</v>
      </c>
      <c r="H1583" s="4">
        <f>IF($C1583="","",_xlfn.XLOOKUP($C1583,Order!$C:$C,Order!$H:$H,"",0,1))</f>
        <v>0.161</v>
      </c>
      <c r="I1583" s="36">
        <f>IF($C1583="","",_xlfn.XLOOKUP($C1583,Order!$C:$C,Order!$M:$M,"",0,1))</f>
        <v>0</v>
      </c>
      <c r="J1583" s="4" t="str">
        <f>IF(C1583="","",Order!$M$16)</f>
        <v>BLACK ANODIZED (FAYP06)</v>
      </c>
      <c r="K1583" s="36">
        <f>IF($C1583="","",_xlfn.XLOOKUP($C1583,Order!$C:$C,Order!$P:$P,"",0,1))</f>
        <v>0</v>
      </c>
      <c r="L1583" s="4">
        <f t="shared" si="24"/>
        <v>0</v>
      </c>
    </row>
    <row r="1584" spans="2:12" ht="23.25" hidden="1" customHeight="1" x14ac:dyDescent="0.25">
      <c r="B1584" s="4">
        <v>1579</v>
      </c>
      <c r="C1584" s="36" t="str">
        <f>IF(Order!$C$215="","",Order!$C$215)</f>
        <v>BX063</v>
      </c>
      <c r="D1584" s="36" t="str">
        <f>IF($C1584="","",_xlfn.XLOOKUP($C1584,Order!$C:$C,Order!$D:$D,"",0,1))</f>
        <v>BX063</v>
      </c>
      <c r="E1584" s="4" t="e" vm="399">
        <f>IF($C1584="","",_xlfn.XLOOKUP($C1584,Order!$C:$C,Order!$E:$E,"",0,1))</f>
        <v>#VALUE!</v>
      </c>
      <c r="F1584" s="4">
        <f>IF($C1584="","",_xlfn.XLOOKUP($C1584,Order!$C:$C,Order!$F:$F,"",0,1))</f>
        <v>6000</v>
      </c>
      <c r="G1584" s="4" t="str">
        <f>IF($C1584="","",_xlfn.XLOOKUP($C1584,Order!$C:$C,Order!$G:$G,"",0,1))</f>
        <v>6063T5</v>
      </c>
      <c r="H1584" s="4">
        <f>IF($C1584="","",_xlfn.XLOOKUP($C1584,Order!$C:$C,Order!$H:$H,"",0,1))</f>
        <v>0.20699999999999999</v>
      </c>
      <c r="I1584" s="36">
        <f>IF($C1584="","",_xlfn.XLOOKUP($C1584,Order!$C:$C,Order!$M:$M,"",0,1))</f>
        <v>0</v>
      </c>
      <c r="J1584" s="4" t="str">
        <f>IF(C1584="","",Order!$M$16)</f>
        <v>BLACK ANODIZED (FAYP06)</v>
      </c>
      <c r="K1584" s="36">
        <f>IF($C1584="","",_xlfn.XLOOKUP($C1584,Order!$C:$C,Order!$P:$P,"",0,1))</f>
        <v>0</v>
      </c>
      <c r="L1584" s="4">
        <f t="shared" si="24"/>
        <v>0</v>
      </c>
    </row>
    <row r="1585" spans="2:12" ht="23.25" hidden="1" customHeight="1" x14ac:dyDescent="0.25">
      <c r="B1585" s="4">
        <v>1580</v>
      </c>
      <c r="C1585" s="36" t="str">
        <f>IF(Order!$C$216="","",Order!$C$216)</f>
        <v>BX116</v>
      </c>
      <c r="D1585" s="36" t="str">
        <f>IF($C1585="","",_xlfn.XLOOKUP($C1585,Order!$C:$C,Order!$D:$D,"",0,1))</f>
        <v>BX116</v>
      </c>
      <c r="E1585" s="4" t="e" vm="400">
        <f>IF($C1585="","",_xlfn.XLOOKUP($C1585,Order!$C:$C,Order!$E:$E,"",0,1))</f>
        <v>#VALUE!</v>
      </c>
      <c r="F1585" s="4">
        <f>IF($C1585="","",_xlfn.XLOOKUP($C1585,Order!$C:$C,Order!$F:$F,"",0,1))</f>
        <v>6000</v>
      </c>
      <c r="G1585" s="4" t="str">
        <f>IF($C1585="","",_xlfn.XLOOKUP($C1585,Order!$C:$C,Order!$G:$G,"",0,1))</f>
        <v>6063T5</v>
      </c>
      <c r="H1585" s="4">
        <f>IF($C1585="","",_xlfn.XLOOKUP($C1585,Order!$C:$C,Order!$H:$H,"",0,1))</f>
        <v>0.26400000000000001</v>
      </c>
      <c r="I1585" s="36">
        <f>IF($C1585="","",_xlfn.XLOOKUP($C1585,Order!$C:$C,Order!$M:$M,"",0,1))</f>
        <v>0</v>
      </c>
      <c r="J1585" s="4" t="str">
        <f>IF(C1585="","",Order!$M$16)</f>
        <v>BLACK ANODIZED (FAYP06)</v>
      </c>
      <c r="K1585" s="36">
        <f>IF($C1585="","",_xlfn.XLOOKUP($C1585,Order!$C:$C,Order!$P:$P,"",0,1))</f>
        <v>0</v>
      </c>
      <c r="L1585" s="4">
        <f t="shared" si="24"/>
        <v>0</v>
      </c>
    </row>
    <row r="1586" spans="2:12" ht="23.25" hidden="1" customHeight="1" x14ac:dyDescent="0.25">
      <c r="B1586" s="4">
        <v>1581</v>
      </c>
      <c r="C1586" s="36" t="str">
        <f>IF(Order!$C$217="","",Order!$C$217)</f>
        <v>BX156</v>
      </c>
      <c r="D1586" s="36" t="str">
        <f>IF($C1586="","",_xlfn.XLOOKUP($C1586,Order!$C:$C,Order!$D:$D,"",0,1))</f>
        <v>BX156</v>
      </c>
      <c r="E1586" s="4" t="e" vm="401">
        <f>IF($C1586="","",_xlfn.XLOOKUP($C1586,Order!$C:$C,Order!$E:$E,"",0,1))</f>
        <v>#VALUE!</v>
      </c>
      <c r="F1586" s="4">
        <f>IF($C1586="","",_xlfn.XLOOKUP($C1586,Order!$C:$C,Order!$F:$F,"",0,1))</f>
        <v>6000</v>
      </c>
      <c r="G1586" s="4" t="str">
        <f>IF($C1586="","",_xlfn.XLOOKUP($C1586,Order!$C:$C,Order!$G:$G,"",0,1))</f>
        <v>6063T5</v>
      </c>
      <c r="H1586" s="4">
        <f>IF($C1586="","",_xlfn.XLOOKUP($C1586,Order!$C:$C,Order!$H:$H,"",0,1))</f>
        <v>0.2</v>
      </c>
      <c r="I1586" s="36">
        <f>IF($C1586="","",_xlfn.XLOOKUP($C1586,Order!$C:$C,Order!$M:$M,"",0,1))</f>
        <v>0</v>
      </c>
      <c r="J1586" s="4" t="str">
        <f>IF(C1586="","",Order!$M$16)</f>
        <v>BLACK ANODIZED (FAYP06)</v>
      </c>
      <c r="K1586" s="36">
        <f>IF($C1586="","",_xlfn.XLOOKUP($C1586,Order!$C:$C,Order!$P:$P,"",0,1))</f>
        <v>0</v>
      </c>
      <c r="L1586" s="4">
        <f t="shared" si="24"/>
        <v>0</v>
      </c>
    </row>
    <row r="1587" spans="2:12" ht="23.25" hidden="1" customHeight="1" x14ac:dyDescent="0.25">
      <c r="B1587" s="4">
        <v>1582</v>
      </c>
      <c r="C1587" s="36" t="str">
        <f>IF(Order!$C$218="","",Order!$C$218)</f>
        <v>BX157</v>
      </c>
      <c r="D1587" s="36" t="str">
        <f>IF($C1587="","",_xlfn.XLOOKUP($C1587,Order!$C:$C,Order!$D:$D,"",0,1))</f>
        <v>BX157</v>
      </c>
      <c r="E1587" s="4" t="e" vm="402">
        <f>IF($C1587="","",_xlfn.XLOOKUP($C1587,Order!$C:$C,Order!$E:$E,"",0,1))</f>
        <v>#VALUE!</v>
      </c>
      <c r="F1587" s="4">
        <f>IF($C1587="","",_xlfn.XLOOKUP($C1587,Order!$C:$C,Order!$F:$F,"",0,1))</f>
        <v>6000</v>
      </c>
      <c r="G1587" s="4" t="str">
        <f>IF($C1587="","",_xlfn.XLOOKUP($C1587,Order!$C:$C,Order!$G:$G,"",0,1))</f>
        <v>6063T5</v>
      </c>
      <c r="H1587" s="4">
        <f>IF($C1587="","",_xlfn.XLOOKUP($C1587,Order!$C:$C,Order!$H:$H,"",0,1))</f>
        <v>0.50800000000000001</v>
      </c>
      <c r="I1587" s="36">
        <f>IF($C1587="","",_xlfn.XLOOKUP($C1587,Order!$C:$C,Order!$M:$M,"",0,1))</f>
        <v>0</v>
      </c>
      <c r="J1587" s="4" t="str">
        <f>IF(C1587="","",Order!$M$16)</f>
        <v>BLACK ANODIZED (FAYP06)</v>
      </c>
      <c r="K1587" s="36">
        <f>IF($C1587="","",_xlfn.XLOOKUP($C1587,Order!$C:$C,Order!$P:$P,"",0,1))</f>
        <v>0</v>
      </c>
      <c r="L1587" s="4">
        <f t="shared" si="24"/>
        <v>0</v>
      </c>
    </row>
    <row r="1588" spans="2:12" ht="23.25" hidden="1" customHeight="1" x14ac:dyDescent="0.25">
      <c r="B1588" s="4">
        <v>1583</v>
      </c>
      <c r="C1588" s="36" t="str">
        <f>IF(Order!$C$219="","",Order!$C$219)</f>
        <v>BX158</v>
      </c>
      <c r="D1588" s="36" t="str">
        <f>IF($C1588="","",_xlfn.XLOOKUP($C1588,Order!$C:$C,Order!$D:$D,"",0,1))</f>
        <v>BX158</v>
      </c>
      <c r="E1588" s="4" t="e" vm="403">
        <f>IF($C1588="","",_xlfn.XLOOKUP($C1588,Order!$C:$C,Order!$E:$E,"",0,1))</f>
        <v>#VALUE!</v>
      </c>
      <c r="F1588" s="4">
        <f>IF($C1588="","",_xlfn.XLOOKUP($C1588,Order!$C:$C,Order!$F:$F,"",0,1))</f>
        <v>6000</v>
      </c>
      <c r="G1588" s="4" t="str">
        <f>IF($C1588="","",_xlfn.XLOOKUP($C1588,Order!$C:$C,Order!$G:$G,"",0,1))</f>
        <v>6063T5</v>
      </c>
      <c r="H1588" s="4">
        <f>IF($C1588="","",_xlfn.XLOOKUP($C1588,Order!$C:$C,Order!$H:$H,"",0,1))</f>
        <v>0.188</v>
      </c>
      <c r="I1588" s="36">
        <f>IF($C1588="","",_xlfn.XLOOKUP($C1588,Order!$C:$C,Order!$M:$M,"",0,1))</f>
        <v>0</v>
      </c>
      <c r="J1588" s="4" t="str">
        <f>IF(C1588="","",Order!$M$16)</f>
        <v>BLACK ANODIZED (FAYP06)</v>
      </c>
      <c r="K1588" s="36">
        <f>IF($C1588="","",_xlfn.XLOOKUP($C1588,Order!$C:$C,Order!$P:$P,"",0,1))</f>
        <v>0</v>
      </c>
      <c r="L1588" s="4">
        <f t="shared" si="24"/>
        <v>0</v>
      </c>
    </row>
    <row r="1589" spans="2:12" ht="23.25" hidden="1" customHeight="1" x14ac:dyDescent="0.25">
      <c r="B1589" s="4">
        <v>1584</v>
      </c>
      <c r="C1589" s="36" t="str">
        <f>IF(Order!$C$220="","",Order!$C$220)</f>
        <v>BX159</v>
      </c>
      <c r="D1589" s="36" t="str">
        <f>IF($C1589="","",_xlfn.XLOOKUP($C1589,Order!$C:$C,Order!$D:$D,"",0,1))</f>
        <v>BX159</v>
      </c>
      <c r="E1589" s="4" t="e" vm="404">
        <f>IF($C1589="","",_xlfn.XLOOKUP($C1589,Order!$C:$C,Order!$E:$E,"",0,1))</f>
        <v>#VALUE!</v>
      </c>
      <c r="F1589" s="4">
        <f>IF($C1589="","",_xlfn.XLOOKUP($C1589,Order!$C:$C,Order!$F:$F,"",0,1))</f>
        <v>6000</v>
      </c>
      <c r="G1589" s="4" t="str">
        <f>IF($C1589="","",_xlfn.XLOOKUP($C1589,Order!$C:$C,Order!$G:$G,"",0,1))</f>
        <v>6063T5</v>
      </c>
      <c r="H1589" s="4">
        <f>IF($C1589="","",_xlfn.XLOOKUP($C1589,Order!$C:$C,Order!$H:$H,"",0,1))</f>
        <v>0.19700000000000001</v>
      </c>
      <c r="I1589" s="36">
        <f>IF($C1589="","",_xlfn.XLOOKUP($C1589,Order!$C:$C,Order!$M:$M,"",0,1))</f>
        <v>0</v>
      </c>
      <c r="J1589" s="4" t="str">
        <f>IF(C1589="","",Order!$M$16)</f>
        <v>BLACK ANODIZED (FAYP06)</v>
      </c>
      <c r="K1589" s="36">
        <f>IF($C1589="","",_xlfn.XLOOKUP($C1589,Order!$C:$C,Order!$P:$P,"",0,1))</f>
        <v>0</v>
      </c>
      <c r="L1589" s="4">
        <f t="shared" si="24"/>
        <v>0</v>
      </c>
    </row>
    <row r="1590" spans="2:12" ht="23.25" customHeight="1" x14ac:dyDescent="0.25">
      <c r="B1590" s="4">
        <v>1585</v>
      </c>
      <c r="C1590" s="36" t="str">
        <f>IF(Order!$C$221="","",Order!$C$221)</f>
        <v>BX092</v>
      </c>
      <c r="D1590" s="36" t="str">
        <f>IF($C1590="","",_xlfn.XLOOKUP($C1590,Order!$C:$C,Order!$D:$D,"",0,1))</f>
        <v>BX092</v>
      </c>
      <c r="E1590" s="4" t="e" vm="405">
        <f>IF($C1590="","",_xlfn.XLOOKUP($C1590,Order!$C:$C,Order!$E:$E,"",0,1))</f>
        <v>#VALUE!</v>
      </c>
      <c r="F1590" s="4">
        <f>IF($C1590="","",_xlfn.XLOOKUP($C1590,Order!$C:$C,Order!$F:$F,"",0,1))</f>
        <v>6000</v>
      </c>
      <c r="G1590" s="4" t="str">
        <f>IF($C1590="","",_xlfn.XLOOKUP($C1590,Order!$C:$C,Order!$G:$G,"",0,1))</f>
        <v>6063T5</v>
      </c>
      <c r="H1590" s="4">
        <f>IF($C1590="","",_xlfn.XLOOKUP($C1590,Order!$C:$C,Order!$H:$H,"",0,1))</f>
        <v>0.185</v>
      </c>
      <c r="I1590" s="36">
        <f>IF($C1590="","",_xlfn.XLOOKUP($C1590,Order!$C:$C,Order!$M:$M,"",0,1))</f>
        <v>50</v>
      </c>
      <c r="J1590" s="4" t="str">
        <f>IF(C1590="","",Order!$M$16)</f>
        <v>BLACK ANODIZED (FAYP06)</v>
      </c>
      <c r="K1590" s="36">
        <f>IF($C1590="","",_xlfn.XLOOKUP($C1590,Order!$C:$C,Order!$P:$P,"",0,1))</f>
        <v>0</v>
      </c>
      <c r="L1590" s="4">
        <f t="shared" si="24"/>
        <v>55.499999999999993</v>
      </c>
    </row>
    <row r="1591" spans="2:12" ht="23.25" customHeight="1" x14ac:dyDescent="0.25">
      <c r="B1591" s="4">
        <v>1586</v>
      </c>
      <c r="C1591" s="36" t="str">
        <f>IF(Order!$C$222="","",Order!$C$222)</f>
        <v>BX189A</v>
      </c>
      <c r="D1591" s="36" t="str">
        <f>IF($C1591="","",_xlfn.XLOOKUP($C1591,Order!$C:$C,Order!$D:$D,"",0,1))</f>
        <v>BX189A</v>
      </c>
      <c r="E1591" s="4" t="e" vm="406">
        <f>IF($C1591="","",_xlfn.XLOOKUP($C1591,Order!$C:$C,Order!$E:$E,"",0,1))</f>
        <v>#VALUE!</v>
      </c>
      <c r="F1591" s="4">
        <f>IF($C1591="","",_xlfn.XLOOKUP($C1591,Order!$C:$C,Order!$F:$F,"",0,1))</f>
        <v>6000</v>
      </c>
      <c r="G1591" s="4" t="str">
        <f>IF($C1591="","",_xlfn.XLOOKUP($C1591,Order!$C:$C,Order!$G:$G,"",0,1))</f>
        <v>6063T5</v>
      </c>
      <c r="H1591" s="4">
        <f>IF($C1591="","",_xlfn.XLOOKUP($C1591,Order!$C:$C,Order!$H:$H,"",0,1))</f>
        <v>0.17299999999999999</v>
      </c>
      <c r="I1591" s="36">
        <f>IF($C1591="","",_xlfn.XLOOKUP($C1591,Order!$C:$C,Order!$M:$M,"",0,1))</f>
        <v>30</v>
      </c>
      <c r="J1591" s="4" t="str">
        <f>IF(C1591="","",Order!$M$16)</f>
        <v>BLACK ANODIZED (FAYP06)</v>
      </c>
      <c r="K1591" s="36">
        <f>IF($C1591="","",_xlfn.XLOOKUP($C1591,Order!$C:$C,Order!$P:$P,"",0,1))</f>
        <v>0</v>
      </c>
      <c r="L1591" s="4">
        <f t="shared" si="24"/>
        <v>31.139999999999993</v>
      </c>
    </row>
    <row r="1592" spans="2:12" ht="23.25" customHeight="1" x14ac:dyDescent="0.25">
      <c r="B1592" s="4">
        <v>1587</v>
      </c>
      <c r="C1592" s="36" t="str">
        <f>IF(Order!$C$223="","",Order!$C$223)</f>
        <v>BX201</v>
      </c>
      <c r="D1592" s="36" t="str">
        <f>IF($C1592="","",_xlfn.XLOOKUP($C1592,Order!$C:$C,Order!$D:$D,"",0,1))</f>
        <v>BX201</v>
      </c>
      <c r="E1592" s="4" t="e" vm="407">
        <f>IF($C1592="","",_xlfn.XLOOKUP($C1592,Order!$C:$C,Order!$E:$E,"",0,1))</f>
        <v>#VALUE!</v>
      </c>
      <c r="F1592" s="4">
        <f>IF($C1592="","",_xlfn.XLOOKUP($C1592,Order!$C:$C,Order!$F:$F,"",0,1))</f>
        <v>6000</v>
      </c>
      <c r="G1592" s="4" t="str">
        <f>IF($C1592="","",_xlfn.XLOOKUP($C1592,Order!$C:$C,Order!$G:$G,"",0,1))</f>
        <v>6063T5</v>
      </c>
      <c r="H1592" s="4">
        <f>IF($C1592="","",_xlfn.XLOOKUP($C1592,Order!$C:$C,Order!$H:$H,"",0,1))</f>
        <v>0.47699999999999998</v>
      </c>
      <c r="I1592" s="36">
        <f>IF($C1592="","",_xlfn.XLOOKUP($C1592,Order!$C:$C,Order!$M:$M,"",0,1))</f>
        <v>50</v>
      </c>
      <c r="J1592" s="4" t="str">
        <f>IF(C1592="","",Order!$M$16)</f>
        <v>BLACK ANODIZED (FAYP06)</v>
      </c>
      <c r="K1592" s="36">
        <f>IF($C1592="","",_xlfn.XLOOKUP($C1592,Order!$C:$C,Order!$P:$P,"",0,1))</f>
        <v>0</v>
      </c>
      <c r="L1592" s="4">
        <f t="shared" si="24"/>
        <v>143.1</v>
      </c>
    </row>
    <row r="1593" spans="2:12" ht="23.25" customHeight="1" x14ac:dyDescent="0.25">
      <c r="B1593" s="4">
        <v>1588</v>
      </c>
      <c r="C1593" s="36" t="str">
        <f>IF(Order!$C$224="","",Order!$C$224)</f>
        <v>AL001</v>
      </c>
      <c r="D1593" s="36" t="str">
        <f>IF($C1593="","",_xlfn.XLOOKUP($C1593,Order!$C:$C,Order!$D:$D,"",0,1))</f>
        <v>AL001AL</v>
      </c>
      <c r="E1593" s="4" t="e" vm="408">
        <f>IF($C1593="","",_xlfn.XLOOKUP($C1593,Order!$C:$C,Order!$E:$E,"",0,1))</f>
        <v>#VALUE!</v>
      </c>
      <c r="F1593" s="4">
        <f>IF($C1593="","",_xlfn.XLOOKUP($C1593,Order!$C:$C,Order!$F:$F,"",0,1))</f>
        <v>6000</v>
      </c>
      <c r="G1593" s="4" t="str">
        <f>IF($C1593="","",_xlfn.XLOOKUP($C1593,Order!$C:$C,Order!$G:$G,"",0,1))</f>
        <v>6063T5</v>
      </c>
      <c r="H1593" s="4">
        <f>IF($C1593="","",_xlfn.XLOOKUP($C1593,Order!$C:$C,Order!$H:$H,"",0,1))</f>
        <v>0.434</v>
      </c>
      <c r="I1593" s="36">
        <f>IF($C1593="","",_xlfn.XLOOKUP($C1593,Order!$C:$C,Order!$M:$M,"",0,1))</f>
        <v>100</v>
      </c>
      <c r="J1593" s="4" t="str">
        <f>IF(C1593="","",Order!$M$16)</f>
        <v>BLACK ANODIZED (FAYP06)</v>
      </c>
      <c r="K1593" s="36">
        <f>IF($C1593="","",_xlfn.XLOOKUP($C1593,Order!$C:$C,Order!$P:$P,"",0,1))</f>
        <v>0</v>
      </c>
      <c r="L1593" s="4">
        <f t="shared" si="24"/>
        <v>260.40000000000003</v>
      </c>
    </row>
    <row r="1594" spans="2:12" ht="23.25" customHeight="1" x14ac:dyDescent="0.25">
      <c r="B1594" s="4">
        <v>1589</v>
      </c>
      <c r="C1594" s="36" t="str">
        <f>IF(Order!$C$225="","",Order!$C$225)</f>
        <v>AL002</v>
      </c>
      <c r="D1594" s="36" t="str">
        <f>IF($C1594="","",_xlfn.XLOOKUP($C1594,Order!$C:$C,Order!$D:$D,"",0,1))</f>
        <v>AL002AL</v>
      </c>
      <c r="E1594" s="4" t="e" vm="409">
        <f>IF($C1594="","",_xlfn.XLOOKUP($C1594,Order!$C:$C,Order!$E:$E,"",0,1))</f>
        <v>#VALUE!</v>
      </c>
      <c r="F1594" s="4">
        <f>IF($C1594="","",_xlfn.XLOOKUP($C1594,Order!$C:$C,Order!$F:$F,"",0,1))</f>
        <v>6000</v>
      </c>
      <c r="G1594" s="4" t="str">
        <f>IF($C1594="","",_xlfn.XLOOKUP($C1594,Order!$C:$C,Order!$G:$G,"",0,1))</f>
        <v>6063T5</v>
      </c>
      <c r="H1594" s="4">
        <f>IF($C1594="","",_xlfn.XLOOKUP($C1594,Order!$C:$C,Order!$H:$H,"",0,1))</f>
        <v>0.17499999999999999</v>
      </c>
      <c r="I1594" s="36">
        <f>IF($C1594="","",_xlfn.XLOOKUP($C1594,Order!$C:$C,Order!$M:$M,"",0,1))</f>
        <v>100</v>
      </c>
      <c r="J1594" s="4" t="str">
        <f>IF(C1594="","",Order!$M$16)</f>
        <v>BLACK ANODIZED (FAYP06)</v>
      </c>
      <c r="K1594" s="36">
        <f>IF($C1594="","",_xlfn.XLOOKUP($C1594,Order!$C:$C,Order!$P:$P,"",0,1))</f>
        <v>0</v>
      </c>
      <c r="L1594" s="4">
        <f t="shared" si="24"/>
        <v>104.99999999999999</v>
      </c>
    </row>
    <row r="1595" spans="2:12" ht="23.25" customHeight="1" x14ac:dyDescent="0.25">
      <c r="B1595" s="4">
        <v>1590</v>
      </c>
      <c r="C1595" s="36" t="str">
        <f>IF(Order!$C$226="","",Order!$C$226)</f>
        <v>AL 049</v>
      </c>
      <c r="D1595" s="36" t="str">
        <f>IF($C1595="","",_xlfn.XLOOKUP($C1595,Order!$C:$C,Order!$D:$D,"",0,1))</f>
        <v>AL049</v>
      </c>
      <c r="E1595" s="4" t="e" vm="410">
        <f>IF($C1595="","",_xlfn.XLOOKUP($C1595,Order!$C:$C,Order!$E:$E,"",0,1))</f>
        <v>#VALUE!</v>
      </c>
      <c r="F1595" s="4">
        <f>IF($C1595="","",_xlfn.XLOOKUP($C1595,Order!$C:$C,Order!$F:$F,"",0,1))</f>
        <v>6000</v>
      </c>
      <c r="G1595" s="4" t="str">
        <f>IF($C1595="","",_xlfn.XLOOKUP($C1595,Order!$C:$C,Order!$G:$G,"",0,1))</f>
        <v>6063T5</v>
      </c>
      <c r="H1595" s="4">
        <f>IF($C1595="","",_xlfn.XLOOKUP($C1595,Order!$C:$C,Order!$H:$H,"",0,1))</f>
        <v>0.45300000000000001</v>
      </c>
      <c r="I1595" s="36">
        <f>IF($C1595="","",_xlfn.XLOOKUP($C1595,Order!$C:$C,Order!$M:$M,"",0,1))</f>
        <v>200</v>
      </c>
      <c r="J1595" s="4" t="str">
        <f>IF(C1595="","",Order!$M$16)</f>
        <v>BLACK ANODIZED (FAYP06)</v>
      </c>
      <c r="K1595" s="36">
        <f>IF($C1595="","",_xlfn.XLOOKUP($C1595,Order!$C:$C,Order!$P:$P,"",0,1))</f>
        <v>0</v>
      </c>
      <c r="L1595" s="4">
        <f t="shared" si="24"/>
        <v>543.6</v>
      </c>
    </row>
    <row r="1596" spans="2:12" ht="23.25" customHeight="1" x14ac:dyDescent="0.25">
      <c r="B1596" s="4">
        <v>1591</v>
      </c>
      <c r="C1596" s="36" t="str">
        <f>IF(Order!$C$227="","",Order!$C$227)</f>
        <v>AL050</v>
      </c>
      <c r="D1596" s="36" t="str">
        <f>IF($C1596="","",_xlfn.XLOOKUP($C1596,Order!$C:$C,Order!$D:$D,"",0,1))</f>
        <v>AL050</v>
      </c>
      <c r="E1596" s="4" t="e" vm="411">
        <f>IF($C1596="","",_xlfn.XLOOKUP($C1596,Order!$C:$C,Order!$E:$E,"",0,1))</f>
        <v>#VALUE!</v>
      </c>
      <c r="F1596" s="4">
        <f>IF($C1596="","",_xlfn.XLOOKUP($C1596,Order!$C:$C,Order!$F:$F,"",0,1))</f>
        <v>6000</v>
      </c>
      <c r="G1596" s="4" t="str">
        <f>IF($C1596="","",_xlfn.XLOOKUP($C1596,Order!$C:$C,Order!$G:$G,"",0,1))</f>
        <v>6063T5</v>
      </c>
      <c r="H1596" s="4">
        <f>IF($C1596="","",_xlfn.XLOOKUP($C1596,Order!$C:$C,Order!$H:$H,"",0,1))</f>
        <v>0.249</v>
      </c>
      <c r="I1596" s="36">
        <f>IF($C1596="","",_xlfn.XLOOKUP($C1596,Order!$C:$C,Order!$M:$M,"",0,1))</f>
        <v>200</v>
      </c>
      <c r="J1596" s="4" t="str">
        <f>IF(C1596="","",Order!$M$16)</f>
        <v>BLACK ANODIZED (FAYP06)</v>
      </c>
      <c r="K1596" s="36">
        <f>IF($C1596="","",_xlfn.XLOOKUP($C1596,Order!$C:$C,Order!$P:$P,"",0,1))</f>
        <v>0</v>
      </c>
      <c r="L1596" s="4">
        <f t="shared" si="24"/>
        <v>298.8</v>
      </c>
    </row>
    <row r="1597" spans="2:12" ht="23.25" customHeight="1" x14ac:dyDescent="0.25">
      <c r="B1597" s="4">
        <v>1592</v>
      </c>
      <c r="C1597" s="36" t="str">
        <f>IF(Order!$C$228="","",Order!$C$228)</f>
        <v>AL003L</v>
      </c>
      <c r="D1597" s="36" t="str">
        <f>IF($C1597="","",_xlfn.XLOOKUP($C1597,Order!$C:$C,Order!$D:$D,"",0,1))</f>
        <v>AL003L</v>
      </c>
      <c r="E1597" s="4" t="e" vm="412">
        <f>IF($C1597="","",_xlfn.XLOOKUP($C1597,Order!$C:$C,Order!$E:$E,"",0,1))</f>
        <v>#VALUE!</v>
      </c>
      <c r="F1597" s="4">
        <f>IF($C1597="","",_xlfn.XLOOKUP($C1597,Order!$C:$C,Order!$F:$F,"",0,1))</f>
        <v>6000</v>
      </c>
      <c r="G1597" s="4" t="str">
        <f>IF($C1597="","",_xlfn.XLOOKUP($C1597,Order!$C:$C,Order!$G:$G,"",0,1))</f>
        <v>6063T5</v>
      </c>
      <c r="H1597" s="4">
        <f>IF($C1597="","",_xlfn.XLOOKUP($C1597,Order!$C:$C,Order!$H:$H,"",0,1))</f>
        <v>0.23</v>
      </c>
      <c r="I1597" s="36">
        <f>IF($C1597="","",_xlfn.XLOOKUP($C1597,Order!$C:$C,Order!$M:$M,"",0,1))</f>
        <v>300</v>
      </c>
      <c r="J1597" s="4" t="str">
        <f>IF(C1597="","",Order!$M$16)</f>
        <v>BLACK ANODIZED (FAYP06)</v>
      </c>
      <c r="K1597" s="36">
        <f>IF($C1597="","",_xlfn.XLOOKUP($C1597,Order!$C:$C,Order!$P:$P,"",0,1))</f>
        <v>0</v>
      </c>
      <c r="L1597" s="4">
        <f t="shared" si="24"/>
        <v>414.00000000000006</v>
      </c>
    </row>
    <row r="1598" spans="2:12" ht="23.25" customHeight="1" x14ac:dyDescent="0.25">
      <c r="B1598" s="4">
        <v>1593</v>
      </c>
      <c r="C1598" s="36" t="str">
        <f>IF(Order!$C$229="","",Order!$C$229)</f>
        <v>MT0066</v>
      </c>
      <c r="D1598" s="36" t="str">
        <f>IF($C1598="","",_xlfn.XLOOKUP($C1598,Order!$C:$C,Order!$D:$D,"",0,1))</f>
        <v>MT0066(PU010)</v>
      </c>
      <c r="E1598" s="4" t="e" vm="413">
        <f>IF($C1598="","",_xlfn.XLOOKUP($C1598,Order!$C:$C,Order!$E:$E,"",0,1))</f>
        <v>#VALUE!</v>
      </c>
      <c r="F1598" s="4">
        <f>IF($C1598="","",_xlfn.XLOOKUP($C1598,Order!$C:$C,Order!$F:$F,"",0,1))</f>
        <v>6000</v>
      </c>
      <c r="G1598" s="4" t="str">
        <f>IF($C1598="","",_xlfn.XLOOKUP($C1598,Order!$C:$C,Order!$G:$G,"",0,1))</f>
        <v>6063T5</v>
      </c>
      <c r="H1598" s="4">
        <f>IF($C1598="","",_xlfn.XLOOKUP($C1598,Order!$C:$C,Order!$H:$H,"",0,1))</f>
        <v>0.11700000000000001</v>
      </c>
      <c r="I1598" s="36">
        <f>IF($C1598="","",_xlfn.XLOOKUP($C1598,Order!$C:$C,Order!$M:$M,"",0,1))</f>
        <v>300</v>
      </c>
      <c r="J1598" s="4" t="str">
        <f>IF(C1598="","",Order!$M$16)</f>
        <v>BLACK ANODIZED (FAYP06)</v>
      </c>
      <c r="K1598" s="36">
        <f>IF($C1598="","",_xlfn.XLOOKUP($C1598,Order!$C:$C,Order!$P:$P,"",0,1))</f>
        <v>0</v>
      </c>
      <c r="L1598" s="4">
        <f t="shared" si="24"/>
        <v>210.60000000000002</v>
      </c>
    </row>
    <row r="1599" spans="2:12" ht="23.25" customHeight="1" x14ac:dyDescent="0.25">
      <c r="B1599" s="4">
        <v>1594</v>
      </c>
      <c r="C1599" s="36" t="str">
        <f>IF(Order!$C$230="","",Order!$C$230)</f>
        <v>MT0067</v>
      </c>
      <c r="D1599" s="36" t="str">
        <f>IF($C1599="","",_xlfn.XLOOKUP($C1599,Order!$C:$C,Order!$D:$D,"",0,1))</f>
        <v>MT0067(PU008)</v>
      </c>
      <c r="E1599" s="4" t="e" vm="414">
        <f>IF($C1599="","",_xlfn.XLOOKUP($C1599,Order!$C:$C,Order!$E:$E,"",0,1))</f>
        <v>#VALUE!</v>
      </c>
      <c r="F1599" s="4">
        <f>IF($C1599="","",_xlfn.XLOOKUP($C1599,Order!$C:$C,Order!$F:$F,"",0,1))</f>
        <v>6000</v>
      </c>
      <c r="G1599" s="4" t="str">
        <f>IF($C1599="","",_xlfn.XLOOKUP($C1599,Order!$C:$C,Order!$G:$G,"",0,1))</f>
        <v>6063T5</v>
      </c>
      <c r="H1599" s="4">
        <f>IF($C1599="","",_xlfn.XLOOKUP($C1599,Order!$C:$C,Order!$H:$H,"",0,1))</f>
        <v>0.11</v>
      </c>
      <c r="I1599" s="36">
        <f>IF($C1599="","",_xlfn.XLOOKUP($C1599,Order!$C:$C,Order!$M:$M,"",0,1))</f>
        <v>300</v>
      </c>
      <c r="J1599" s="4" t="str">
        <f>IF(C1599="","",Order!$M$16)</f>
        <v>BLACK ANODIZED (FAYP06)</v>
      </c>
      <c r="K1599" s="36">
        <f>IF($C1599="","",_xlfn.XLOOKUP($C1599,Order!$C:$C,Order!$P:$P,"",0,1))</f>
        <v>0</v>
      </c>
      <c r="L1599" s="4">
        <f t="shared" si="24"/>
        <v>198</v>
      </c>
    </row>
    <row r="1600" spans="2:12" ht="23.25" hidden="1" customHeight="1" x14ac:dyDescent="0.25">
      <c r="B1600" s="4">
        <v>1595</v>
      </c>
      <c r="C1600" s="36" t="str">
        <f>IF(Order!$C$231="","",Order!$C$231)</f>
        <v>MT0080</v>
      </c>
      <c r="D1600" s="36" t="str">
        <f>IF($C1600="","",_xlfn.XLOOKUP($C1600,Order!$C:$C,Order!$D:$D,"",0,1))</f>
        <v>MT0080</v>
      </c>
      <c r="E1600" s="4" t="e" vm="415">
        <f>IF($C1600="","",_xlfn.XLOOKUP($C1600,Order!$C:$C,Order!$E:$E,"",0,1))</f>
        <v>#VALUE!</v>
      </c>
      <c r="F1600" s="4">
        <f>IF($C1600="","",_xlfn.XLOOKUP($C1600,Order!$C:$C,Order!$F:$F,"",0,1))</f>
        <v>6000</v>
      </c>
      <c r="G1600" s="4" t="str">
        <f>IF($C1600="","",_xlfn.XLOOKUP($C1600,Order!$C:$C,Order!$G:$G,"",0,1))</f>
        <v>6063T5</v>
      </c>
      <c r="H1600" s="4">
        <f>IF($C1600="","",_xlfn.XLOOKUP($C1600,Order!$C:$C,Order!$H:$H,"",0,1))</f>
        <v>0.32200000000000001</v>
      </c>
      <c r="I1600" s="36">
        <f>IF($C1600="","",_xlfn.XLOOKUP($C1600,Order!$C:$C,Order!$M:$M,"",0,1))</f>
        <v>0</v>
      </c>
      <c r="J1600" s="4" t="str">
        <f>IF(C1600="","",Order!$M$16)</f>
        <v>BLACK ANODIZED (FAYP06)</v>
      </c>
      <c r="K1600" s="36">
        <f>IF($C1600="","",_xlfn.XLOOKUP($C1600,Order!$C:$C,Order!$P:$P,"",0,1))</f>
        <v>0</v>
      </c>
      <c r="L1600" s="4">
        <f t="shared" si="24"/>
        <v>0</v>
      </c>
    </row>
    <row r="1601" spans="2:12" ht="23.25" hidden="1" customHeight="1" x14ac:dyDescent="0.25">
      <c r="B1601" s="4">
        <v>1596</v>
      </c>
      <c r="C1601" s="36" t="str">
        <f>IF(Order!$C$232="","",Order!$C$232)</f>
        <v>MT0088</v>
      </c>
      <c r="D1601" s="36" t="str">
        <f>IF($C1601="","",_xlfn.XLOOKUP($C1601,Order!$C:$C,Order!$D:$D,"",0,1))</f>
        <v>MT0088</v>
      </c>
      <c r="E1601" s="4" t="e" vm="416">
        <f>IF($C1601="","",_xlfn.XLOOKUP($C1601,Order!$C:$C,Order!$E:$E,"",0,1))</f>
        <v>#VALUE!</v>
      </c>
      <c r="F1601" s="4">
        <f>IF($C1601="","",_xlfn.XLOOKUP($C1601,Order!$C:$C,Order!$F:$F,"",0,1))</f>
        <v>6000</v>
      </c>
      <c r="G1601" s="4" t="str">
        <f>IF($C1601="","",_xlfn.XLOOKUP($C1601,Order!$C:$C,Order!$G:$G,"",0,1))</f>
        <v>6063T5</v>
      </c>
      <c r="H1601" s="4">
        <f>IF($C1601="","",_xlfn.XLOOKUP($C1601,Order!$C:$C,Order!$H:$H,"",0,1))</f>
        <v>0.26400000000000001</v>
      </c>
      <c r="I1601" s="36">
        <f>IF($C1601="","",_xlfn.XLOOKUP($C1601,Order!$C:$C,Order!$M:$M,"",0,1))</f>
        <v>0</v>
      </c>
      <c r="J1601" s="4" t="str">
        <f>IF(C1601="","",Order!$M$16)</f>
        <v>BLACK ANODIZED (FAYP06)</v>
      </c>
      <c r="K1601" s="36">
        <f>IF($C1601="","",_xlfn.XLOOKUP($C1601,Order!$C:$C,Order!$P:$P,"",0,1))</f>
        <v>0</v>
      </c>
      <c r="L1601" s="4">
        <f t="shared" si="24"/>
        <v>0</v>
      </c>
    </row>
    <row r="1602" spans="2:12" ht="23.25" hidden="1" customHeight="1" x14ac:dyDescent="0.25">
      <c r="B1602" s="4">
        <v>1597</v>
      </c>
      <c r="C1602" s="36" t="str">
        <f>IF(Order!$C$233="","",Order!$C$233)</f>
        <v>MT0089</v>
      </c>
      <c r="D1602" s="36" t="str">
        <f>IF($C1602="","",_xlfn.XLOOKUP($C1602,Order!$C:$C,Order!$D:$D,"",0,1))</f>
        <v>MT0089</v>
      </c>
      <c r="E1602" s="4" t="e" vm="417">
        <f>IF($C1602="","",_xlfn.XLOOKUP($C1602,Order!$C:$C,Order!$E:$E,"",0,1))</f>
        <v>#VALUE!</v>
      </c>
      <c r="F1602" s="4">
        <f>IF($C1602="","",_xlfn.XLOOKUP($C1602,Order!$C:$C,Order!$F:$F,"",0,1))</f>
        <v>6000</v>
      </c>
      <c r="G1602" s="4" t="str">
        <f>IF($C1602="","",_xlfn.XLOOKUP($C1602,Order!$C:$C,Order!$G:$G,"",0,1))</f>
        <v>6063T5</v>
      </c>
      <c r="H1602" s="4">
        <f>IF($C1602="","",_xlfn.XLOOKUP($C1602,Order!$C:$C,Order!$H:$H,"",0,1))</f>
        <v>7.9000000000000001E-2</v>
      </c>
      <c r="I1602" s="36">
        <f>IF($C1602="","",_xlfn.XLOOKUP($C1602,Order!$C:$C,Order!$M:$M,"",0,1))</f>
        <v>0</v>
      </c>
      <c r="J1602" s="4" t="str">
        <f>IF(C1602="","",Order!$M$16)</f>
        <v>BLACK ANODIZED (FAYP06)</v>
      </c>
      <c r="K1602" s="36">
        <f>IF($C1602="","",_xlfn.XLOOKUP($C1602,Order!$C:$C,Order!$P:$P,"",0,1))</f>
        <v>0</v>
      </c>
      <c r="L1602" s="4">
        <f t="shared" si="24"/>
        <v>0</v>
      </c>
    </row>
    <row r="1603" spans="2:12" ht="23.25" hidden="1" customHeight="1" x14ac:dyDescent="0.25">
      <c r="B1603" s="4">
        <v>1598</v>
      </c>
      <c r="C1603" s="36" t="str">
        <f>IF(Order!$C$234="","",Order!$C$234)</f>
        <v>MT0090</v>
      </c>
      <c r="D1603" s="36" t="str">
        <f>IF($C1603="","",_xlfn.XLOOKUP($C1603,Order!$C:$C,Order!$D:$D,"",0,1))</f>
        <v>MT0090</v>
      </c>
      <c r="E1603" s="4" t="e" vm="418">
        <f>IF($C1603="","",_xlfn.XLOOKUP($C1603,Order!$C:$C,Order!$E:$E,"",0,1))</f>
        <v>#VALUE!</v>
      </c>
      <c r="F1603" s="4">
        <f>IF($C1603="","",_xlfn.XLOOKUP($C1603,Order!$C:$C,Order!$F:$F,"",0,1))</f>
        <v>6000</v>
      </c>
      <c r="G1603" s="4" t="str">
        <f>IF($C1603="","",_xlfn.XLOOKUP($C1603,Order!$C:$C,Order!$G:$G,"",0,1))</f>
        <v>6063T5</v>
      </c>
      <c r="H1603" s="4">
        <f>IF($C1603="","",_xlfn.XLOOKUP($C1603,Order!$C:$C,Order!$H:$H,"",0,1))</f>
        <v>0.55600000000000005</v>
      </c>
      <c r="I1603" s="36">
        <f>IF($C1603="","",_xlfn.XLOOKUP($C1603,Order!$C:$C,Order!$M:$M,"",0,1))</f>
        <v>0</v>
      </c>
      <c r="J1603" s="4" t="str">
        <f>IF(C1603="","",Order!$M$16)</f>
        <v>BLACK ANODIZED (FAYP06)</v>
      </c>
      <c r="K1603" s="36">
        <f>IF($C1603="","",_xlfn.XLOOKUP($C1603,Order!$C:$C,Order!$P:$P,"",0,1))</f>
        <v>0</v>
      </c>
      <c r="L1603" s="4">
        <f t="shared" si="24"/>
        <v>0</v>
      </c>
    </row>
    <row r="1604" spans="2:12" ht="23.25" hidden="1" customHeight="1" x14ac:dyDescent="0.25">
      <c r="B1604" s="4">
        <v>1599</v>
      </c>
      <c r="C1604" s="36" t="str">
        <f>IF(Order!$C$235="","",Order!$C$235)</f>
        <v>BX128</v>
      </c>
      <c r="D1604" s="36" t="str">
        <f>IF($C1604="","",_xlfn.XLOOKUP($C1604,Order!$C:$C,Order!$D:$D,"",0,1))</f>
        <v>BX128</v>
      </c>
      <c r="E1604" s="4" t="e" vm="419">
        <f>IF($C1604="","",_xlfn.XLOOKUP($C1604,Order!$C:$C,Order!$E:$E,"",0,1))</f>
        <v>#VALUE!</v>
      </c>
      <c r="F1604" s="4">
        <f>IF($C1604="","",_xlfn.XLOOKUP($C1604,Order!$C:$C,Order!$F:$F,"",0,1))</f>
        <v>6000</v>
      </c>
      <c r="G1604" s="4" t="str">
        <f>IF($C1604="","",_xlfn.XLOOKUP($C1604,Order!$C:$C,Order!$G:$G,"",0,1))</f>
        <v>6063T5</v>
      </c>
      <c r="H1604" s="4">
        <f>IF($C1604="","",_xlfn.XLOOKUP($C1604,Order!$C:$C,Order!$H:$H,"",0,1))</f>
        <v>0.16900000000000001</v>
      </c>
      <c r="I1604" s="36">
        <f>IF($C1604="","",_xlfn.XLOOKUP($C1604,Order!$C:$C,Order!$M:$M,"",0,1))</f>
        <v>0</v>
      </c>
      <c r="J1604" s="4" t="str">
        <f>IF(C1604="","",Order!$M$16)</f>
        <v>BLACK ANODIZED (FAYP06)</v>
      </c>
      <c r="K1604" s="36">
        <f>IF($C1604="","",_xlfn.XLOOKUP($C1604,Order!$C:$C,Order!$P:$P,"",0,1))</f>
        <v>0</v>
      </c>
      <c r="L1604" s="4">
        <f t="shared" si="24"/>
        <v>0</v>
      </c>
    </row>
    <row r="1605" spans="2:12" ht="23.25" customHeight="1" x14ac:dyDescent="0.25">
      <c r="B1605" s="4">
        <v>1600</v>
      </c>
      <c r="C1605" s="36" t="str">
        <f>IF(Order!$C$236="","",Order!$C$236)</f>
        <v>BX626</v>
      </c>
      <c r="D1605" s="36" t="str">
        <f>IF($C1605="","",_xlfn.XLOOKUP($C1605,Order!$C:$C,Order!$D:$D,"",0,1))</f>
        <v>BX626</v>
      </c>
      <c r="E1605" s="4" t="e" vm="420">
        <f>IF($C1605="","",_xlfn.XLOOKUP($C1605,Order!$C:$C,Order!$E:$E,"",0,1))</f>
        <v>#VALUE!</v>
      </c>
      <c r="F1605" s="4">
        <f>IF($C1605="","",_xlfn.XLOOKUP($C1605,Order!$C:$C,Order!$F:$F,"",0,1))</f>
        <v>6000</v>
      </c>
      <c r="G1605" s="4" t="str">
        <f>IF($C1605="","",_xlfn.XLOOKUP($C1605,Order!$C:$C,Order!$G:$G,"",0,1))</f>
        <v>6063T5</v>
      </c>
      <c r="H1605" s="4">
        <f>IF($C1605="","",_xlfn.XLOOKUP($C1605,Order!$C:$C,Order!$H:$H,"",0,1))</f>
        <v>0.13800000000000001</v>
      </c>
      <c r="I1605" s="36">
        <f>IF($C1605="","",_xlfn.XLOOKUP($C1605,Order!$C:$C,Order!$M:$M,"",0,1))</f>
        <v>100</v>
      </c>
      <c r="J1605" s="4" t="str">
        <f>IF(C1605="","",Order!$M$16)</f>
        <v>BLACK ANODIZED (FAYP06)</v>
      </c>
      <c r="K1605" s="36">
        <f>IF($C1605="","",_xlfn.XLOOKUP($C1605,Order!$C:$C,Order!$P:$P,"",0,1))</f>
        <v>0</v>
      </c>
      <c r="L1605" s="4">
        <f t="shared" si="24"/>
        <v>82.800000000000011</v>
      </c>
    </row>
    <row r="1606" spans="2:12" ht="23.25" hidden="1" customHeight="1" x14ac:dyDescent="0.25">
      <c r="B1606" s="4">
        <v>1601</v>
      </c>
      <c r="C1606" s="36" t="str">
        <f>IF(Order!$C$237="","",Order!$C$237)</f>
        <v>BT807</v>
      </c>
      <c r="D1606" s="36" t="str">
        <f>IF($C1606="","",_xlfn.XLOOKUP($C1606,Order!$C:$C,Order!$D:$D,"",0,1))</f>
        <v>BT807</v>
      </c>
      <c r="E1606" s="4" t="e" vm="421">
        <f>IF($C1606="","",_xlfn.XLOOKUP($C1606,Order!$C:$C,Order!$E:$E,"",0,1))</f>
        <v>#VALUE!</v>
      </c>
      <c r="F1606" s="4">
        <f>IF($C1606="","",_xlfn.XLOOKUP($C1606,Order!$C:$C,Order!$F:$F,"",0,1))</f>
        <v>6000</v>
      </c>
      <c r="G1606" s="4" t="str">
        <f>IF($C1606="","",_xlfn.XLOOKUP($C1606,Order!$C:$C,Order!$G:$G,"",0,1))</f>
        <v>6063T5</v>
      </c>
      <c r="H1606" s="4">
        <f>IF($C1606="","",_xlfn.XLOOKUP($C1606,Order!$C:$C,Order!$H:$H,"",0,1))</f>
        <v>0.153</v>
      </c>
      <c r="I1606" s="36">
        <f>IF($C1606="","",_xlfn.XLOOKUP($C1606,Order!$C:$C,Order!$M:$M,"",0,1))</f>
        <v>0</v>
      </c>
      <c r="J1606" s="4" t="str">
        <f>IF(C1606="","",Order!$M$16)</f>
        <v>BLACK ANODIZED (FAYP06)</v>
      </c>
      <c r="K1606" s="36">
        <f>IF($C1606="","",_xlfn.XLOOKUP($C1606,Order!$C:$C,Order!$P:$P,"",0,1))</f>
        <v>0</v>
      </c>
      <c r="L1606" s="4">
        <f t="shared" si="24"/>
        <v>0</v>
      </c>
    </row>
    <row r="1607" spans="2:12" ht="23.25" hidden="1" customHeight="1" x14ac:dyDescent="0.25">
      <c r="B1607" s="4">
        <v>1602</v>
      </c>
      <c r="C1607" s="36" t="str">
        <f>IF(Order!$C$238="","",Order!$C$238)</f>
        <v>BX013</v>
      </c>
      <c r="D1607" s="36" t="str">
        <f>IF($C1607="","",_xlfn.XLOOKUP($C1607,Order!$C:$C,Order!$D:$D,"",0,1))</f>
        <v>BX013</v>
      </c>
      <c r="E1607" s="4" t="e" vm="422">
        <f>IF($C1607="","",_xlfn.XLOOKUP($C1607,Order!$C:$C,Order!$E:$E,"",0,1))</f>
        <v>#VALUE!</v>
      </c>
      <c r="F1607" s="4">
        <f>IF($C1607="","",_xlfn.XLOOKUP($C1607,Order!$C:$C,Order!$F:$F,"",0,1))</f>
        <v>6000</v>
      </c>
      <c r="G1607" s="4" t="str">
        <f>IF($C1607="","",_xlfn.XLOOKUP($C1607,Order!$C:$C,Order!$G:$G,"",0,1))</f>
        <v>6063T5</v>
      </c>
      <c r="H1607" s="4">
        <f>IF($C1607="","",_xlfn.XLOOKUP($C1607,Order!$C:$C,Order!$H:$H,"",0,1))</f>
        <v>0</v>
      </c>
      <c r="I1607" s="36">
        <f>IF($C1607="","",_xlfn.XLOOKUP($C1607,Order!$C:$C,Order!$M:$M,"",0,1))</f>
        <v>0</v>
      </c>
      <c r="J1607" s="4" t="str">
        <f>IF(C1607="","",Order!$M$16)</f>
        <v>BLACK ANODIZED (FAYP06)</v>
      </c>
      <c r="K1607" s="36">
        <f>IF($C1607="","",_xlfn.XLOOKUP($C1607,Order!$C:$C,Order!$P:$P,"",0,1))</f>
        <v>0</v>
      </c>
      <c r="L1607" s="4">
        <f t="shared" ref="L1607:L1670" si="25">IF(C1607="","",F1607/1000*H1607*I1607)</f>
        <v>0</v>
      </c>
    </row>
    <row r="1608" spans="2:12" ht="23.25" hidden="1" customHeight="1" x14ac:dyDescent="0.25">
      <c r="B1608" s="4">
        <v>1603</v>
      </c>
      <c r="C1608" s="36" t="str">
        <f>IF(Order!$C$239="","",Order!$C$239)</f>
        <v>BX014</v>
      </c>
      <c r="D1608" s="36" t="str">
        <f>IF($C1608="","",_xlfn.XLOOKUP($C1608,Order!$C:$C,Order!$D:$D,"",0,1))</f>
        <v>BX014</v>
      </c>
      <c r="E1608" s="4" t="e" vm="423">
        <f>IF($C1608="","",_xlfn.XLOOKUP($C1608,Order!$C:$C,Order!$E:$E,"",0,1))</f>
        <v>#VALUE!</v>
      </c>
      <c r="F1608" s="4">
        <f>IF($C1608="","",_xlfn.XLOOKUP($C1608,Order!$C:$C,Order!$F:$F,"",0,1))</f>
        <v>6000</v>
      </c>
      <c r="G1608" s="4" t="str">
        <f>IF($C1608="","",_xlfn.XLOOKUP($C1608,Order!$C:$C,Order!$G:$G,"",0,1))</f>
        <v>6063T5</v>
      </c>
      <c r="H1608" s="4">
        <f>IF($C1608="","",_xlfn.XLOOKUP($C1608,Order!$C:$C,Order!$H:$H,"",0,1))</f>
        <v>0</v>
      </c>
      <c r="I1608" s="36">
        <f>IF($C1608="","",_xlfn.XLOOKUP($C1608,Order!$C:$C,Order!$M:$M,"",0,1))</f>
        <v>0</v>
      </c>
      <c r="J1608" s="4" t="str">
        <f>IF(C1608="","",Order!$M$16)</f>
        <v>BLACK ANODIZED (FAYP06)</v>
      </c>
      <c r="K1608" s="36">
        <f>IF($C1608="","",_xlfn.XLOOKUP($C1608,Order!$C:$C,Order!$P:$P,"",0,1))</f>
        <v>0</v>
      </c>
      <c r="L1608" s="4">
        <f t="shared" si="25"/>
        <v>0</v>
      </c>
    </row>
    <row r="1609" spans="2:12" ht="23.25" hidden="1" customHeight="1" x14ac:dyDescent="0.25">
      <c r="B1609" s="4">
        <v>1604</v>
      </c>
      <c r="C1609" s="36" t="str">
        <f>IF(Order!$C$240="","",Order!$C$240)</f>
        <v>BX016</v>
      </c>
      <c r="D1609" s="36" t="str">
        <f>IF($C1609="","",_xlfn.XLOOKUP($C1609,Order!$C:$C,Order!$D:$D,"",0,1))</f>
        <v>BX016</v>
      </c>
      <c r="E1609" s="4" t="e" vm="424">
        <f>IF($C1609="","",_xlfn.XLOOKUP($C1609,Order!$C:$C,Order!$E:$E,"",0,1))</f>
        <v>#VALUE!</v>
      </c>
      <c r="F1609" s="4">
        <f>IF($C1609="","",_xlfn.XLOOKUP($C1609,Order!$C:$C,Order!$F:$F,"",0,1))</f>
        <v>6000</v>
      </c>
      <c r="G1609" s="4" t="str">
        <f>IF($C1609="","",_xlfn.XLOOKUP($C1609,Order!$C:$C,Order!$G:$G,"",0,1))</f>
        <v>6063T5</v>
      </c>
      <c r="H1609" s="4">
        <f>IF($C1609="","",_xlfn.XLOOKUP($C1609,Order!$C:$C,Order!$H:$H,"",0,1))</f>
        <v>0</v>
      </c>
      <c r="I1609" s="36">
        <f>IF($C1609="","",_xlfn.XLOOKUP($C1609,Order!$C:$C,Order!$M:$M,"",0,1))</f>
        <v>0</v>
      </c>
      <c r="J1609" s="4" t="str">
        <f>IF(C1609="","",Order!$M$16)</f>
        <v>BLACK ANODIZED (FAYP06)</v>
      </c>
      <c r="K1609" s="36">
        <f>IF($C1609="","",_xlfn.XLOOKUP($C1609,Order!$C:$C,Order!$P:$P,"",0,1))</f>
        <v>0</v>
      </c>
      <c r="L1609" s="4">
        <f t="shared" si="25"/>
        <v>0</v>
      </c>
    </row>
    <row r="1610" spans="2:12" ht="23.25" hidden="1" customHeight="1" x14ac:dyDescent="0.25">
      <c r="B1610" s="4">
        <v>1605</v>
      </c>
      <c r="C1610" s="36" t="str">
        <f>IF(Order!$C$241="","",Order!$C$241)</f>
        <v>MT0079 (Infeiror de engenharia 10 mm)</v>
      </c>
      <c r="D1610" s="36" t="str">
        <f>IF($C1610="","",_xlfn.XLOOKUP($C1610,Order!$C:$C,Order!$D:$D,"",0,1))</f>
        <v>MT0079</v>
      </c>
      <c r="E1610" s="4" t="e" vm="425">
        <f>IF($C1610="","",_xlfn.XLOOKUP($C1610,Order!$C:$C,Order!$E:$E,"",0,1))</f>
        <v>#VALUE!</v>
      </c>
      <c r="F1610" s="4">
        <f>IF($C1610="","",_xlfn.XLOOKUP($C1610,Order!$C:$C,Order!$F:$F,"",0,1))</f>
        <v>6000</v>
      </c>
      <c r="G1610" s="4" t="str">
        <f>IF($C1610="","",_xlfn.XLOOKUP($C1610,Order!$C:$C,Order!$G:$G,"",0,1))</f>
        <v>6063T5</v>
      </c>
      <c r="H1610" s="4">
        <f>IF($C1610="","",_xlfn.XLOOKUP($C1610,Order!$C:$C,Order!$H:$H,"",0,1))</f>
        <v>0.439</v>
      </c>
      <c r="I1610" s="36">
        <f>IF($C1610="","",_xlfn.XLOOKUP($C1610,Order!$C:$C,Order!$M:$M,"",0,1))</f>
        <v>0</v>
      </c>
      <c r="J1610" s="4" t="str">
        <f>IF(C1610="","",Order!$M$16)</f>
        <v>BLACK ANODIZED (FAYP06)</v>
      </c>
      <c r="K1610" s="36">
        <f>IF($C1610="","",_xlfn.XLOOKUP($C1610,Order!$C:$C,Order!$P:$P,"",0,1))</f>
        <v>0</v>
      </c>
      <c r="L1610" s="4">
        <f t="shared" si="25"/>
        <v>0</v>
      </c>
    </row>
    <row r="1611" spans="2:12" ht="23.25" hidden="1" customHeight="1" x14ac:dyDescent="0.25">
      <c r="B1611" s="4">
        <v>1606</v>
      </c>
      <c r="C1611" s="36" t="str">
        <f>IF(Order!$C$242="","",Order!$C$242)</f>
        <v>MT0092 (Inferior engenharia de 10mm)</v>
      </c>
      <c r="D1611" s="36" t="str">
        <f>IF($C1611="","",_xlfn.XLOOKUP($C1611,Order!$C:$C,Order!$D:$D,"",0,1))</f>
        <v>MT0092</v>
      </c>
      <c r="E1611" s="4" t="e" vm="426">
        <f>IF($C1611="","",_xlfn.XLOOKUP($C1611,Order!$C:$C,Order!$E:$E,"",0,1))</f>
        <v>#VALUE!</v>
      </c>
      <c r="F1611" s="4">
        <f>IF($C1611="","",_xlfn.XLOOKUP($C1611,Order!$C:$C,Order!$F:$F,"",0,1))</f>
        <v>6000</v>
      </c>
      <c r="G1611" s="4" t="str">
        <f>IF($C1611="","",_xlfn.XLOOKUP($C1611,Order!$C:$C,Order!$G:$G,"",0,1))</f>
        <v>6063T5</v>
      </c>
      <c r="H1611" s="4">
        <f>IF($C1611="","",_xlfn.XLOOKUP($C1611,Order!$C:$C,Order!$H:$H,"",0,1))</f>
        <v>0.39700000000000002</v>
      </c>
      <c r="I1611" s="36">
        <f>IF($C1611="","",_xlfn.XLOOKUP($C1611,Order!$C:$C,Order!$M:$M,"",0,1))</f>
        <v>0</v>
      </c>
      <c r="J1611" s="4" t="str">
        <f>IF(C1611="","",Order!$M$16)</f>
        <v>BLACK ANODIZED (FAYP06)</v>
      </c>
      <c r="K1611" s="36">
        <f>IF($C1611="","",_xlfn.XLOOKUP($C1611,Order!$C:$C,Order!$P:$P,"",0,1))</f>
        <v>0</v>
      </c>
      <c r="L1611" s="4">
        <f t="shared" si="25"/>
        <v>0</v>
      </c>
    </row>
    <row r="1612" spans="2:12" ht="23.25" hidden="1" customHeight="1" x14ac:dyDescent="0.25">
      <c r="B1612" s="4">
        <v>1607</v>
      </c>
      <c r="C1612" s="36" t="str">
        <f>IF(Order!$C$243="","",Order!$C$243)</f>
        <v>MT0093 (Superior engenharia 10 mm)</v>
      </c>
      <c r="D1612" s="36" t="str">
        <f>IF($C1612="","",_xlfn.XLOOKUP($C1612,Order!$C:$C,Order!$D:$D,"",0,1))</f>
        <v>MT0093</v>
      </c>
      <c r="E1612" s="4" t="e" vm="427">
        <f>IF($C1612="","",_xlfn.XLOOKUP($C1612,Order!$C:$C,Order!$E:$E,"",0,1))</f>
        <v>#VALUE!</v>
      </c>
      <c r="F1612" s="4">
        <f>IF($C1612="","",_xlfn.XLOOKUP($C1612,Order!$C:$C,Order!$F:$F,"",0,1))</f>
        <v>6000</v>
      </c>
      <c r="G1612" s="4" t="str">
        <f>IF($C1612="","",_xlfn.XLOOKUP($C1612,Order!$C:$C,Order!$G:$G,"",0,1))</f>
        <v>6063T5</v>
      </c>
      <c r="H1612" s="4">
        <f>IF($C1612="","",_xlfn.XLOOKUP($C1612,Order!$C:$C,Order!$H:$H,"",0,1))</f>
        <v>0.70499999999999996</v>
      </c>
      <c r="I1612" s="36">
        <f>IF($C1612="","",_xlfn.XLOOKUP($C1612,Order!$C:$C,Order!$M:$M,"",0,1))</f>
        <v>0</v>
      </c>
      <c r="J1612" s="4" t="str">
        <f>IF(C1612="","",Order!$M$16)</f>
        <v>BLACK ANODIZED (FAYP06)</v>
      </c>
      <c r="K1612" s="36">
        <f>IF($C1612="","",_xlfn.XLOOKUP($C1612,Order!$C:$C,Order!$P:$P,"",0,1))</f>
        <v>0</v>
      </c>
      <c r="L1612" s="4">
        <f t="shared" si="25"/>
        <v>0</v>
      </c>
    </row>
    <row r="1613" spans="2:12" ht="23.25" hidden="1" customHeight="1" x14ac:dyDescent="0.25">
      <c r="B1613" s="4">
        <v>1608</v>
      </c>
      <c r="C1613" s="36" t="str">
        <f>IF(Order!$C$244="","",Order!$C$244)</f>
        <v>MT0094 (Capa engenharia de 10 mm)</v>
      </c>
      <c r="D1613" s="36" t="str">
        <f>IF($C1613="","",_xlfn.XLOOKUP($C1613,Order!$C:$C,Order!$D:$D,"",0,1))</f>
        <v>MT0094</v>
      </c>
      <c r="E1613" s="4" t="e" vm="428">
        <f>IF($C1613="","",_xlfn.XLOOKUP($C1613,Order!$C:$C,Order!$E:$E,"",0,1))</f>
        <v>#VALUE!</v>
      </c>
      <c r="F1613" s="4">
        <f>IF($C1613="","",_xlfn.XLOOKUP($C1613,Order!$C:$C,Order!$F:$F,"",0,1))</f>
        <v>6000</v>
      </c>
      <c r="G1613" s="4" t="str">
        <f>IF($C1613="","",_xlfn.XLOOKUP($C1613,Order!$C:$C,Order!$G:$G,"",0,1))</f>
        <v>6063T5</v>
      </c>
      <c r="H1613" s="4">
        <f>IF($C1613="","",_xlfn.XLOOKUP($C1613,Order!$C:$C,Order!$H:$H,"",0,1))</f>
        <v>0.29399999999999998</v>
      </c>
      <c r="I1613" s="36">
        <f>IF($C1613="","",_xlfn.XLOOKUP($C1613,Order!$C:$C,Order!$M:$M,"",0,1))</f>
        <v>0</v>
      </c>
      <c r="J1613" s="4" t="str">
        <f>IF(C1613="","",Order!$M$16)</f>
        <v>BLACK ANODIZED (FAYP06)</v>
      </c>
      <c r="K1613" s="36">
        <f>IF($C1613="","",_xlfn.XLOOKUP($C1613,Order!$C:$C,Order!$P:$P,"",0,1))</f>
        <v>0</v>
      </c>
      <c r="L1613" s="4">
        <f t="shared" si="25"/>
        <v>0</v>
      </c>
    </row>
    <row r="1614" spans="2:12" ht="23.25" hidden="1" customHeight="1" x14ac:dyDescent="0.25">
      <c r="B1614" s="4">
        <v>1609</v>
      </c>
      <c r="C1614" s="36" t="str">
        <f>IF(Order!$C$245="","",Order!$C$245)</f>
        <v>MT0095 (BX330-Click Engenharia de 10 mm)</v>
      </c>
      <c r="D1614" s="36" t="str">
        <f>IF($C1614="","",_xlfn.XLOOKUP($C1614,Order!$C:$C,Order!$D:$D,"",0,1))</f>
        <v>MT0095</v>
      </c>
      <c r="E1614" s="4" t="e" vm="429">
        <f>IF($C1614="","",_xlfn.XLOOKUP($C1614,Order!$C:$C,Order!$E:$E,"",0,1))</f>
        <v>#VALUE!</v>
      </c>
      <c r="F1614" s="4">
        <f>IF($C1614="","",_xlfn.XLOOKUP($C1614,Order!$C:$C,Order!$F:$F,"",0,1))</f>
        <v>6000</v>
      </c>
      <c r="G1614" s="4" t="str">
        <f>IF($C1614="","",_xlfn.XLOOKUP($C1614,Order!$C:$C,Order!$G:$G,"",0,1))</f>
        <v>6063T5</v>
      </c>
      <c r="H1614" s="4">
        <f>IF($C1614="","",_xlfn.XLOOKUP($C1614,Order!$C:$C,Order!$H:$H,"",0,1))</f>
        <v>8.6999999999999994E-2</v>
      </c>
      <c r="I1614" s="36">
        <f>IF($C1614="","",_xlfn.XLOOKUP($C1614,Order!$C:$C,Order!$M:$M,"",0,1))</f>
        <v>0</v>
      </c>
      <c r="J1614" s="4" t="str">
        <f>IF(C1614="","",Order!$M$16)</f>
        <v>BLACK ANODIZED (FAYP06)</v>
      </c>
      <c r="K1614" s="36">
        <f>IF($C1614="","",_xlfn.XLOOKUP($C1614,Order!$C:$C,Order!$P:$P,"",0,1))</f>
        <v>0</v>
      </c>
      <c r="L1614" s="4">
        <f t="shared" si="25"/>
        <v>0</v>
      </c>
    </row>
    <row r="1615" spans="2:12" ht="23.25" hidden="1" customHeight="1" x14ac:dyDescent="0.25">
      <c r="B1615" s="4">
        <v>1610</v>
      </c>
      <c r="C1615" s="36" t="str">
        <f>IF(Order!$C$246="","",Order!$C$246)</f>
        <v>BX054 (Inferior simples 10mm)</v>
      </c>
      <c r="D1615" s="36" t="str">
        <f>IF($C1615="","",_xlfn.XLOOKUP($C1615,Order!$C:$C,Order!$D:$D,"",0,1))</f>
        <v>BX054</v>
      </c>
      <c r="E1615" s="4" t="e" vm="430">
        <f>IF($C1615="","",_xlfn.XLOOKUP($C1615,Order!$C:$C,Order!$E:$E,"",0,1))</f>
        <v>#VALUE!</v>
      </c>
      <c r="F1615" s="4">
        <f>IF($C1615="","",_xlfn.XLOOKUP($C1615,Order!$C:$C,Order!$F:$F,"",0,1))</f>
        <v>6000</v>
      </c>
      <c r="G1615" s="4" t="str">
        <f>IF($C1615="","",_xlfn.XLOOKUP($C1615,Order!$C:$C,Order!$G:$G,"",0,1))</f>
        <v>6063T5</v>
      </c>
      <c r="H1615" s="4">
        <f>IF($C1615="","",_xlfn.XLOOKUP($C1615,Order!$C:$C,Order!$H:$H,"",0,1))</f>
        <v>0.28799999999999998</v>
      </c>
      <c r="I1615" s="36">
        <f>IF($C1615="","",_xlfn.XLOOKUP($C1615,Order!$C:$C,Order!$M:$M,"",0,1))</f>
        <v>0</v>
      </c>
      <c r="J1615" s="4" t="str">
        <f>IF(C1615="","",Order!$M$16)</f>
        <v>BLACK ANODIZED (FAYP06)</v>
      </c>
      <c r="K1615" s="36">
        <f>IF($C1615="","",_xlfn.XLOOKUP($C1615,Order!$C:$C,Order!$P:$P,"",0,1))</f>
        <v>0</v>
      </c>
      <c r="L1615" s="4">
        <f t="shared" si="25"/>
        <v>0</v>
      </c>
    </row>
    <row r="1616" spans="2:12" ht="23.25" hidden="1" customHeight="1" x14ac:dyDescent="0.25">
      <c r="B1616" s="4">
        <v>1611</v>
      </c>
      <c r="C1616" s="36" t="str">
        <f>IF(Order!$C$247="","",Order!$C$247)</f>
        <v>BX130</v>
      </c>
      <c r="D1616" s="36" t="str">
        <f>IF($C1616="","",_xlfn.XLOOKUP($C1616,Order!$C:$C,Order!$D:$D,"",0,1))</f>
        <v>BX130</v>
      </c>
      <c r="E1616" s="4" t="e" vm="431">
        <f>IF($C1616="","",_xlfn.XLOOKUP($C1616,Order!$C:$C,Order!$E:$E,"",0,1))</f>
        <v>#VALUE!</v>
      </c>
      <c r="F1616" s="4">
        <f>IF($C1616="","",_xlfn.XLOOKUP($C1616,Order!$C:$C,Order!$F:$F,"",0,1))</f>
        <v>6000</v>
      </c>
      <c r="G1616" s="4" t="str">
        <f>IF($C1616="","",_xlfn.XLOOKUP($C1616,Order!$C:$C,Order!$G:$G,"",0,1))</f>
        <v>6063T5</v>
      </c>
      <c r="H1616" s="4">
        <f>IF($C1616="","",_xlfn.XLOOKUP($C1616,Order!$C:$C,Order!$H:$H,"",0,1))</f>
        <v>0.14199999999999999</v>
      </c>
      <c r="I1616" s="36">
        <f>IF($C1616="","",_xlfn.XLOOKUP($C1616,Order!$C:$C,Order!$M:$M,"",0,1))</f>
        <v>0</v>
      </c>
      <c r="J1616" s="4" t="str">
        <f>IF(C1616="","",Order!$M$16)</f>
        <v>BLACK ANODIZED (FAYP06)</v>
      </c>
      <c r="K1616" s="36">
        <f>IF($C1616="","",_xlfn.XLOOKUP($C1616,Order!$C:$C,Order!$P:$P,"",0,1))</f>
        <v>0</v>
      </c>
      <c r="L1616" s="4">
        <f t="shared" si="25"/>
        <v>0</v>
      </c>
    </row>
    <row r="1617" spans="2:12" ht="23.25" hidden="1" customHeight="1" x14ac:dyDescent="0.25">
      <c r="B1617" s="4">
        <v>1612</v>
      </c>
      <c r="C1617" s="36" t="str">
        <f>IF(Order!$C$248="","",Order!$C$248)</f>
        <v>BX238</v>
      </c>
      <c r="D1617" s="36" t="str">
        <f>IF($C1617="","",_xlfn.XLOOKUP($C1617,Order!$C:$C,Order!$D:$D,"",0,1))</f>
        <v>BX238</v>
      </c>
      <c r="E1617" s="4" t="e" vm="432">
        <f>IF($C1617="","",_xlfn.XLOOKUP($C1617,Order!$C:$C,Order!$E:$E,"",0,1))</f>
        <v>#VALUE!</v>
      </c>
      <c r="F1617" s="4">
        <f>IF($C1617="","",_xlfn.XLOOKUP($C1617,Order!$C:$C,Order!$F:$F,"",0,1))</f>
        <v>6000</v>
      </c>
      <c r="G1617" s="4" t="str">
        <f>IF($C1617="","",_xlfn.XLOOKUP($C1617,Order!$C:$C,Order!$G:$G,"",0,1))</f>
        <v>6063T5</v>
      </c>
      <c r="H1617" s="4">
        <f>IF($C1617="","",_xlfn.XLOOKUP($C1617,Order!$C:$C,Order!$H:$H,"",0,1))</f>
        <v>0.35699999999999998</v>
      </c>
      <c r="I1617" s="36">
        <f>IF($C1617="","",_xlfn.XLOOKUP($C1617,Order!$C:$C,Order!$M:$M,"",0,1))</f>
        <v>0</v>
      </c>
      <c r="J1617" s="4" t="str">
        <f>IF(C1617="","",Order!$M$16)</f>
        <v>BLACK ANODIZED (FAYP06)</v>
      </c>
      <c r="K1617" s="36">
        <f>IF($C1617="","",_xlfn.XLOOKUP($C1617,Order!$C:$C,Order!$P:$P,"",0,1))</f>
        <v>0</v>
      </c>
      <c r="L1617" s="4">
        <f t="shared" si="25"/>
        <v>0</v>
      </c>
    </row>
    <row r="1618" spans="2:12" ht="23.25" hidden="1" customHeight="1" x14ac:dyDescent="0.25">
      <c r="B1618" s="4">
        <v>1613</v>
      </c>
      <c r="C1618" s="36" t="str">
        <f>IF(Order!$C$249="","",Order!$C$249)</f>
        <v/>
      </c>
      <c r="D1618" s="36" t="str">
        <f>IF($C1618="","",_xlfn.XLOOKUP($C1618,Order!$C:$C,Order!$D:$D,"",0,1))</f>
        <v/>
      </c>
      <c r="E1618" s="4" t="str">
        <f>IF($C1618="","",_xlfn.XLOOKUP($C1618,Order!$C:$C,Order!$E:$E,"",0,1))</f>
        <v/>
      </c>
      <c r="F1618" s="4" t="str">
        <f>IF($C1618="","",_xlfn.XLOOKUP($C1618,Order!$C:$C,Order!$F:$F,"",0,1))</f>
        <v/>
      </c>
      <c r="G1618" s="4" t="str">
        <f>IF($C1618="","",_xlfn.XLOOKUP($C1618,Order!$C:$C,Order!$G:$G,"",0,1))</f>
        <v/>
      </c>
      <c r="H1618" s="4" t="str">
        <f>IF($C1618="","",_xlfn.XLOOKUP($C1618,Order!$C:$C,Order!$H:$H,"",0,1))</f>
        <v/>
      </c>
      <c r="I1618" s="36" t="str">
        <f>IF($C1618="","",_xlfn.XLOOKUP($C1618,Order!$C:$C,Order!$M:$M,"",0,1))</f>
        <v/>
      </c>
      <c r="J1618" s="4" t="str">
        <f>IF(C1618="","",Order!$M$16)</f>
        <v/>
      </c>
      <c r="K1618" s="36" t="str">
        <f>IF($C1618="","",_xlfn.XLOOKUP($C1618,Order!$C:$C,Order!$P:$P,"",0,1))</f>
        <v/>
      </c>
      <c r="L1618" s="4" t="str">
        <f t="shared" si="25"/>
        <v/>
      </c>
    </row>
    <row r="1619" spans="2:12" ht="23.25" hidden="1" customHeight="1" x14ac:dyDescent="0.25">
      <c r="B1619" s="4">
        <v>1614</v>
      </c>
      <c r="C1619" s="36" t="str">
        <f>IF(Order!$C$250="","",Order!$C$250)</f>
        <v>KP062</v>
      </c>
      <c r="D1619" s="36" t="str">
        <f>IF($C1619="","",_xlfn.XLOOKUP($C1619,Order!$C:$C,Order!$D:$D,"",0,1))</f>
        <v>KP062</v>
      </c>
      <c r="E1619" s="4" t="e" vm="433">
        <f>IF($C1619="","",_xlfn.XLOOKUP($C1619,Order!$C:$C,Order!$E:$E,"",0,1))</f>
        <v>#VALUE!</v>
      </c>
      <c r="F1619" s="4">
        <f>IF($C1619="","",_xlfn.XLOOKUP($C1619,Order!$C:$C,Order!$F:$F,"",0,1))</f>
        <v>6000</v>
      </c>
      <c r="G1619" s="4" t="str">
        <f>IF($C1619="","",_xlfn.XLOOKUP($C1619,Order!$C:$C,Order!$G:$G,"",0,1))</f>
        <v>6063T5</v>
      </c>
      <c r="H1619" s="4">
        <f>IF($C1619="","",_xlfn.XLOOKUP($C1619,Order!$C:$C,Order!$H:$H,"",0,1))</f>
        <v>0.17499999999999999</v>
      </c>
      <c r="I1619" s="36">
        <f>IF($C1619="","",_xlfn.XLOOKUP($C1619,Order!$C:$C,Order!$M:$M,"",0,1))</f>
        <v>0</v>
      </c>
      <c r="J1619" s="4" t="str">
        <f>IF(C1619="","",Order!$M$16)</f>
        <v>BLACK ANODIZED (FAYP06)</v>
      </c>
      <c r="K1619" s="36">
        <f>IF($C1619="","",_xlfn.XLOOKUP($C1619,Order!$C:$C,Order!$P:$P,"",0,1))</f>
        <v>0</v>
      </c>
      <c r="L1619" s="4">
        <f t="shared" si="25"/>
        <v>0</v>
      </c>
    </row>
    <row r="1620" spans="2:12" ht="23.25" hidden="1" customHeight="1" x14ac:dyDescent="0.25">
      <c r="B1620" s="4">
        <v>1615</v>
      </c>
      <c r="C1620" s="36" t="str">
        <f>IF(Order!$C$251="","",Order!$C$251)</f>
        <v>KP063</v>
      </c>
      <c r="D1620" s="36" t="str">
        <f>IF($C1620="","",_xlfn.XLOOKUP($C1620,Order!$C:$C,Order!$D:$D,"",0,1))</f>
        <v>KP063</v>
      </c>
      <c r="E1620" s="4" t="e" vm="434">
        <f>IF($C1620="","",_xlfn.XLOOKUP($C1620,Order!$C:$C,Order!$E:$E,"",0,1))</f>
        <v>#VALUE!</v>
      </c>
      <c r="F1620" s="4">
        <f>IF($C1620="","",_xlfn.XLOOKUP($C1620,Order!$C:$C,Order!$F:$F,"",0,1))</f>
        <v>6000</v>
      </c>
      <c r="G1620" s="4" t="str">
        <f>IF($C1620="","",_xlfn.XLOOKUP($C1620,Order!$C:$C,Order!$G:$G,"",0,1))</f>
        <v>6063T5</v>
      </c>
      <c r="H1620" s="4">
        <f>IF($C1620="","",_xlfn.XLOOKUP($C1620,Order!$C:$C,Order!$H:$H,"",0,1))</f>
        <v>0.30199999999999999</v>
      </c>
      <c r="I1620" s="36">
        <f>IF($C1620="","",_xlfn.XLOOKUP($C1620,Order!$C:$C,Order!$M:$M,"",0,1))</f>
        <v>0</v>
      </c>
      <c r="J1620" s="4" t="str">
        <f>IF(C1620="","",Order!$M$16)</f>
        <v>BLACK ANODIZED (FAYP06)</v>
      </c>
      <c r="K1620" s="36">
        <f>IF($C1620="","",_xlfn.XLOOKUP($C1620,Order!$C:$C,Order!$P:$P,"",0,1))</f>
        <v>0</v>
      </c>
      <c r="L1620" s="4">
        <f t="shared" si="25"/>
        <v>0</v>
      </c>
    </row>
    <row r="1621" spans="2:12" ht="23.25" hidden="1" customHeight="1" x14ac:dyDescent="0.25">
      <c r="B1621" s="4">
        <v>1616</v>
      </c>
      <c r="C1621" s="36" t="str">
        <f>IF(Order!$C$252="","",Order!$C$252)</f>
        <v>KP064</v>
      </c>
      <c r="D1621" s="36" t="str">
        <f>IF($C1621="","",_xlfn.XLOOKUP($C1621,Order!$C:$C,Order!$D:$D,"",0,1))</f>
        <v>KP064</v>
      </c>
      <c r="E1621" s="4" t="e" vm="435">
        <f>IF($C1621="","",_xlfn.XLOOKUP($C1621,Order!$C:$C,Order!$E:$E,"",0,1))</f>
        <v>#VALUE!</v>
      </c>
      <c r="F1621" s="4">
        <f>IF($C1621="","",_xlfn.XLOOKUP($C1621,Order!$C:$C,Order!$F:$F,"",0,1))</f>
        <v>6000</v>
      </c>
      <c r="G1621" s="4" t="str">
        <f>IF($C1621="","",_xlfn.XLOOKUP($C1621,Order!$C:$C,Order!$G:$G,"",0,1))</f>
        <v>6063T5</v>
      </c>
      <c r="H1621" s="4">
        <f>IF($C1621="","",_xlfn.XLOOKUP($C1621,Order!$C:$C,Order!$H:$H,"",0,1))</f>
        <v>0.308</v>
      </c>
      <c r="I1621" s="36">
        <f>IF($C1621="","",_xlfn.XLOOKUP($C1621,Order!$C:$C,Order!$M:$M,"",0,1))</f>
        <v>0</v>
      </c>
      <c r="J1621" s="4" t="str">
        <f>IF(C1621="","",Order!$M$16)</f>
        <v>BLACK ANODIZED (FAYP06)</v>
      </c>
      <c r="K1621" s="36">
        <f>IF($C1621="","",_xlfn.XLOOKUP($C1621,Order!$C:$C,Order!$P:$P,"",0,1))</f>
        <v>0</v>
      </c>
      <c r="L1621" s="4">
        <f t="shared" si="25"/>
        <v>0</v>
      </c>
    </row>
    <row r="1622" spans="2:12" ht="23.25" hidden="1" customHeight="1" x14ac:dyDescent="0.25">
      <c r="B1622" s="4">
        <v>1617</v>
      </c>
      <c r="C1622" s="36" t="str">
        <f>IF(Order!$C$253="","",Order!$C$253)</f>
        <v>DS004</v>
      </c>
      <c r="D1622" s="36" t="str">
        <f>IF($C1622="","",_xlfn.XLOOKUP($C1622,Order!$C:$C,Order!$D:$D,"",0,1))</f>
        <v>DS004</v>
      </c>
      <c r="E1622" s="4" t="e" vm="436">
        <f>IF($C1622="","",_xlfn.XLOOKUP($C1622,Order!$C:$C,Order!$E:$E,"",0,1))</f>
        <v>#VALUE!</v>
      </c>
      <c r="F1622" s="4">
        <f>IF($C1622="","",_xlfn.XLOOKUP($C1622,Order!$C:$C,Order!$F:$F,"",0,1))</f>
        <v>6000</v>
      </c>
      <c r="G1622" s="4" t="str">
        <f>IF($C1622="","",_xlfn.XLOOKUP($C1622,Order!$C:$C,Order!$G:$G,"",0,1))</f>
        <v>6063T5</v>
      </c>
      <c r="H1622" s="4">
        <f>IF($C1622="","",_xlfn.XLOOKUP($C1622,Order!$C:$C,Order!$H:$H,"",0,1))</f>
        <v>0.33200000000000002</v>
      </c>
      <c r="I1622" s="36">
        <f>IF($C1622="","",_xlfn.XLOOKUP($C1622,Order!$C:$C,Order!$M:$M,"",0,1))</f>
        <v>0</v>
      </c>
      <c r="J1622" s="4" t="str">
        <f>IF(C1622="","",Order!$M$16)</f>
        <v>BLACK ANODIZED (FAYP06)</v>
      </c>
      <c r="K1622" s="36">
        <f>IF($C1622="","",_xlfn.XLOOKUP($C1622,Order!$C:$C,Order!$P:$P,"",0,1))</f>
        <v>0</v>
      </c>
      <c r="L1622" s="4">
        <f t="shared" si="25"/>
        <v>0</v>
      </c>
    </row>
    <row r="1623" spans="2:12" ht="23.25" hidden="1" customHeight="1" x14ac:dyDescent="0.25">
      <c r="B1623" s="4">
        <v>1618</v>
      </c>
      <c r="C1623" s="36" t="str">
        <f>IF(Order!$C$254="","",Order!$C$254)</f>
        <v>SU079</v>
      </c>
      <c r="D1623" s="36" t="str">
        <f>IF($C1623="","",_xlfn.XLOOKUP($C1623,Order!$C:$C,Order!$D:$D,"",0,1))</f>
        <v>SU079</v>
      </c>
      <c r="E1623" s="4" t="e" vm="437">
        <f>IF($C1623="","",_xlfn.XLOOKUP($C1623,Order!$C:$C,Order!$E:$E,"",0,1))</f>
        <v>#VALUE!</v>
      </c>
      <c r="F1623" s="4">
        <f>IF($C1623="","",_xlfn.XLOOKUP($C1623,Order!$C:$C,Order!$F:$F,"",0,1))</f>
        <v>6000</v>
      </c>
      <c r="G1623" s="4" t="str">
        <f>IF($C1623="","",_xlfn.XLOOKUP($C1623,Order!$C:$C,Order!$G:$G,"",0,1))</f>
        <v>6063T5</v>
      </c>
      <c r="H1623" s="4">
        <f>IF($C1623="","",_xlfn.XLOOKUP($C1623,Order!$C:$C,Order!$H:$H,"",0,1))</f>
        <v>0.30099999999999999</v>
      </c>
      <c r="I1623" s="36">
        <f>IF($C1623="","",_xlfn.XLOOKUP($C1623,Order!$C:$C,Order!$M:$M,"",0,1))</f>
        <v>0</v>
      </c>
      <c r="J1623" s="4" t="str">
        <f>IF(C1623="","",Order!$M$16)</f>
        <v>BLACK ANODIZED (FAYP06)</v>
      </c>
      <c r="K1623" s="36">
        <f>IF($C1623="","",_xlfn.XLOOKUP($C1623,Order!$C:$C,Order!$P:$P,"",0,1))</f>
        <v>0</v>
      </c>
      <c r="L1623" s="4">
        <f t="shared" si="25"/>
        <v>0</v>
      </c>
    </row>
    <row r="1624" spans="2:12" ht="23.25" hidden="1" customHeight="1" x14ac:dyDescent="0.25">
      <c r="B1624" s="4">
        <v>1619</v>
      </c>
      <c r="C1624" s="36" t="str">
        <f>IF(Order!$C$255="","",Order!$C$255)</f>
        <v>SU086</v>
      </c>
      <c r="D1624" s="36" t="str">
        <f>IF($C1624="","",_xlfn.XLOOKUP($C1624,Order!$C:$C,Order!$D:$D,"",0,1))</f>
        <v>SU086</v>
      </c>
      <c r="E1624" s="4" t="e" vm="438">
        <f>IF($C1624="","",_xlfn.XLOOKUP($C1624,Order!$C:$C,Order!$E:$E,"",0,1))</f>
        <v>#VALUE!</v>
      </c>
      <c r="F1624" s="4">
        <f>IF($C1624="","",_xlfn.XLOOKUP($C1624,Order!$C:$C,Order!$F:$F,"",0,1))</f>
        <v>6000</v>
      </c>
      <c r="G1624" s="4" t="str">
        <f>IF($C1624="","",_xlfn.XLOOKUP($C1624,Order!$C:$C,Order!$G:$G,"",0,1))</f>
        <v>6063T5</v>
      </c>
      <c r="H1624" s="4">
        <f>IF($C1624="","",_xlfn.XLOOKUP($C1624,Order!$C:$C,Order!$H:$H,"",0,1))</f>
        <v>0.57899999999999996</v>
      </c>
      <c r="I1624" s="36">
        <f>IF($C1624="","",_xlfn.XLOOKUP($C1624,Order!$C:$C,Order!$M:$M,"",0,1))</f>
        <v>0</v>
      </c>
      <c r="J1624" s="4" t="str">
        <f>IF(C1624="","",Order!$M$16)</f>
        <v>BLACK ANODIZED (FAYP06)</v>
      </c>
      <c r="K1624" s="36">
        <f>IF($C1624="","",_xlfn.XLOOKUP($C1624,Order!$C:$C,Order!$P:$P,"",0,1))</f>
        <v>0</v>
      </c>
      <c r="L1624" s="4">
        <f t="shared" si="25"/>
        <v>0</v>
      </c>
    </row>
    <row r="1625" spans="2:12" ht="23.25" hidden="1" customHeight="1" x14ac:dyDescent="0.25">
      <c r="B1625" s="4">
        <v>1620</v>
      </c>
      <c r="C1625" s="36" t="str">
        <f>IF(Order!$C$256="","",Order!$C$256)</f>
        <v>SU090</v>
      </c>
      <c r="D1625" s="36" t="str">
        <f>IF($C1625="","",_xlfn.XLOOKUP($C1625,Order!$C:$C,Order!$D:$D,"",0,1))</f>
        <v>SU090</v>
      </c>
      <c r="E1625" s="4" t="e" vm="439">
        <f>IF($C1625="","",_xlfn.XLOOKUP($C1625,Order!$C:$C,Order!$E:$E,"",0,1))</f>
        <v>#VALUE!</v>
      </c>
      <c r="F1625" s="4">
        <f>IF($C1625="","",_xlfn.XLOOKUP($C1625,Order!$C:$C,Order!$F:$F,"",0,1))</f>
        <v>6000</v>
      </c>
      <c r="G1625" s="4" t="str">
        <f>IF($C1625="","",_xlfn.XLOOKUP($C1625,Order!$C:$C,Order!$G:$G,"",0,1))</f>
        <v>6063T5</v>
      </c>
      <c r="H1625" s="4">
        <f>IF($C1625="","",_xlfn.XLOOKUP($C1625,Order!$C:$C,Order!$H:$H,"",0,1))</f>
        <v>0.48399999999999999</v>
      </c>
      <c r="I1625" s="36">
        <f>IF($C1625="","",_xlfn.XLOOKUP($C1625,Order!$C:$C,Order!$M:$M,"",0,1))</f>
        <v>0</v>
      </c>
      <c r="J1625" s="4" t="str">
        <f>IF(C1625="","",Order!$M$16)</f>
        <v>BLACK ANODIZED (FAYP06)</v>
      </c>
      <c r="K1625" s="36">
        <f>IF($C1625="","",_xlfn.XLOOKUP($C1625,Order!$C:$C,Order!$P:$P,"",0,1))</f>
        <v>0</v>
      </c>
      <c r="L1625" s="4">
        <f t="shared" si="25"/>
        <v>0</v>
      </c>
    </row>
    <row r="1626" spans="2:12" ht="23.25" hidden="1" customHeight="1" x14ac:dyDescent="0.25">
      <c r="B1626" s="4">
        <v>1621</v>
      </c>
      <c r="C1626" s="36" t="str">
        <f>IF(Order!$C$257="","",Order!$C$257)</f>
        <v>SU091</v>
      </c>
      <c r="D1626" s="36" t="str">
        <f>IF($C1626="","",_xlfn.XLOOKUP($C1626,Order!$C:$C,Order!$D:$D,"",0,1))</f>
        <v>SU091</v>
      </c>
      <c r="E1626" s="4" t="e" vm="440">
        <f>IF($C1626="","",_xlfn.XLOOKUP($C1626,Order!$C:$C,Order!$E:$E,"",0,1))</f>
        <v>#VALUE!</v>
      </c>
      <c r="F1626" s="4">
        <f>IF($C1626="","",_xlfn.XLOOKUP($C1626,Order!$C:$C,Order!$F:$F,"",0,1))</f>
        <v>6000</v>
      </c>
      <c r="G1626" s="4" t="str">
        <f>IF($C1626="","",_xlfn.XLOOKUP($C1626,Order!$C:$C,Order!$G:$G,"",0,1))</f>
        <v>6063T5</v>
      </c>
      <c r="H1626" s="4">
        <f>IF($C1626="","",_xlfn.XLOOKUP($C1626,Order!$C:$C,Order!$H:$H,"",0,1))</f>
        <v>0.42699999999999999</v>
      </c>
      <c r="I1626" s="36">
        <f>IF($C1626="","",_xlfn.XLOOKUP($C1626,Order!$C:$C,Order!$M:$M,"",0,1))</f>
        <v>0</v>
      </c>
      <c r="J1626" s="4" t="str">
        <f>IF(C1626="","",Order!$M$16)</f>
        <v>BLACK ANODIZED (FAYP06)</v>
      </c>
      <c r="K1626" s="36">
        <f>IF($C1626="","",_xlfn.XLOOKUP($C1626,Order!$C:$C,Order!$P:$P,"",0,1))</f>
        <v>0</v>
      </c>
      <c r="L1626" s="4">
        <f t="shared" si="25"/>
        <v>0</v>
      </c>
    </row>
    <row r="1627" spans="2:12" ht="23.25" hidden="1" customHeight="1" x14ac:dyDescent="0.25">
      <c r="B1627" s="4">
        <v>1622</v>
      </c>
      <c r="C1627" s="36" t="str">
        <f>IF(Order!$C$258="","",Order!$C$258)</f>
        <v>SU103</v>
      </c>
      <c r="D1627" s="36" t="str">
        <f>IF($C1627="","",_xlfn.XLOOKUP($C1627,Order!$C:$C,Order!$D:$D,"",0,1))</f>
        <v>SU103</v>
      </c>
      <c r="E1627" s="4" t="e" vm="441">
        <f>IF($C1627="","",_xlfn.XLOOKUP($C1627,Order!$C:$C,Order!$E:$E,"",0,1))</f>
        <v>#VALUE!</v>
      </c>
      <c r="F1627" s="4">
        <f>IF($C1627="","",_xlfn.XLOOKUP($C1627,Order!$C:$C,Order!$F:$F,"",0,1))</f>
        <v>6000</v>
      </c>
      <c r="G1627" s="4" t="str">
        <f>IF($C1627="","",_xlfn.XLOOKUP($C1627,Order!$C:$C,Order!$G:$G,"",0,1))</f>
        <v>6063T5</v>
      </c>
      <c r="H1627" s="4">
        <f>IF($C1627="","",_xlfn.XLOOKUP($C1627,Order!$C:$C,Order!$H:$H,"",0,1))</f>
        <v>0.14299999999999999</v>
      </c>
      <c r="I1627" s="36">
        <f>IF($C1627="","",_xlfn.XLOOKUP($C1627,Order!$C:$C,Order!$M:$M,"",0,1))</f>
        <v>0</v>
      </c>
      <c r="J1627" s="4" t="str">
        <f>IF(C1627="","",Order!$M$16)</f>
        <v>BLACK ANODIZED (FAYP06)</v>
      </c>
      <c r="K1627" s="36">
        <f>IF($C1627="","",_xlfn.XLOOKUP($C1627,Order!$C:$C,Order!$P:$P,"",0,1))</f>
        <v>0</v>
      </c>
      <c r="L1627" s="4">
        <f t="shared" si="25"/>
        <v>0</v>
      </c>
    </row>
    <row r="1628" spans="2:12" ht="23.25" hidden="1" customHeight="1" x14ac:dyDescent="0.25">
      <c r="B1628" s="4">
        <v>1623</v>
      </c>
      <c r="C1628" s="36" t="str">
        <f>IF(Order!$C$259="","",Order!$C$259)</f>
        <v>SU276</v>
      </c>
      <c r="D1628" s="36" t="str">
        <f>IF($C1628="","",_xlfn.XLOOKUP($C1628,Order!$C:$C,Order!$D:$D,"",0,1))</f>
        <v>SU276</v>
      </c>
      <c r="E1628" s="4" t="e" vm="442">
        <f>IF($C1628="","",_xlfn.XLOOKUP($C1628,Order!$C:$C,Order!$E:$E,"",0,1))</f>
        <v>#VALUE!</v>
      </c>
      <c r="F1628" s="4">
        <f>IF($C1628="","",_xlfn.XLOOKUP($C1628,Order!$C:$C,Order!$F:$F,"",0,1))</f>
        <v>6000</v>
      </c>
      <c r="G1628" s="4" t="str">
        <f>IF($C1628="","",_xlfn.XLOOKUP($C1628,Order!$C:$C,Order!$G:$G,"",0,1))</f>
        <v>6063T5</v>
      </c>
      <c r="H1628" s="4">
        <f>IF($C1628="","",_xlfn.XLOOKUP($C1628,Order!$C:$C,Order!$H:$H,"",0,1))</f>
        <v>0.17199999999999999</v>
      </c>
      <c r="I1628" s="36">
        <f>IF($C1628="","",_xlfn.XLOOKUP($C1628,Order!$C:$C,Order!$M:$M,"",0,1))</f>
        <v>0</v>
      </c>
      <c r="J1628" s="4" t="str">
        <f>IF(C1628="","",Order!$M$16)</f>
        <v>BLACK ANODIZED (FAYP06)</v>
      </c>
      <c r="K1628" s="36">
        <f>IF($C1628="","",_xlfn.XLOOKUP($C1628,Order!$C:$C,Order!$P:$P,"",0,1))</f>
        <v>0</v>
      </c>
      <c r="L1628" s="4">
        <f t="shared" si="25"/>
        <v>0</v>
      </c>
    </row>
    <row r="1629" spans="2:12" ht="23.25" hidden="1" customHeight="1" x14ac:dyDescent="0.25">
      <c r="B1629" s="4">
        <v>1624</v>
      </c>
      <c r="C1629" s="36" t="str">
        <f>IF(Order!$C$260="","",Order!$C$260)</f>
        <v>SU302</v>
      </c>
      <c r="D1629" s="36" t="str">
        <f>IF($C1629="","",_xlfn.XLOOKUP($C1629,Order!$C:$C,Order!$D:$D,"",0,1))</f>
        <v>SU302</v>
      </c>
      <c r="E1629" s="4" t="e" vm="443">
        <f>IF($C1629="","",_xlfn.XLOOKUP($C1629,Order!$C:$C,Order!$E:$E,"",0,1))</f>
        <v>#VALUE!</v>
      </c>
      <c r="F1629" s="4">
        <f>IF($C1629="","",_xlfn.XLOOKUP($C1629,Order!$C:$C,Order!$F:$F,"",0,1))</f>
        <v>6000</v>
      </c>
      <c r="G1629" s="4" t="str">
        <f>IF($C1629="","",_xlfn.XLOOKUP($C1629,Order!$C:$C,Order!$G:$G,"",0,1))</f>
        <v>6063T5</v>
      </c>
      <c r="H1629" s="4">
        <f>IF($C1629="","",_xlfn.XLOOKUP($C1629,Order!$C:$C,Order!$H:$H,"",0,1))</f>
        <v>0.22700000000000001</v>
      </c>
      <c r="I1629" s="36">
        <f>IF($C1629="","",_xlfn.XLOOKUP($C1629,Order!$C:$C,Order!$M:$M,"",0,1))</f>
        <v>0</v>
      </c>
      <c r="J1629" s="4" t="str">
        <f>IF(C1629="","",Order!$M$16)</f>
        <v>BLACK ANODIZED (FAYP06)</v>
      </c>
      <c r="K1629" s="36">
        <f>IF($C1629="","",_xlfn.XLOOKUP($C1629,Order!$C:$C,Order!$P:$P,"",0,1))</f>
        <v>0</v>
      </c>
      <c r="L1629" s="4">
        <f t="shared" si="25"/>
        <v>0</v>
      </c>
    </row>
    <row r="1630" spans="2:12" ht="23.25" hidden="1" customHeight="1" x14ac:dyDescent="0.25">
      <c r="B1630" s="4">
        <v>1625</v>
      </c>
      <c r="C1630" s="36" t="str">
        <f>IF(Order!$C$261="","",Order!$C$261)</f>
        <v>SU779</v>
      </c>
      <c r="D1630" s="36" t="str">
        <f>IF($C1630="","",_xlfn.XLOOKUP($C1630,Order!$C:$C,Order!$D:$D,"",0,1))</f>
        <v>SU779</v>
      </c>
      <c r="E1630" s="4" t="e" vm="444">
        <f>IF($C1630="","",_xlfn.XLOOKUP($C1630,Order!$C:$C,Order!$E:$E,"",0,1))</f>
        <v>#VALUE!</v>
      </c>
      <c r="F1630" s="4">
        <f>IF($C1630="","",_xlfn.XLOOKUP($C1630,Order!$C:$C,Order!$F:$F,"",0,1))</f>
        <v>6000</v>
      </c>
      <c r="G1630" s="4" t="str">
        <f>IF($C1630="","",_xlfn.XLOOKUP($C1630,Order!$C:$C,Order!$G:$G,"",0,1))</f>
        <v>6063T5</v>
      </c>
      <c r="H1630" s="4">
        <f>IF($C1630="","",_xlfn.XLOOKUP($C1630,Order!$C:$C,Order!$H:$H,"",0,1))</f>
        <v>0.378</v>
      </c>
      <c r="I1630" s="36">
        <f>IF($C1630="","",_xlfn.XLOOKUP($C1630,Order!$C:$C,Order!$M:$M,"",0,1))</f>
        <v>0</v>
      </c>
      <c r="J1630" s="4" t="str">
        <f>IF(C1630="","",Order!$M$16)</f>
        <v>BLACK ANODIZED (FAYP06)</v>
      </c>
      <c r="K1630" s="36">
        <f>IF($C1630="","",_xlfn.XLOOKUP($C1630,Order!$C:$C,Order!$P:$P,"",0,1))</f>
        <v>0</v>
      </c>
      <c r="L1630" s="4">
        <f t="shared" si="25"/>
        <v>0</v>
      </c>
    </row>
    <row r="1631" spans="2:12" ht="23.25" hidden="1" customHeight="1" x14ac:dyDescent="0.25">
      <c r="B1631" s="4">
        <v>1626</v>
      </c>
      <c r="C1631" s="36" t="str">
        <f>IF(Order!$C$262="","",Order!$C$262)</f>
        <v>SU004</v>
      </c>
      <c r="D1631" s="36" t="str">
        <f>IF($C1631="","",_xlfn.XLOOKUP($C1631,Order!$C:$C,Order!$D:$D,"",0,1))</f>
        <v>SU004</v>
      </c>
      <c r="E1631" s="4" t="e" vm="445">
        <f>IF($C1631="","",_xlfn.XLOOKUP($C1631,Order!$C:$C,Order!$E:$E,"",0,1))</f>
        <v>#VALUE!</v>
      </c>
      <c r="F1631" s="4">
        <f>IF($C1631="","",_xlfn.XLOOKUP($C1631,Order!$C:$C,Order!$F:$F,"",0,1))</f>
        <v>6000</v>
      </c>
      <c r="G1631" s="4" t="str">
        <f>IF($C1631="","",_xlfn.XLOOKUP($C1631,Order!$C:$C,Order!$G:$G,"",0,1))</f>
        <v>6063T5</v>
      </c>
      <c r="H1631" s="4">
        <f>IF($C1631="","",_xlfn.XLOOKUP($C1631,Order!$C:$C,Order!$H:$H,"",0,1))</f>
        <v>0.47799999999999998</v>
      </c>
      <c r="I1631" s="36">
        <f>IF($C1631="","",_xlfn.XLOOKUP($C1631,Order!$C:$C,Order!$M:$M,"",0,1))</f>
        <v>0</v>
      </c>
      <c r="J1631" s="4" t="str">
        <f>IF(C1631="","",Order!$M$16)</f>
        <v>BLACK ANODIZED (FAYP06)</v>
      </c>
      <c r="K1631" s="36">
        <f>IF($C1631="","",_xlfn.XLOOKUP($C1631,Order!$C:$C,Order!$P:$P,"",0,1))</f>
        <v>0</v>
      </c>
      <c r="L1631" s="4">
        <f t="shared" si="25"/>
        <v>0</v>
      </c>
    </row>
    <row r="1632" spans="2:12" ht="23.25" hidden="1" customHeight="1" x14ac:dyDescent="0.25">
      <c r="B1632" s="4">
        <v>1627</v>
      </c>
      <c r="C1632" s="36" t="str">
        <f>IF(Order!$C$263="","",Order!$C$263)</f>
        <v>SU005</v>
      </c>
      <c r="D1632" s="36" t="str">
        <f>IF($C1632="","",_xlfn.XLOOKUP($C1632,Order!$C:$C,Order!$D:$D,"",0,1))</f>
        <v>SU005</v>
      </c>
      <c r="E1632" s="4" t="e" vm="446">
        <f>IF($C1632="","",_xlfn.XLOOKUP($C1632,Order!$C:$C,Order!$E:$E,"",0,1))</f>
        <v>#VALUE!</v>
      </c>
      <c r="F1632" s="4">
        <f>IF($C1632="","",_xlfn.XLOOKUP($C1632,Order!$C:$C,Order!$F:$F,"",0,1))</f>
        <v>6000</v>
      </c>
      <c r="G1632" s="4" t="str">
        <f>IF($C1632="","",_xlfn.XLOOKUP($C1632,Order!$C:$C,Order!$G:$G,"",0,1))</f>
        <v>6063T5</v>
      </c>
      <c r="H1632" s="4">
        <f>IF($C1632="","",_xlfn.XLOOKUP($C1632,Order!$C:$C,Order!$H:$H,"",0,1))</f>
        <v>1.012</v>
      </c>
      <c r="I1632" s="36">
        <f>IF($C1632="","",_xlfn.XLOOKUP($C1632,Order!$C:$C,Order!$M:$M,"",0,1))</f>
        <v>0</v>
      </c>
      <c r="J1632" s="4" t="str">
        <f>IF(C1632="","",Order!$M$16)</f>
        <v>BLACK ANODIZED (FAYP06)</v>
      </c>
      <c r="K1632" s="36">
        <f>IF($C1632="","",_xlfn.XLOOKUP($C1632,Order!$C:$C,Order!$P:$P,"",0,1))</f>
        <v>0</v>
      </c>
      <c r="L1632" s="4">
        <f t="shared" si="25"/>
        <v>0</v>
      </c>
    </row>
    <row r="1633" spans="2:12" ht="23.25" hidden="1" customHeight="1" x14ac:dyDescent="0.25">
      <c r="B1633" s="4">
        <v>1628</v>
      </c>
      <c r="C1633" s="36" t="str">
        <f>IF(Order!$C$264="","",Order!$C$264)</f>
        <v>SU006</v>
      </c>
      <c r="D1633" s="36" t="str">
        <f>IF($C1633="","",_xlfn.XLOOKUP($C1633,Order!$C:$C,Order!$D:$D,"",0,1))</f>
        <v>SU006</v>
      </c>
      <c r="E1633" s="4" t="e" vm="447">
        <f>IF($C1633="","",_xlfn.XLOOKUP($C1633,Order!$C:$C,Order!$E:$E,"",0,1))</f>
        <v>#VALUE!</v>
      </c>
      <c r="F1633" s="4">
        <f>IF($C1633="","",_xlfn.XLOOKUP($C1633,Order!$C:$C,Order!$F:$F,"",0,1))</f>
        <v>6000</v>
      </c>
      <c r="G1633" s="4" t="str">
        <f>IF($C1633="","",_xlfn.XLOOKUP($C1633,Order!$C:$C,Order!$G:$G,"",0,1))</f>
        <v>6063T5</v>
      </c>
      <c r="H1633" s="4">
        <f>IF($C1633="","",_xlfn.XLOOKUP($C1633,Order!$C:$C,Order!$H:$H,"",0,1))</f>
        <v>0.98399999999999999</v>
      </c>
      <c r="I1633" s="36">
        <f>IF($C1633="","",_xlfn.XLOOKUP($C1633,Order!$C:$C,Order!$M:$M,"",0,1))</f>
        <v>0</v>
      </c>
      <c r="J1633" s="4" t="str">
        <f>IF(C1633="","",Order!$M$16)</f>
        <v>BLACK ANODIZED (FAYP06)</v>
      </c>
      <c r="K1633" s="36">
        <f>IF($C1633="","",_xlfn.XLOOKUP($C1633,Order!$C:$C,Order!$P:$P,"",0,1))</f>
        <v>0</v>
      </c>
      <c r="L1633" s="4">
        <f t="shared" si="25"/>
        <v>0</v>
      </c>
    </row>
    <row r="1634" spans="2:12" ht="23.25" hidden="1" customHeight="1" x14ac:dyDescent="0.25">
      <c r="B1634" s="4">
        <v>1629</v>
      </c>
      <c r="C1634" s="36" t="str">
        <f>IF(Order!$C$265="","",Order!$C$265)</f>
        <v>SU007</v>
      </c>
      <c r="D1634" s="36" t="str">
        <f>IF($C1634="","",_xlfn.XLOOKUP($C1634,Order!$C:$C,Order!$D:$D,"",0,1))</f>
        <v>SU007</v>
      </c>
      <c r="E1634" s="4" t="e" vm="448">
        <f>IF($C1634="","",_xlfn.XLOOKUP($C1634,Order!$C:$C,Order!$E:$E,"",0,1))</f>
        <v>#VALUE!</v>
      </c>
      <c r="F1634" s="4">
        <f>IF($C1634="","",_xlfn.XLOOKUP($C1634,Order!$C:$C,Order!$F:$F,"",0,1))</f>
        <v>6000</v>
      </c>
      <c r="G1634" s="4" t="str">
        <f>IF($C1634="","",_xlfn.XLOOKUP($C1634,Order!$C:$C,Order!$G:$G,"",0,1))</f>
        <v>6063T5</v>
      </c>
      <c r="H1634" s="4">
        <f>IF($C1634="","",_xlfn.XLOOKUP($C1634,Order!$C:$C,Order!$H:$H,"",0,1))</f>
        <v>0.38100000000000001</v>
      </c>
      <c r="I1634" s="36">
        <f>IF($C1634="","",_xlfn.XLOOKUP($C1634,Order!$C:$C,Order!$M:$M,"",0,1))</f>
        <v>0</v>
      </c>
      <c r="J1634" s="4" t="str">
        <f>IF(C1634="","",Order!$M$16)</f>
        <v>BLACK ANODIZED (FAYP06)</v>
      </c>
      <c r="K1634" s="36">
        <f>IF($C1634="","",_xlfn.XLOOKUP($C1634,Order!$C:$C,Order!$P:$P,"",0,1))</f>
        <v>0</v>
      </c>
      <c r="L1634" s="4">
        <f t="shared" si="25"/>
        <v>0</v>
      </c>
    </row>
    <row r="1635" spans="2:12" ht="23.25" hidden="1" customHeight="1" x14ac:dyDescent="0.25">
      <c r="B1635" s="4">
        <v>1630</v>
      </c>
      <c r="C1635" s="36" t="str">
        <f>IF(Order!$C$266="","",Order!$C$266)</f>
        <v>SU009</v>
      </c>
      <c r="D1635" s="36" t="str">
        <f>IF($C1635="","",_xlfn.XLOOKUP($C1635,Order!$C:$C,Order!$D:$D,"",0,1))</f>
        <v>SU009</v>
      </c>
      <c r="E1635" s="4" t="e" vm="449">
        <f>IF($C1635="","",_xlfn.XLOOKUP($C1635,Order!$C:$C,Order!$E:$E,"",0,1))</f>
        <v>#VALUE!</v>
      </c>
      <c r="F1635" s="4">
        <f>IF($C1635="","",_xlfn.XLOOKUP($C1635,Order!$C:$C,Order!$F:$F,"",0,1))</f>
        <v>6000</v>
      </c>
      <c r="G1635" s="4" t="str">
        <f>IF($C1635="","",_xlfn.XLOOKUP($C1635,Order!$C:$C,Order!$G:$G,"",0,1))</f>
        <v>6063T5</v>
      </c>
      <c r="H1635" s="4">
        <f>IF($C1635="","",_xlfn.XLOOKUP($C1635,Order!$C:$C,Order!$H:$H,"",0,1))</f>
        <v>1.0669999999999999</v>
      </c>
      <c r="I1635" s="36">
        <f>IF($C1635="","",_xlfn.XLOOKUP($C1635,Order!$C:$C,Order!$M:$M,"",0,1))</f>
        <v>0</v>
      </c>
      <c r="J1635" s="4" t="str">
        <f>IF(C1635="","",Order!$M$16)</f>
        <v>BLACK ANODIZED (FAYP06)</v>
      </c>
      <c r="K1635" s="36">
        <f>IF($C1635="","",_xlfn.XLOOKUP($C1635,Order!$C:$C,Order!$P:$P,"",0,1))</f>
        <v>0</v>
      </c>
      <c r="L1635" s="4">
        <f t="shared" si="25"/>
        <v>0</v>
      </c>
    </row>
    <row r="1636" spans="2:12" ht="23.25" hidden="1" customHeight="1" x14ac:dyDescent="0.25">
      <c r="B1636" s="4">
        <v>1631</v>
      </c>
      <c r="C1636" s="36" t="str">
        <f>IF(Order!$C$267="","",Order!$C$267)</f>
        <v>SU010</v>
      </c>
      <c r="D1636" s="36" t="str">
        <f>IF($C1636="","",_xlfn.XLOOKUP($C1636,Order!$C:$C,Order!$D:$D,"",0,1))</f>
        <v>SU010</v>
      </c>
      <c r="E1636" s="4" t="e" vm="450">
        <f>IF($C1636="","",_xlfn.XLOOKUP($C1636,Order!$C:$C,Order!$E:$E,"",0,1))</f>
        <v>#VALUE!</v>
      </c>
      <c r="F1636" s="4">
        <f>IF($C1636="","",_xlfn.XLOOKUP($C1636,Order!$C:$C,Order!$F:$F,"",0,1))</f>
        <v>6000</v>
      </c>
      <c r="G1636" s="4" t="str">
        <f>IF($C1636="","",_xlfn.XLOOKUP($C1636,Order!$C:$C,Order!$G:$G,"",0,1))</f>
        <v>6063T5</v>
      </c>
      <c r="H1636" s="4">
        <f>IF($C1636="","",_xlfn.XLOOKUP($C1636,Order!$C:$C,Order!$H:$H,"",0,1))</f>
        <v>1.0349999999999999</v>
      </c>
      <c r="I1636" s="36">
        <f>IF($C1636="","",_xlfn.XLOOKUP($C1636,Order!$C:$C,Order!$M:$M,"",0,1))</f>
        <v>0</v>
      </c>
      <c r="J1636" s="4" t="str">
        <f>IF(C1636="","",Order!$M$16)</f>
        <v>BLACK ANODIZED (FAYP06)</v>
      </c>
      <c r="K1636" s="36">
        <f>IF($C1636="","",_xlfn.XLOOKUP($C1636,Order!$C:$C,Order!$P:$P,"",0,1))</f>
        <v>0</v>
      </c>
      <c r="L1636" s="4">
        <f t="shared" si="25"/>
        <v>0</v>
      </c>
    </row>
    <row r="1637" spans="2:12" ht="23.25" hidden="1" customHeight="1" x14ac:dyDescent="0.25">
      <c r="B1637" s="4">
        <v>1632</v>
      </c>
      <c r="C1637" s="36" t="str">
        <f>IF(Order!$C$268="","",Order!$C$268)</f>
        <v>SU011</v>
      </c>
      <c r="D1637" s="36" t="str">
        <f>IF($C1637="","",_xlfn.XLOOKUP($C1637,Order!$C:$C,Order!$D:$D,"",0,1))</f>
        <v>SU011</v>
      </c>
      <c r="E1637" s="4" t="e" vm="451">
        <f>IF($C1637="","",_xlfn.XLOOKUP($C1637,Order!$C:$C,Order!$E:$E,"",0,1))</f>
        <v>#VALUE!</v>
      </c>
      <c r="F1637" s="4">
        <f>IF($C1637="","",_xlfn.XLOOKUP($C1637,Order!$C:$C,Order!$F:$F,"",0,1))</f>
        <v>6000</v>
      </c>
      <c r="G1637" s="4" t="str">
        <f>IF($C1637="","",_xlfn.XLOOKUP($C1637,Order!$C:$C,Order!$G:$G,"",0,1))</f>
        <v>6063T5</v>
      </c>
      <c r="H1637" s="4">
        <f>IF($C1637="","",_xlfn.XLOOKUP($C1637,Order!$C:$C,Order!$H:$H,"",0,1))</f>
        <v>0.97299999999999998</v>
      </c>
      <c r="I1637" s="36">
        <f>IF($C1637="","",_xlfn.XLOOKUP($C1637,Order!$C:$C,Order!$M:$M,"",0,1))</f>
        <v>0</v>
      </c>
      <c r="J1637" s="4" t="str">
        <f>IF(C1637="","",Order!$M$16)</f>
        <v>BLACK ANODIZED (FAYP06)</v>
      </c>
      <c r="K1637" s="36">
        <f>IF($C1637="","",_xlfn.XLOOKUP($C1637,Order!$C:$C,Order!$P:$P,"",0,1))</f>
        <v>0</v>
      </c>
      <c r="L1637" s="4">
        <f t="shared" si="25"/>
        <v>0</v>
      </c>
    </row>
    <row r="1638" spans="2:12" ht="23.25" hidden="1" customHeight="1" x14ac:dyDescent="0.25">
      <c r="B1638" s="4">
        <v>1633</v>
      </c>
      <c r="C1638" s="36" t="str">
        <f>IF(Order!$C$269="","",Order!$C$269)</f>
        <v>SU012</v>
      </c>
      <c r="D1638" s="36" t="str">
        <f>IF($C1638="","",_xlfn.XLOOKUP($C1638,Order!$C:$C,Order!$D:$D,"",0,1))</f>
        <v>SU012</v>
      </c>
      <c r="E1638" s="4" t="e" vm="452">
        <f>IF($C1638="","",_xlfn.XLOOKUP($C1638,Order!$C:$C,Order!$E:$E,"",0,1))</f>
        <v>#VALUE!</v>
      </c>
      <c r="F1638" s="4">
        <f>IF($C1638="","",_xlfn.XLOOKUP($C1638,Order!$C:$C,Order!$F:$F,"",0,1))</f>
        <v>6000</v>
      </c>
      <c r="G1638" s="4" t="str">
        <f>IF($C1638="","",_xlfn.XLOOKUP($C1638,Order!$C:$C,Order!$G:$G,"",0,1))</f>
        <v>6063T5</v>
      </c>
      <c r="H1638" s="4">
        <f>IF($C1638="","",_xlfn.XLOOKUP($C1638,Order!$C:$C,Order!$H:$H,"",0,1))</f>
        <v>0.47499999999999998</v>
      </c>
      <c r="I1638" s="36">
        <f>IF($C1638="","",_xlfn.XLOOKUP($C1638,Order!$C:$C,Order!$M:$M,"",0,1))</f>
        <v>0</v>
      </c>
      <c r="J1638" s="4" t="str">
        <f>IF(C1638="","",Order!$M$16)</f>
        <v>BLACK ANODIZED (FAYP06)</v>
      </c>
      <c r="K1638" s="36">
        <f>IF($C1638="","",_xlfn.XLOOKUP($C1638,Order!$C:$C,Order!$P:$P,"",0,1))</f>
        <v>0</v>
      </c>
      <c r="L1638" s="4">
        <f t="shared" si="25"/>
        <v>0</v>
      </c>
    </row>
    <row r="1639" spans="2:12" ht="23.25" hidden="1" customHeight="1" x14ac:dyDescent="0.25">
      <c r="B1639" s="4">
        <v>1634</v>
      </c>
      <c r="C1639" s="36" t="str">
        <f>IF(Order!$C$270="","",Order!$C$270)</f>
        <v>SU121</v>
      </c>
      <c r="D1639" s="36" t="str">
        <f>IF($C1639="","",_xlfn.XLOOKUP($C1639,Order!$C:$C,Order!$D:$D,"",0,1))</f>
        <v>SU121</v>
      </c>
      <c r="E1639" s="4" t="e" vm="453">
        <f>IF($C1639="","",_xlfn.XLOOKUP($C1639,Order!$C:$C,Order!$E:$E,"",0,1))</f>
        <v>#VALUE!</v>
      </c>
      <c r="F1639" s="4">
        <f>IF($C1639="","",_xlfn.XLOOKUP($C1639,Order!$C:$C,Order!$F:$F,"",0,1))</f>
        <v>6000</v>
      </c>
      <c r="G1639" s="4" t="str">
        <f>IF($C1639="","",_xlfn.XLOOKUP($C1639,Order!$C:$C,Order!$G:$G,"",0,1))</f>
        <v>6063T5</v>
      </c>
      <c r="H1639" s="4">
        <f>IF($C1639="","",_xlfn.XLOOKUP($C1639,Order!$C:$C,Order!$H:$H,"",0,1))</f>
        <v>1.423</v>
      </c>
      <c r="I1639" s="36">
        <f>IF($C1639="","",_xlfn.XLOOKUP($C1639,Order!$C:$C,Order!$M:$M,"",0,1))</f>
        <v>0</v>
      </c>
      <c r="J1639" s="4" t="str">
        <f>IF(C1639="","",Order!$M$16)</f>
        <v>BLACK ANODIZED (FAYP06)</v>
      </c>
      <c r="K1639" s="36">
        <f>IF($C1639="","",_xlfn.XLOOKUP($C1639,Order!$C:$C,Order!$P:$P,"",0,1))</f>
        <v>0</v>
      </c>
      <c r="L1639" s="4">
        <f t="shared" si="25"/>
        <v>0</v>
      </c>
    </row>
    <row r="1640" spans="2:12" ht="23.25" hidden="1" customHeight="1" x14ac:dyDescent="0.25">
      <c r="B1640" s="4">
        <v>1635</v>
      </c>
      <c r="C1640" s="36" t="str">
        <f>IF(Order!$C$271="","",Order!$C$271)</f>
        <v>SU122</v>
      </c>
      <c r="D1640" s="36" t="str">
        <f>IF($C1640="","",_xlfn.XLOOKUP($C1640,Order!$C:$C,Order!$D:$D,"",0,1))</f>
        <v>SU122</v>
      </c>
      <c r="E1640" s="4" t="e" vm="454">
        <f>IF($C1640="","",_xlfn.XLOOKUP($C1640,Order!$C:$C,Order!$E:$E,"",0,1))</f>
        <v>#VALUE!</v>
      </c>
      <c r="F1640" s="4">
        <f>IF($C1640="","",_xlfn.XLOOKUP($C1640,Order!$C:$C,Order!$F:$F,"",0,1))</f>
        <v>6000</v>
      </c>
      <c r="G1640" s="4" t="str">
        <f>IF($C1640="","",_xlfn.XLOOKUP($C1640,Order!$C:$C,Order!$G:$G,"",0,1))</f>
        <v>6063T5</v>
      </c>
      <c r="H1640" s="4">
        <f>IF($C1640="","",_xlfn.XLOOKUP($C1640,Order!$C:$C,Order!$H:$H,"",0,1))</f>
        <v>1.46</v>
      </c>
      <c r="I1640" s="36">
        <f>IF($C1640="","",_xlfn.XLOOKUP($C1640,Order!$C:$C,Order!$M:$M,"",0,1))</f>
        <v>0</v>
      </c>
      <c r="J1640" s="4" t="str">
        <f>IF(C1640="","",Order!$M$16)</f>
        <v>BLACK ANODIZED (FAYP06)</v>
      </c>
      <c r="K1640" s="36">
        <f>IF($C1640="","",_xlfn.XLOOKUP($C1640,Order!$C:$C,Order!$P:$P,"",0,1))</f>
        <v>0</v>
      </c>
      <c r="L1640" s="4">
        <f t="shared" si="25"/>
        <v>0</v>
      </c>
    </row>
    <row r="1641" spans="2:12" ht="23.25" hidden="1" customHeight="1" x14ac:dyDescent="0.25">
      <c r="B1641" s="4">
        <v>1636</v>
      </c>
      <c r="C1641" s="36" t="str">
        <f>IF(Order!$C$272="","",Order!$C$272)</f>
        <v>SU123</v>
      </c>
      <c r="D1641" s="36" t="str">
        <f>IF($C1641="","",_xlfn.XLOOKUP($C1641,Order!$C:$C,Order!$D:$D,"",0,1))</f>
        <v>SU123</v>
      </c>
      <c r="E1641" s="4" t="e" vm="455">
        <f>IF($C1641="","",_xlfn.XLOOKUP($C1641,Order!$C:$C,Order!$E:$E,"",0,1))</f>
        <v>#VALUE!</v>
      </c>
      <c r="F1641" s="4">
        <f>IF($C1641="","",_xlfn.XLOOKUP($C1641,Order!$C:$C,Order!$F:$F,"",0,1))</f>
        <v>6000</v>
      </c>
      <c r="G1641" s="4" t="str">
        <f>IF($C1641="","",_xlfn.XLOOKUP($C1641,Order!$C:$C,Order!$G:$G,"",0,1))</f>
        <v>6063T5</v>
      </c>
      <c r="H1641" s="4">
        <f>IF($C1641="","",_xlfn.XLOOKUP($C1641,Order!$C:$C,Order!$H:$H,"",0,1))</f>
        <v>0.84799999999999998</v>
      </c>
      <c r="I1641" s="36">
        <f>IF($C1641="","",_xlfn.XLOOKUP($C1641,Order!$C:$C,Order!$M:$M,"",0,1))</f>
        <v>0</v>
      </c>
      <c r="J1641" s="4" t="str">
        <f>IF(C1641="","",Order!$M$16)</f>
        <v>BLACK ANODIZED (FAYP06)</v>
      </c>
      <c r="K1641" s="36">
        <f>IF($C1641="","",_xlfn.XLOOKUP($C1641,Order!$C:$C,Order!$P:$P,"",0,1))</f>
        <v>0</v>
      </c>
      <c r="L1641" s="4">
        <f t="shared" si="25"/>
        <v>0</v>
      </c>
    </row>
    <row r="1642" spans="2:12" ht="23.25" hidden="1" customHeight="1" x14ac:dyDescent="0.25">
      <c r="B1642" s="4">
        <v>1637</v>
      </c>
      <c r="C1642" s="36" t="str">
        <f>IF(Order!$C$273="","",Order!$C$273)</f>
        <v>SU230</v>
      </c>
      <c r="D1642" s="36" t="str">
        <f>IF($C1642="","",_xlfn.XLOOKUP($C1642,Order!$C:$C,Order!$D:$D,"",0,1))</f>
        <v>SU230</v>
      </c>
      <c r="E1642" s="4" t="e" vm="456">
        <f>IF($C1642="","",_xlfn.XLOOKUP($C1642,Order!$C:$C,Order!$E:$E,"",0,1))</f>
        <v>#VALUE!</v>
      </c>
      <c r="F1642" s="4">
        <f>IF($C1642="","",_xlfn.XLOOKUP($C1642,Order!$C:$C,Order!$F:$F,"",0,1))</f>
        <v>6000</v>
      </c>
      <c r="G1642" s="4" t="str">
        <f>IF($C1642="","",_xlfn.XLOOKUP($C1642,Order!$C:$C,Order!$G:$G,"",0,1))</f>
        <v>6063T5</v>
      </c>
      <c r="H1642" s="4">
        <f>IF($C1642="","",_xlfn.XLOOKUP($C1642,Order!$C:$C,Order!$H:$H,"",0,1))</f>
        <v>0.88100000000000001</v>
      </c>
      <c r="I1642" s="36">
        <f>IF($C1642="","",_xlfn.XLOOKUP($C1642,Order!$C:$C,Order!$M:$M,"",0,1))</f>
        <v>0</v>
      </c>
      <c r="J1642" s="4" t="str">
        <f>IF(C1642="","",Order!$M$16)</f>
        <v>BLACK ANODIZED (FAYP06)</v>
      </c>
      <c r="K1642" s="36">
        <f>IF($C1642="","",_xlfn.XLOOKUP($C1642,Order!$C:$C,Order!$P:$P,"",0,1))</f>
        <v>0</v>
      </c>
      <c r="L1642" s="4">
        <f t="shared" si="25"/>
        <v>0</v>
      </c>
    </row>
    <row r="1643" spans="2:12" ht="23.25" hidden="1" customHeight="1" x14ac:dyDescent="0.25">
      <c r="B1643" s="4">
        <v>1638</v>
      </c>
      <c r="C1643" s="36" t="str">
        <f>IF(Order!$C$274="","",Order!$C$274)</f>
        <v>SU238</v>
      </c>
      <c r="D1643" s="36" t="str">
        <f>IF($C1643="","",_xlfn.XLOOKUP($C1643,Order!$C:$C,Order!$D:$D,"",0,1))</f>
        <v>SU238</v>
      </c>
      <c r="E1643" s="4" t="e" vm="457">
        <f>IF($C1643="","",_xlfn.XLOOKUP($C1643,Order!$C:$C,Order!$E:$E,"",0,1))</f>
        <v>#VALUE!</v>
      </c>
      <c r="F1643" s="4">
        <f>IF($C1643="","",_xlfn.XLOOKUP($C1643,Order!$C:$C,Order!$F:$F,"",0,1))</f>
        <v>6000</v>
      </c>
      <c r="G1643" s="4" t="str">
        <f>IF($C1643="","",_xlfn.XLOOKUP($C1643,Order!$C:$C,Order!$G:$G,"",0,1))</f>
        <v>6063T5</v>
      </c>
      <c r="H1643" s="4">
        <f>IF($C1643="","",_xlfn.XLOOKUP($C1643,Order!$C:$C,Order!$H:$H,"",0,1))</f>
        <v>0.72699999999999998</v>
      </c>
      <c r="I1643" s="36">
        <f>IF($C1643="","",_xlfn.XLOOKUP($C1643,Order!$C:$C,Order!$M:$M,"",0,1))</f>
        <v>0</v>
      </c>
      <c r="J1643" s="4" t="str">
        <f>IF(C1643="","",Order!$M$16)</f>
        <v>BLACK ANODIZED (FAYP06)</v>
      </c>
      <c r="K1643" s="36">
        <f>IF($C1643="","",_xlfn.XLOOKUP($C1643,Order!$C:$C,Order!$P:$P,"",0,1))</f>
        <v>0</v>
      </c>
      <c r="L1643" s="4">
        <f t="shared" si="25"/>
        <v>0</v>
      </c>
    </row>
    <row r="1644" spans="2:12" ht="23.25" hidden="1" customHeight="1" x14ac:dyDescent="0.25">
      <c r="B1644" s="4">
        <v>1639</v>
      </c>
      <c r="C1644" s="36" t="str">
        <f>IF(Order!$C$275="","",Order!$C$275)</f>
        <v>SU250</v>
      </c>
      <c r="D1644" s="36" t="str">
        <f>IF($C1644="","",_xlfn.XLOOKUP($C1644,Order!$C:$C,Order!$D:$D,"",0,1))</f>
        <v>SU250</v>
      </c>
      <c r="E1644" s="4" t="e" vm="458">
        <f>IF($C1644="","",_xlfn.XLOOKUP($C1644,Order!$C:$C,Order!$E:$E,"",0,1))</f>
        <v>#VALUE!</v>
      </c>
      <c r="F1644" s="4">
        <f>IF($C1644="","",_xlfn.XLOOKUP($C1644,Order!$C:$C,Order!$F:$F,"",0,1))</f>
        <v>6000</v>
      </c>
      <c r="G1644" s="4" t="str">
        <f>IF($C1644="","",_xlfn.XLOOKUP($C1644,Order!$C:$C,Order!$G:$G,"",0,1))</f>
        <v>6063T5</v>
      </c>
      <c r="H1644" s="4">
        <f>IF($C1644="","",_xlfn.XLOOKUP($C1644,Order!$C:$C,Order!$H:$H,"",0,1))</f>
        <v>0.89400000000000002</v>
      </c>
      <c r="I1644" s="36">
        <f>IF($C1644="","",_xlfn.XLOOKUP($C1644,Order!$C:$C,Order!$M:$M,"",0,1))</f>
        <v>0</v>
      </c>
      <c r="J1644" s="4" t="str">
        <f>IF(C1644="","",Order!$M$16)</f>
        <v>BLACK ANODIZED (FAYP06)</v>
      </c>
      <c r="K1644" s="36">
        <f>IF($C1644="","",_xlfn.XLOOKUP($C1644,Order!$C:$C,Order!$P:$P,"",0,1))</f>
        <v>0</v>
      </c>
      <c r="L1644" s="4">
        <f t="shared" si="25"/>
        <v>0</v>
      </c>
    </row>
    <row r="1645" spans="2:12" ht="23.25" hidden="1" customHeight="1" x14ac:dyDescent="0.25">
      <c r="B1645" s="4">
        <v>1640</v>
      </c>
      <c r="C1645" s="36" t="str">
        <f>IF(Order!$C$276="","",Order!$C$276)</f>
        <v>SU279</v>
      </c>
      <c r="D1645" s="36" t="str">
        <f>IF($C1645="","",_xlfn.XLOOKUP($C1645,Order!$C:$C,Order!$D:$D,"",0,1))</f>
        <v>SU279</v>
      </c>
      <c r="E1645" s="4" t="e" vm="459">
        <f>IF($C1645="","",_xlfn.XLOOKUP($C1645,Order!$C:$C,Order!$E:$E,"",0,1))</f>
        <v>#VALUE!</v>
      </c>
      <c r="F1645" s="4">
        <f>IF($C1645="","",_xlfn.XLOOKUP($C1645,Order!$C:$C,Order!$F:$F,"",0,1))</f>
        <v>6000</v>
      </c>
      <c r="G1645" s="4" t="str">
        <f>IF($C1645="","",_xlfn.XLOOKUP($C1645,Order!$C:$C,Order!$G:$G,"",0,1))</f>
        <v>6063T5</v>
      </c>
      <c r="H1645" s="4">
        <f>IF($C1645="","",_xlfn.XLOOKUP($C1645,Order!$C:$C,Order!$H:$H,"",0,1))</f>
        <v>0.45800000000000002</v>
      </c>
      <c r="I1645" s="36">
        <f>IF($C1645="","",_xlfn.XLOOKUP($C1645,Order!$C:$C,Order!$M:$M,"",0,1))</f>
        <v>0</v>
      </c>
      <c r="J1645" s="4" t="str">
        <f>IF(C1645="","",Order!$M$16)</f>
        <v>BLACK ANODIZED (FAYP06)</v>
      </c>
      <c r="K1645" s="36">
        <f>IF($C1645="","",_xlfn.XLOOKUP($C1645,Order!$C:$C,Order!$P:$P,"",0,1))</f>
        <v>0</v>
      </c>
      <c r="L1645" s="4">
        <f t="shared" si="25"/>
        <v>0</v>
      </c>
    </row>
    <row r="1646" spans="2:12" ht="23.25" hidden="1" customHeight="1" x14ac:dyDescent="0.25">
      <c r="B1646" s="4">
        <v>1641</v>
      </c>
      <c r="C1646" s="36" t="str">
        <f>IF(Order!$C$277="","",Order!$C$277)</f>
        <v>SU352</v>
      </c>
      <c r="D1646" s="36" t="str">
        <f>IF($C1646="","",_xlfn.XLOOKUP($C1646,Order!$C:$C,Order!$D:$D,"",0,1))</f>
        <v>SU352</v>
      </c>
      <c r="E1646" s="4" t="e" vm="460">
        <f>IF($C1646="","",_xlfn.XLOOKUP($C1646,Order!$C:$C,Order!$E:$E,"",0,1))</f>
        <v>#VALUE!</v>
      </c>
      <c r="F1646" s="4">
        <f>IF($C1646="","",_xlfn.XLOOKUP($C1646,Order!$C:$C,Order!$F:$F,"",0,1))</f>
        <v>6000</v>
      </c>
      <c r="G1646" s="4" t="str">
        <f>IF($C1646="","",_xlfn.XLOOKUP($C1646,Order!$C:$C,Order!$G:$G,"",0,1))</f>
        <v>6063T5</v>
      </c>
      <c r="H1646" s="4">
        <f>IF($C1646="","",_xlfn.XLOOKUP($C1646,Order!$C:$C,Order!$H:$H,"",0,1))</f>
        <v>1.127</v>
      </c>
      <c r="I1646" s="36">
        <f>IF($C1646="","",_xlfn.XLOOKUP($C1646,Order!$C:$C,Order!$M:$M,"",0,1))</f>
        <v>0</v>
      </c>
      <c r="J1646" s="4" t="str">
        <f>IF(C1646="","",Order!$M$16)</f>
        <v>BLACK ANODIZED (FAYP06)</v>
      </c>
      <c r="K1646" s="36">
        <f>IF($C1646="","",_xlfn.XLOOKUP($C1646,Order!$C:$C,Order!$P:$P,"",0,1))</f>
        <v>0</v>
      </c>
      <c r="L1646" s="4">
        <f t="shared" si="25"/>
        <v>0</v>
      </c>
    </row>
    <row r="1647" spans="2:12" ht="23.25" hidden="1" customHeight="1" x14ac:dyDescent="0.25">
      <c r="B1647" s="4">
        <v>1642</v>
      </c>
      <c r="C1647" s="36" t="str">
        <f>IF(Order!$C$278="","",Order!$C$278)</f>
        <v>FU350</v>
      </c>
      <c r="D1647" s="36" t="str">
        <f>IF($C1647="","",_xlfn.XLOOKUP($C1647,Order!$C:$C,Order!$D:$D,"",0,1))</f>
        <v>FU350</v>
      </c>
      <c r="E1647" s="4" t="e" vm="461">
        <f>IF($C1647="","",_xlfn.XLOOKUP($C1647,Order!$C:$C,Order!$E:$E,"",0,1))</f>
        <v>#VALUE!</v>
      </c>
      <c r="F1647" s="4">
        <f>IF($C1647="","",_xlfn.XLOOKUP($C1647,Order!$C:$C,Order!$F:$F,"",0,1))</f>
        <v>6000</v>
      </c>
      <c r="G1647" s="4" t="str">
        <f>IF($C1647="","",_xlfn.XLOOKUP($C1647,Order!$C:$C,Order!$G:$G,"",0,1))</f>
        <v>6063T5</v>
      </c>
      <c r="H1647" s="4">
        <f>IF($C1647="","",_xlfn.XLOOKUP($C1647,Order!$C:$C,Order!$H:$H,"",0,1))</f>
        <v>0.45400000000000001</v>
      </c>
      <c r="I1647" s="36">
        <f>IF($C1647="","",_xlfn.XLOOKUP($C1647,Order!$C:$C,Order!$M:$M,"",0,1))</f>
        <v>0</v>
      </c>
      <c r="J1647" s="4" t="str">
        <f>IF(C1647="","",Order!$M$16)</f>
        <v>BLACK ANODIZED (FAYP06)</v>
      </c>
      <c r="K1647" s="36">
        <f>IF($C1647="","",_xlfn.XLOOKUP($C1647,Order!$C:$C,Order!$P:$P,"",0,1))</f>
        <v>0</v>
      </c>
      <c r="L1647" s="4">
        <f t="shared" si="25"/>
        <v>0</v>
      </c>
    </row>
    <row r="1648" spans="2:12" ht="23.25" hidden="1" customHeight="1" x14ac:dyDescent="0.25">
      <c r="B1648" s="4">
        <v>1643</v>
      </c>
      <c r="C1648" s="36" t="str">
        <f>IF(Order!$C$279="","",Order!$C$279)</f>
        <v>FU362</v>
      </c>
      <c r="D1648" s="36" t="str">
        <f>IF($C1648="","",_xlfn.XLOOKUP($C1648,Order!$C:$C,Order!$D:$D,"",0,1))</f>
        <v>FU362</v>
      </c>
      <c r="E1648" s="4" t="e" vm="462">
        <f>IF($C1648="","",_xlfn.XLOOKUP($C1648,Order!$C:$C,Order!$E:$E,"",0,1))</f>
        <v>#VALUE!</v>
      </c>
      <c r="F1648" s="4">
        <f>IF($C1648="","",_xlfn.XLOOKUP($C1648,Order!$C:$C,Order!$F:$F,"",0,1))</f>
        <v>6000</v>
      </c>
      <c r="G1648" s="4" t="str">
        <f>IF($C1648="","",_xlfn.XLOOKUP($C1648,Order!$C:$C,Order!$G:$G,"",0,1))</f>
        <v>6063T5</v>
      </c>
      <c r="H1648" s="4">
        <f>IF($C1648="","",_xlfn.XLOOKUP($C1648,Order!$C:$C,Order!$H:$H,"",0,1))</f>
        <v>0.66800000000000004</v>
      </c>
      <c r="I1648" s="36">
        <f>IF($C1648="","",_xlfn.XLOOKUP($C1648,Order!$C:$C,Order!$M:$M,"",0,1))</f>
        <v>0</v>
      </c>
      <c r="J1648" s="4" t="str">
        <f>IF(C1648="","",Order!$M$16)</f>
        <v>BLACK ANODIZED (FAYP06)</v>
      </c>
      <c r="K1648" s="36">
        <f>IF($C1648="","",_xlfn.XLOOKUP($C1648,Order!$C:$C,Order!$P:$P,"",0,1))</f>
        <v>0</v>
      </c>
      <c r="L1648" s="4">
        <f t="shared" si="25"/>
        <v>0</v>
      </c>
    </row>
    <row r="1649" spans="2:12" ht="23.25" hidden="1" customHeight="1" x14ac:dyDescent="0.25">
      <c r="B1649" s="4">
        <v>1644</v>
      </c>
      <c r="C1649" s="36" t="str">
        <f>IF(Order!$C$280="","",Order!$C$280)</f>
        <v>FU363</v>
      </c>
      <c r="D1649" s="36" t="str">
        <f>IF($C1649="","",_xlfn.XLOOKUP($C1649,Order!$C:$C,Order!$D:$D,"",0,1))</f>
        <v>FU363</v>
      </c>
      <c r="E1649" s="4" t="e" vm="463">
        <f>IF($C1649="","",_xlfn.XLOOKUP($C1649,Order!$C:$C,Order!$E:$E,"",0,1))</f>
        <v>#VALUE!</v>
      </c>
      <c r="F1649" s="4">
        <f>IF($C1649="","",_xlfn.XLOOKUP($C1649,Order!$C:$C,Order!$F:$F,"",0,1))</f>
        <v>6000</v>
      </c>
      <c r="G1649" s="4" t="str">
        <f>IF($C1649="","",_xlfn.XLOOKUP($C1649,Order!$C:$C,Order!$G:$G,"",0,1))</f>
        <v>6063T5</v>
      </c>
      <c r="H1649" s="4">
        <f>IF($C1649="","",_xlfn.XLOOKUP($C1649,Order!$C:$C,Order!$H:$H,"",0,1))</f>
        <v>0.65300000000000002</v>
      </c>
      <c r="I1649" s="36">
        <f>IF($C1649="","",_xlfn.XLOOKUP($C1649,Order!$C:$C,Order!$M:$M,"",0,1))</f>
        <v>0</v>
      </c>
      <c r="J1649" s="4" t="str">
        <f>IF(C1649="","",Order!$M$16)</f>
        <v>BLACK ANODIZED (FAYP06)</v>
      </c>
      <c r="K1649" s="36">
        <f>IF($C1649="","",_xlfn.XLOOKUP($C1649,Order!$C:$C,Order!$P:$P,"",0,1))</f>
        <v>0</v>
      </c>
      <c r="L1649" s="4">
        <f t="shared" si="25"/>
        <v>0</v>
      </c>
    </row>
    <row r="1650" spans="2:12" ht="23.25" hidden="1" customHeight="1" x14ac:dyDescent="0.25">
      <c r="B1650" s="4">
        <v>1645</v>
      </c>
      <c r="C1650" s="36" t="str">
        <f>IF(Order!$C$281="","",Order!$C$281)</f>
        <v>FU364</v>
      </c>
      <c r="D1650" s="36" t="str">
        <f>IF($C1650="","",_xlfn.XLOOKUP($C1650,Order!$C:$C,Order!$D:$D,"",0,1))</f>
        <v>FU364</v>
      </c>
      <c r="E1650" s="4" t="e" vm="464">
        <f>IF($C1650="","",_xlfn.XLOOKUP($C1650,Order!$C:$C,Order!$E:$E,"",0,1))</f>
        <v>#VALUE!</v>
      </c>
      <c r="F1650" s="4">
        <f>IF($C1650="","",_xlfn.XLOOKUP($C1650,Order!$C:$C,Order!$F:$F,"",0,1))</f>
        <v>6000</v>
      </c>
      <c r="G1650" s="4" t="str">
        <f>IF($C1650="","",_xlfn.XLOOKUP($C1650,Order!$C:$C,Order!$G:$G,"",0,1))</f>
        <v>6063T5</v>
      </c>
      <c r="H1650" s="4">
        <f>IF($C1650="","",_xlfn.XLOOKUP($C1650,Order!$C:$C,Order!$H:$H,"",0,1))</f>
        <v>0.61</v>
      </c>
      <c r="I1650" s="36">
        <f>IF($C1650="","",_xlfn.XLOOKUP($C1650,Order!$C:$C,Order!$M:$M,"",0,1))</f>
        <v>0</v>
      </c>
      <c r="J1650" s="4" t="str">
        <f>IF(C1650="","",Order!$M$16)</f>
        <v>BLACK ANODIZED (FAYP06)</v>
      </c>
      <c r="K1650" s="36">
        <f>IF($C1650="","",_xlfn.XLOOKUP($C1650,Order!$C:$C,Order!$P:$P,"",0,1))</f>
        <v>0</v>
      </c>
      <c r="L1650" s="4">
        <f t="shared" si="25"/>
        <v>0</v>
      </c>
    </row>
    <row r="1651" spans="2:12" ht="23.25" hidden="1" customHeight="1" x14ac:dyDescent="0.25">
      <c r="B1651" s="4">
        <v>1646</v>
      </c>
      <c r="C1651" s="36" t="str">
        <f>IF(Order!$C$282="","",Order!$C$282)</f>
        <v>FU899</v>
      </c>
      <c r="D1651" s="36" t="str">
        <f>IF($C1651="","",_xlfn.XLOOKUP($C1651,Order!$C:$C,Order!$D:$D,"",0,1))</f>
        <v>FU899</v>
      </c>
      <c r="E1651" s="4" t="e" vm="465">
        <f>IF($C1651="","",_xlfn.XLOOKUP($C1651,Order!$C:$C,Order!$E:$E,"",0,1))</f>
        <v>#VALUE!</v>
      </c>
      <c r="F1651" s="4">
        <f>IF($C1651="","",_xlfn.XLOOKUP($C1651,Order!$C:$C,Order!$F:$F,"",0,1))</f>
        <v>6000</v>
      </c>
      <c r="G1651" s="4" t="str">
        <f>IF($C1651="","",_xlfn.XLOOKUP($C1651,Order!$C:$C,Order!$G:$G,"",0,1))</f>
        <v>6063T5</v>
      </c>
      <c r="H1651" s="4">
        <f>IF($C1651="","",_xlfn.XLOOKUP($C1651,Order!$C:$C,Order!$H:$H,"",0,1))</f>
        <v>0.52900000000000003</v>
      </c>
      <c r="I1651" s="36">
        <f>IF($C1651="","",_xlfn.XLOOKUP($C1651,Order!$C:$C,Order!$M:$M,"",0,1))</f>
        <v>0</v>
      </c>
      <c r="J1651" s="4" t="str">
        <f>IF(C1651="","",Order!$M$16)</f>
        <v>BLACK ANODIZED (FAYP06)</v>
      </c>
      <c r="K1651" s="36">
        <f>IF($C1651="","",_xlfn.XLOOKUP($C1651,Order!$C:$C,Order!$P:$P,"",0,1))</f>
        <v>0</v>
      </c>
      <c r="L1651" s="4">
        <f t="shared" si="25"/>
        <v>0</v>
      </c>
    </row>
    <row r="1652" spans="2:12" ht="23.25" hidden="1" customHeight="1" x14ac:dyDescent="0.25">
      <c r="B1652" s="4">
        <v>1647</v>
      </c>
      <c r="C1652" s="36" t="str">
        <f>IF(Order!$C$283="","",Order!$C$283)</f>
        <v>FU900</v>
      </c>
      <c r="D1652" s="36" t="str">
        <f>IF($C1652="","",_xlfn.XLOOKUP($C1652,Order!$C:$C,Order!$D:$D,"",0,1))</f>
        <v>FU900</v>
      </c>
      <c r="E1652" s="4" t="e" vm="466">
        <f>IF($C1652="","",_xlfn.XLOOKUP($C1652,Order!$C:$C,Order!$E:$E,"",0,1))</f>
        <v>#VALUE!</v>
      </c>
      <c r="F1652" s="4">
        <f>IF($C1652="","",_xlfn.XLOOKUP($C1652,Order!$C:$C,Order!$F:$F,"",0,1))</f>
        <v>6000</v>
      </c>
      <c r="G1652" s="4" t="str">
        <f>IF($C1652="","",_xlfn.XLOOKUP($C1652,Order!$C:$C,Order!$G:$G,"",0,1))</f>
        <v>6063T5</v>
      </c>
      <c r="H1652" s="4">
        <f>IF($C1652="","",_xlfn.XLOOKUP($C1652,Order!$C:$C,Order!$H:$H,"",0,1))</f>
        <v>0.48499999999999999</v>
      </c>
      <c r="I1652" s="36">
        <f>IF($C1652="","",_xlfn.XLOOKUP($C1652,Order!$C:$C,Order!$M:$M,"",0,1))</f>
        <v>0</v>
      </c>
      <c r="J1652" s="4" t="str">
        <f>IF(C1652="","",Order!$M$16)</f>
        <v>BLACK ANODIZED (FAYP06)</v>
      </c>
      <c r="K1652" s="36">
        <f>IF($C1652="","",_xlfn.XLOOKUP($C1652,Order!$C:$C,Order!$P:$P,"",0,1))</f>
        <v>0</v>
      </c>
      <c r="L1652" s="4">
        <f t="shared" si="25"/>
        <v>0</v>
      </c>
    </row>
    <row r="1653" spans="2:12" ht="23.25" hidden="1" customHeight="1" x14ac:dyDescent="0.25">
      <c r="B1653" s="4">
        <v>1648</v>
      </c>
      <c r="C1653" s="36" t="str">
        <f>IF(Order!$C$284="","",Order!$C$284)</f>
        <v>FU901</v>
      </c>
      <c r="D1653" s="36" t="str">
        <f>IF($C1653="","",_xlfn.XLOOKUP($C1653,Order!$C:$C,Order!$D:$D,"",0,1))</f>
        <v>FU901</v>
      </c>
      <c r="E1653" s="4" t="e" vm="467">
        <f>IF($C1653="","",_xlfn.XLOOKUP($C1653,Order!$C:$C,Order!$E:$E,"",0,1))</f>
        <v>#VALUE!</v>
      </c>
      <c r="F1653" s="4">
        <f>IF($C1653="","",_xlfn.XLOOKUP($C1653,Order!$C:$C,Order!$F:$F,"",0,1))</f>
        <v>6000</v>
      </c>
      <c r="G1653" s="4" t="str">
        <f>IF($C1653="","",_xlfn.XLOOKUP($C1653,Order!$C:$C,Order!$G:$G,"",0,1))</f>
        <v>6063T5</v>
      </c>
      <c r="H1653" s="4">
        <f>IF($C1653="","",_xlfn.XLOOKUP($C1653,Order!$C:$C,Order!$H:$H,"",0,1))</f>
        <v>0.54100000000000004</v>
      </c>
      <c r="I1653" s="36">
        <f>IF($C1653="","",_xlfn.XLOOKUP($C1653,Order!$C:$C,Order!$M:$M,"",0,1))</f>
        <v>0</v>
      </c>
      <c r="J1653" s="4" t="str">
        <f>IF(C1653="","",Order!$M$16)</f>
        <v>BLACK ANODIZED (FAYP06)</v>
      </c>
      <c r="K1653" s="36">
        <f>IF($C1653="","",_xlfn.XLOOKUP($C1653,Order!$C:$C,Order!$P:$P,"",0,1))</f>
        <v>0</v>
      </c>
      <c r="L1653" s="4">
        <f t="shared" si="25"/>
        <v>0</v>
      </c>
    </row>
    <row r="1654" spans="2:12" ht="23.25" hidden="1" customHeight="1" x14ac:dyDescent="0.25">
      <c r="B1654" s="4">
        <v>1649</v>
      </c>
      <c r="C1654" s="36" t="str">
        <f>IF(Order!$C$285="","",Order!$C$285)</f>
        <v>MT0113</v>
      </c>
      <c r="D1654" s="36" t="str">
        <f>IF($C1654="","",_xlfn.XLOOKUP($C1654,Order!$C:$C,Order!$D:$D,"",0,1))</f>
        <v>MT0113</v>
      </c>
      <c r="E1654" s="4" t="e" vm="468">
        <f>IF($C1654="","",_xlfn.XLOOKUP($C1654,Order!$C:$C,Order!$E:$E,"",0,1))</f>
        <v>#VALUE!</v>
      </c>
      <c r="F1654" s="4">
        <f>IF($C1654="","",_xlfn.XLOOKUP($C1654,Order!$C:$C,Order!$F:$F,"",0,1))</f>
        <v>6000</v>
      </c>
      <c r="G1654" s="4" t="str">
        <f>IF($C1654="","",_xlfn.XLOOKUP($C1654,Order!$C:$C,Order!$G:$G,"",0,1))</f>
        <v>6063T5</v>
      </c>
      <c r="H1654" s="4">
        <f>IF($C1654="","",_xlfn.XLOOKUP($C1654,Order!$C:$C,Order!$H:$H,"",0,1))</f>
        <v>0.54400000000000004</v>
      </c>
      <c r="I1654" s="36">
        <f>IF($C1654="","",_xlfn.XLOOKUP($C1654,Order!$C:$C,Order!$M:$M,"",0,1))</f>
        <v>0</v>
      </c>
      <c r="J1654" s="4" t="str">
        <f>IF(C1654="","",Order!$M$16)</f>
        <v>BLACK ANODIZED (FAYP06)</v>
      </c>
      <c r="K1654" s="36">
        <f>IF($C1654="","",_xlfn.XLOOKUP($C1654,Order!$C:$C,Order!$P:$P,"",0,1))</f>
        <v>0</v>
      </c>
      <c r="L1654" s="4">
        <f t="shared" si="25"/>
        <v>0</v>
      </c>
    </row>
    <row r="1655" spans="2:12" ht="23.25" hidden="1" customHeight="1" x14ac:dyDescent="0.25">
      <c r="B1655" s="4">
        <v>1650</v>
      </c>
      <c r="C1655" s="36" t="str">
        <f>IF(Order!$C$286="","",Order!$C$286)</f>
        <v>MT0117</v>
      </c>
      <c r="D1655" s="36" t="str">
        <f>IF($C1655="","",_xlfn.XLOOKUP($C1655,Order!$C:$C,Order!$D:$D,"",0,1))</f>
        <v>MT0117</v>
      </c>
      <c r="E1655" s="4" t="e" vm="469">
        <f>IF($C1655="","",_xlfn.XLOOKUP($C1655,Order!$C:$C,Order!$E:$E,"",0,1))</f>
        <v>#VALUE!</v>
      </c>
      <c r="F1655" s="4">
        <f>IF($C1655="","",_xlfn.XLOOKUP($C1655,Order!$C:$C,Order!$F:$F,"",0,1))</f>
        <v>6000</v>
      </c>
      <c r="G1655" s="4" t="str">
        <f>IF($C1655="","",_xlfn.XLOOKUP($C1655,Order!$C:$C,Order!$G:$G,"",0,1))</f>
        <v>6063T5</v>
      </c>
      <c r="H1655" s="4">
        <f>IF($C1655="","",_xlfn.XLOOKUP($C1655,Order!$C:$C,Order!$H:$H,"",0,1))</f>
        <v>0.76300000000000001</v>
      </c>
      <c r="I1655" s="36">
        <f>IF($C1655="","",_xlfn.XLOOKUP($C1655,Order!$C:$C,Order!$M:$M,"",0,1))</f>
        <v>0</v>
      </c>
      <c r="J1655" s="4" t="str">
        <f>IF(C1655="","",Order!$M$16)</f>
        <v>BLACK ANODIZED (FAYP06)</v>
      </c>
      <c r="K1655" s="36">
        <f>IF($C1655="","",_xlfn.XLOOKUP($C1655,Order!$C:$C,Order!$P:$P,"",0,1))</f>
        <v>0</v>
      </c>
      <c r="L1655" s="4">
        <f t="shared" si="25"/>
        <v>0</v>
      </c>
    </row>
    <row r="1656" spans="2:12" ht="23.25" hidden="1" customHeight="1" x14ac:dyDescent="0.25">
      <c r="B1656" s="4">
        <v>1651</v>
      </c>
      <c r="C1656" s="36" t="str">
        <f>IF(Order!$C$287="","",Order!$C$287)</f>
        <v>MT0121</v>
      </c>
      <c r="D1656" s="36" t="str">
        <f>IF($C1656="","",_xlfn.XLOOKUP($C1656,Order!$C:$C,Order!$D:$D,"",0,1))</f>
        <v>MT0121</v>
      </c>
      <c r="E1656" s="4" t="e" vm="470">
        <f>IF($C1656="","",_xlfn.XLOOKUP($C1656,Order!$C:$C,Order!$E:$E,"",0,1))</f>
        <v>#VALUE!</v>
      </c>
      <c r="F1656" s="4">
        <f>IF($C1656="","",_xlfn.XLOOKUP($C1656,Order!$C:$C,Order!$F:$F,"",0,1))</f>
        <v>6000</v>
      </c>
      <c r="G1656" s="4" t="str">
        <f>IF($C1656="","",_xlfn.XLOOKUP($C1656,Order!$C:$C,Order!$G:$G,"",0,1))</f>
        <v>6063T5</v>
      </c>
      <c r="H1656" s="4">
        <f>IF($C1656="","",_xlfn.XLOOKUP($C1656,Order!$C:$C,Order!$H:$H,"",0,1))</f>
        <v>0.91500000000000004</v>
      </c>
      <c r="I1656" s="36">
        <f>IF($C1656="","",_xlfn.XLOOKUP($C1656,Order!$C:$C,Order!$M:$M,"",0,1))</f>
        <v>0</v>
      </c>
      <c r="J1656" s="4" t="str">
        <f>IF(C1656="","",Order!$M$16)</f>
        <v>BLACK ANODIZED (FAYP06)</v>
      </c>
      <c r="K1656" s="36">
        <f>IF($C1656="","",_xlfn.XLOOKUP($C1656,Order!$C:$C,Order!$P:$P,"",0,1))</f>
        <v>0</v>
      </c>
      <c r="L1656" s="4">
        <f t="shared" si="25"/>
        <v>0</v>
      </c>
    </row>
    <row r="1657" spans="2:12" ht="23.25" hidden="1" customHeight="1" x14ac:dyDescent="0.25">
      <c r="B1657" s="4">
        <v>1652</v>
      </c>
      <c r="C1657" s="36" t="str">
        <f>IF(Order!$C$288="","",Order!$C$288)</f>
        <v>BX823</v>
      </c>
      <c r="D1657" s="36" t="str">
        <f>IF($C1657="","",_xlfn.XLOOKUP($C1657,Order!$C:$C,Order!$D:$D,"",0,1))</f>
        <v>BX823</v>
      </c>
      <c r="E1657" s="4" t="e" vm="471">
        <f>IF($C1657="","",_xlfn.XLOOKUP($C1657,Order!$C:$C,Order!$E:$E,"",0,1))</f>
        <v>#VALUE!</v>
      </c>
      <c r="F1657" s="4">
        <f>IF($C1657="","",_xlfn.XLOOKUP($C1657,Order!$C:$C,Order!$F:$F,"",0,1))</f>
        <v>6000</v>
      </c>
      <c r="G1657" s="4" t="str">
        <f>IF($C1657="","",_xlfn.XLOOKUP($C1657,Order!$C:$C,Order!$G:$G,"",0,1))</f>
        <v>6063T5</v>
      </c>
      <c r="H1657" s="4">
        <f>IF($C1657="","",_xlfn.XLOOKUP($C1657,Order!$C:$C,Order!$H:$H,"",0,1))</f>
        <v>0</v>
      </c>
      <c r="I1657" s="36">
        <f>IF($C1657="","",_xlfn.XLOOKUP($C1657,Order!$C:$C,Order!$M:$M,"",0,1))</f>
        <v>0</v>
      </c>
      <c r="J1657" s="4" t="str">
        <f>IF(C1657="","",Order!$M$16)</f>
        <v>BLACK ANODIZED (FAYP06)</v>
      </c>
      <c r="K1657" s="36">
        <f>IF($C1657="","",_xlfn.XLOOKUP($C1657,Order!$C:$C,Order!$P:$P,"",0,1))</f>
        <v>0</v>
      </c>
      <c r="L1657" s="4">
        <f t="shared" si="25"/>
        <v>0</v>
      </c>
    </row>
    <row r="1658" spans="2:12" ht="23.25" hidden="1" customHeight="1" x14ac:dyDescent="0.25">
      <c r="B1658" s="4">
        <v>1653</v>
      </c>
      <c r="C1658" s="36" t="str">
        <f>IF(Order!$C$289="","",Order!$C$289)</f>
        <v>BX824</v>
      </c>
      <c r="D1658" s="36" t="str">
        <f>IF($C1658="","",_xlfn.XLOOKUP($C1658,Order!$C:$C,Order!$D:$D,"",0,1))</f>
        <v>BX824</v>
      </c>
      <c r="E1658" s="4" t="e" vm="472">
        <f>IF($C1658="","",_xlfn.XLOOKUP($C1658,Order!$C:$C,Order!$E:$E,"",0,1))</f>
        <v>#VALUE!</v>
      </c>
      <c r="F1658" s="4">
        <f>IF($C1658="","",_xlfn.XLOOKUP($C1658,Order!$C:$C,Order!$F:$F,"",0,1))</f>
        <v>6000</v>
      </c>
      <c r="G1658" s="4" t="str">
        <f>IF($C1658="","",_xlfn.XLOOKUP($C1658,Order!$C:$C,Order!$G:$G,"",0,1))</f>
        <v>6063T5</v>
      </c>
      <c r="H1658" s="4">
        <f>IF($C1658="","",_xlfn.XLOOKUP($C1658,Order!$C:$C,Order!$H:$H,"",0,1))</f>
        <v>0.47299999999999998</v>
      </c>
      <c r="I1658" s="36">
        <f>IF($C1658="","",_xlfn.XLOOKUP($C1658,Order!$C:$C,Order!$M:$M,"",0,1))</f>
        <v>0</v>
      </c>
      <c r="J1658" s="4" t="str">
        <f>IF(C1658="","",Order!$M$16)</f>
        <v>BLACK ANODIZED (FAYP06)</v>
      </c>
      <c r="K1658" s="36">
        <f>IF($C1658="","",_xlfn.XLOOKUP($C1658,Order!$C:$C,Order!$P:$P,"",0,1))</f>
        <v>0</v>
      </c>
      <c r="L1658" s="4">
        <f t="shared" si="25"/>
        <v>0</v>
      </c>
    </row>
    <row r="1659" spans="2:12" ht="23.25" hidden="1" customHeight="1" x14ac:dyDescent="0.25">
      <c r="B1659" s="4">
        <v>1654</v>
      </c>
      <c r="C1659" s="36" t="str">
        <f>IF(Order!$C$290="","",Order!$C$290)</f>
        <v>BX825</v>
      </c>
      <c r="D1659" s="36" t="str">
        <f>IF($C1659="","",_xlfn.XLOOKUP($C1659,Order!$C:$C,Order!$D:$D,"",0,1))</f>
        <v>BX825</v>
      </c>
      <c r="E1659" s="4" t="e" vm="473">
        <f>IF($C1659="","",_xlfn.XLOOKUP($C1659,Order!$C:$C,Order!$E:$E,"",0,1))</f>
        <v>#VALUE!</v>
      </c>
      <c r="F1659" s="4">
        <f>IF($C1659="","",_xlfn.XLOOKUP($C1659,Order!$C:$C,Order!$F:$F,"",0,1))</f>
        <v>6000</v>
      </c>
      <c r="G1659" s="4" t="str">
        <f>IF($C1659="","",_xlfn.XLOOKUP($C1659,Order!$C:$C,Order!$G:$G,"",0,1))</f>
        <v>6063T5</v>
      </c>
      <c r="H1659" s="4">
        <f>IF($C1659="","",_xlfn.XLOOKUP($C1659,Order!$C:$C,Order!$H:$H,"",0,1))</f>
        <v>0</v>
      </c>
      <c r="I1659" s="36">
        <f>IF($C1659="","",_xlfn.XLOOKUP($C1659,Order!$C:$C,Order!$M:$M,"",0,1))</f>
        <v>0</v>
      </c>
      <c r="J1659" s="4" t="str">
        <f>IF(C1659="","",Order!$M$16)</f>
        <v>BLACK ANODIZED (FAYP06)</v>
      </c>
      <c r="K1659" s="36">
        <f>IF($C1659="","",_xlfn.XLOOKUP($C1659,Order!$C:$C,Order!$P:$P,"",0,1))</f>
        <v>0</v>
      </c>
      <c r="L1659" s="4">
        <f t="shared" si="25"/>
        <v>0</v>
      </c>
    </row>
    <row r="1660" spans="2:12" ht="23.25" hidden="1" customHeight="1" x14ac:dyDescent="0.25">
      <c r="B1660" s="4">
        <v>1655</v>
      </c>
      <c r="C1660" s="36" t="str">
        <f>IF(Order!$C$291="","",Order!$C$291)</f>
        <v>BX826</v>
      </c>
      <c r="D1660" s="36" t="str">
        <f>IF($C1660="","",_xlfn.XLOOKUP($C1660,Order!$C:$C,Order!$D:$D,"",0,1))</f>
        <v>BX826</v>
      </c>
      <c r="E1660" s="4" t="e" vm="474">
        <f>IF($C1660="","",_xlfn.XLOOKUP($C1660,Order!$C:$C,Order!$E:$E,"",0,1))</f>
        <v>#VALUE!</v>
      </c>
      <c r="F1660" s="4">
        <f>IF($C1660="","",_xlfn.XLOOKUP($C1660,Order!$C:$C,Order!$F:$F,"",0,1))</f>
        <v>6000</v>
      </c>
      <c r="G1660" s="4" t="str">
        <f>IF($C1660="","",_xlfn.XLOOKUP($C1660,Order!$C:$C,Order!$G:$G,"",0,1))</f>
        <v>6063T5</v>
      </c>
      <c r="H1660" s="4">
        <f>IF($C1660="","",_xlfn.XLOOKUP($C1660,Order!$C:$C,Order!$H:$H,"",0,1))</f>
        <v>0.53800000000000003</v>
      </c>
      <c r="I1660" s="36">
        <f>IF($C1660="","",_xlfn.XLOOKUP($C1660,Order!$C:$C,Order!$M:$M,"",0,1))</f>
        <v>0</v>
      </c>
      <c r="J1660" s="4" t="str">
        <f>IF(C1660="","",Order!$M$16)</f>
        <v>BLACK ANODIZED (FAYP06)</v>
      </c>
      <c r="K1660" s="36">
        <f>IF($C1660="","",_xlfn.XLOOKUP($C1660,Order!$C:$C,Order!$P:$P,"",0,1))</f>
        <v>0</v>
      </c>
      <c r="L1660" s="4">
        <f t="shared" si="25"/>
        <v>0</v>
      </c>
    </row>
    <row r="1661" spans="2:12" ht="23.25" hidden="1" customHeight="1" x14ac:dyDescent="0.25">
      <c r="B1661" s="4">
        <v>1656</v>
      </c>
      <c r="C1661" s="36" t="str">
        <f>IF(Order!$C$292="","",Order!$C$292)</f>
        <v>BX827</v>
      </c>
      <c r="D1661" s="36" t="str">
        <f>IF($C1661="","",_xlfn.XLOOKUP($C1661,Order!$C:$C,Order!$D:$D,"",0,1))</f>
        <v>BX827</v>
      </c>
      <c r="E1661" s="4" t="e" vm="475">
        <f>IF($C1661="","",_xlfn.XLOOKUP($C1661,Order!$C:$C,Order!$E:$E,"",0,1))</f>
        <v>#VALUE!</v>
      </c>
      <c r="F1661" s="4">
        <f>IF($C1661="","",_xlfn.XLOOKUP($C1661,Order!$C:$C,Order!$F:$F,"",0,1))</f>
        <v>6000</v>
      </c>
      <c r="G1661" s="4" t="str">
        <f>IF($C1661="","",_xlfn.XLOOKUP($C1661,Order!$C:$C,Order!$G:$G,"",0,1))</f>
        <v>6063T5</v>
      </c>
      <c r="H1661" s="4">
        <f>IF($C1661="","",_xlfn.XLOOKUP($C1661,Order!$C:$C,Order!$H:$H,"",0,1))</f>
        <v>0</v>
      </c>
      <c r="I1661" s="36">
        <f>IF($C1661="","",_xlfn.XLOOKUP($C1661,Order!$C:$C,Order!$M:$M,"",0,1))</f>
        <v>0</v>
      </c>
      <c r="J1661" s="4" t="str">
        <f>IF(C1661="","",Order!$M$16)</f>
        <v>BLACK ANODIZED (FAYP06)</v>
      </c>
      <c r="K1661" s="36">
        <f>IF($C1661="","",_xlfn.XLOOKUP($C1661,Order!$C:$C,Order!$P:$P,"",0,1))</f>
        <v>0</v>
      </c>
      <c r="L1661" s="4">
        <f t="shared" si="25"/>
        <v>0</v>
      </c>
    </row>
    <row r="1662" spans="2:12" ht="23.25" hidden="1" customHeight="1" x14ac:dyDescent="0.25">
      <c r="B1662" s="4">
        <v>1657</v>
      </c>
      <c r="C1662" s="36" t="str">
        <f>IF(Order!$C$293="","",Order!$C$293)</f>
        <v>BX1087</v>
      </c>
      <c r="D1662" s="36" t="str">
        <f>IF($C1662="","",_xlfn.XLOOKUP($C1662,Order!$C:$C,Order!$D:$D,"",0,1))</f>
        <v>BX1087</v>
      </c>
      <c r="E1662" s="4" t="e" vm="476">
        <f>IF($C1662="","",_xlfn.XLOOKUP($C1662,Order!$C:$C,Order!$E:$E,"",0,1))</f>
        <v>#VALUE!</v>
      </c>
      <c r="F1662" s="4">
        <f>IF($C1662="","",_xlfn.XLOOKUP($C1662,Order!$C:$C,Order!$F:$F,"",0,1))</f>
        <v>6000</v>
      </c>
      <c r="G1662" s="4" t="str">
        <f>IF($C1662="","",_xlfn.XLOOKUP($C1662,Order!$C:$C,Order!$G:$G,"",0,1))</f>
        <v>6063T5</v>
      </c>
      <c r="H1662" s="4">
        <f>IF($C1662="","",_xlfn.XLOOKUP($C1662,Order!$C:$C,Order!$H:$H,"",0,1))</f>
        <v>0.58399999999999996</v>
      </c>
      <c r="I1662" s="36">
        <f>IF($C1662="","",_xlfn.XLOOKUP($C1662,Order!$C:$C,Order!$M:$M,"",0,1))</f>
        <v>0</v>
      </c>
      <c r="J1662" s="4" t="str">
        <f>IF(C1662="","",Order!$M$16)</f>
        <v>BLACK ANODIZED (FAYP06)</v>
      </c>
      <c r="K1662" s="36">
        <f>IF($C1662="","",_xlfn.XLOOKUP($C1662,Order!$C:$C,Order!$P:$P,"",0,1))</f>
        <v>0</v>
      </c>
      <c r="L1662" s="4">
        <f t="shared" si="25"/>
        <v>0</v>
      </c>
    </row>
    <row r="1663" spans="2:12" ht="23.25" hidden="1" customHeight="1" x14ac:dyDescent="0.25">
      <c r="B1663" s="4">
        <v>1658</v>
      </c>
      <c r="C1663" s="36" t="str">
        <f>IF(Order!$C$294="","",Order!$C$294)</f>
        <v>ME013</v>
      </c>
      <c r="D1663" s="36" t="str">
        <f>IF($C1663="","",_xlfn.XLOOKUP($C1663,Order!$C:$C,Order!$D:$D,"",0,1))</f>
        <v>ME013</v>
      </c>
      <c r="E1663" s="4" t="e" vm="477">
        <f>IF($C1663="","",_xlfn.XLOOKUP($C1663,Order!$C:$C,Order!$E:$E,"",0,1))</f>
        <v>#VALUE!</v>
      </c>
      <c r="F1663" s="4">
        <f>IF($C1663="","",_xlfn.XLOOKUP($C1663,Order!$C:$C,Order!$F:$F,"",0,1))</f>
        <v>6000</v>
      </c>
      <c r="G1663" s="4" t="str">
        <f>IF($C1663="","",_xlfn.XLOOKUP($C1663,Order!$C:$C,Order!$G:$G,"",0,1))</f>
        <v>6063T5</v>
      </c>
      <c r="H1663" s="4">
        <f>IF($C1663="","",_xlfn.XLOOKUP($C1663,Order!$C:$C,Order!$H:$H,"",0,1))</f>
        <v>0.27600000000000002</v>
      </c>
      <c r="I1663" s="36">
        <f>IF($C1663="","",_xlfn.XLOOKUP($C1663,Order!$C:$C,Order!$M:$M,"",0,1))</f>
        <v>0</v>
      </c>
      <c r="J1663" s="4" t="str">
        <f>IF(C1663="","",Order!$M$16)</f>
        <v>BLACK ANODIZED (FAYP06)</v>
      </c>
      <c r="K1663" s="36">
        <f>IF($C1663="","",_xlfn.XLOOKUP($C1663,Order!$C:$C,Order!$P:$P,"",0,1))</f>
        <v>0</v>
      </c>
      <c r="L1663" s="4">
        <f t="shared" si="25"/>
        <v>0</v>
      </c>
    </row>
    <row r="1664" spans="2:12" ht="23.25" hidden="1" customHeight="1" x14ac:dyDescent="0.25">
      <c r="B1664" s="4">
        <v>1659</v>
      </c>
      <c r="C1664" s="36" t="str">
        <f>IF(Order!$C$295="","",Order!$C$295)</f>
        <v/>
      </c>
      <c r="D1664" s="36" t="str">
        <f>IF($C1664="","",_xlfn.XLOOKUP($C1664,Order!$C:$C,Order!$D:$D,"",0,1))</f>
        <v/>
      </c>
      <c r="E1664" s="4" t="str">
        <f>IF($C1664="","",_xlfn.XLOOKUP($C1664,Order!$C:$C,Order!$E:$E,"",0,1))</f>
        <v/>
      </c>
      <c r="F1664" s="4" t="str">
        <f>IF($C1664="","",_xlfn.XLOOKUP($C1664,Order!$C:$C,Order!$F:$F,"",0,1))</f>
        <v/>
      </c>
      <c r="G1664" s="4" t="str">
        <f>IF($C1664="","",_xlfn.XLOOKUP($C1664,Order!$C:$C,Order!$G:$G,"",0,1))</f>
        <v/>
      </c>
      <c r="H1664" s="4" t="str">
        <f>IF($C1664="","",_xlfn.XLOOKUP($C1664,Order!$C:$C,Order!$H:$H,"",0,1))</f>
        <v/>
      </c>
      <c r="I1664" s="36" t="str">
        <f>IF($C1664="","",_xlfn.XLOOKUP($C1664,Order!$C:$C,Order!$M:$M,"",0,1))</f>
        <v/>
      </c>
      <c r="J1664" s="4" t="str">
        <f>IF(C1664="","",Order!$M$16)</f>
        <v/>
      </c>
      <c r="K1664" s="36" t="str">
        <f>IF($C1664="","",_xlfn.XLOOKUP($C1664,Order!$C:$C,Order!$P:$P,"",0,1))</f>
        <v/>
      </c>
      <c r="L1664" s="4" t="str">
        <f t="shared" si="25"/>
        <v/>
      </c>
    </row>
    <row r="1665" spans="2:12" ht="23.25" hidden="1" customHeight="1" x14ac:dyDescent="0.25">
      <c r="B1665" s="4">
        <v>1660</v>
      </c>
      <c r="C1665" s="36" t="str">
        <f>IF(Order!$C$296="","",Order!$C$296)</f>
        <v/>
      </c>
      <c r="D1665" s="36" t="str">
        <f>IF($C1665="","",_xlfn.XLOOKUP($C1665,Order!$C:$C,Order!$D:$D,"",0,1))</f>
        <v/>
      </c>
      <c r="E1665" s="4" t="str">
        <f>IF($C1665="","",_xlfn.XLOOKUP($C1665,Order!$C:$C,Order!$E:$E,"",0,1))</f>
        <v/>
      </c>
      <c r="F1665" s="4" t="str">
        <f>IF($C1665="","",_xlfn.XLOOKUP($C1665,Order!$C:$C,Order!$F:$F,"",0,1))</f>
        <v/>
      </c>
      <c r="G1665" s="4" t="str">
        <f>IF($C1665="","",_xlfn.XLOOKUP($C1665,Order!$C:$C,Order!$G:$G,"",0,1))</f>
        <v/>
      </c>
      <c r="H1665" s="4" t="str">
        <f>IF($C1665="","",_xlfn.XLOOKUP($C1665,Order!$C:$C,Order!$H:$H,"",0,1))</f>
        <v/>
      </c>
      <c r="I1665" s="36" t="str">
        <f>IF($C1665="","",_xlfn.XLOOKUP($C1665,Order!$C:$C,Order!$M:$M,"",0,1))</f>
        <v/>
      </c>
      <c r="J1665" s="4" t="str">
        <f>IF(C1665="","",Order!$M$16)</f>
        <v/>
      </c>
      <c r="K1665" s="36" t="str">
        <f>IF($C1665="","",_xlfn.XLOOKUP($C1665,Order!$C:$C,Order!$P:$P,"",0,1))</f>
        <v/>
      </c>
      <c r="L1665" s="4" t="str">
        <f t="shared" si="25"/>
        <v/>
      </c>
    </row>
    <row r="1666" spans="2:12" ht="23.25" hidden="1" customHeight="1" x14ac:dyDescent="0.25">
      <c r="B1666" s="4">
        <v>1661</v>
      </c>
      <c r="C1666" s="36" t="str">
        <f>IF(Order!$C$297="","",Order!$C$297)</f>
        <v/>
      </c>
      <c r="D1666" s="36" t="str">
        <f>IF($C1666="","",_xlfn.XLOOKUP($C1666,Order!$C:$C,Order!$D:$D,"",0,1))</f>
        <v/>
      </c>
      <c r="E1666" s="4" t="str">
        <f>IF($C1666="","",_xlfn.XLOOKUP($C1666,Order!$C:$C,Order!$E:$E,"",0,1))</f>
        <v/>
      </c>
      <c r="F1666" s="4" t="str">
        <f>IF($C1666="","",_xlfn.XLOOKUP($C1666,Order!$C:$C,Order!$F:$F,"",0,1))</f>
        <v/>
      </c>
      <c r="G1666" s="4" t="str">
        <f>IF($C1666="","",_xlfn.XLOOKUP($C1666,Order!$C:$C,Order!$G:$G,"",0,1))</f>
        <v/>
      </c>
      <c r="H1666" s="4" t="str">
        <f>IF($C1666="","",_xlfn.XLOOKUP($C1666,Order!$C:$C,Order!$H:$H,"",0,1))</f>
        <v/>
      </c>
      <c r="I1666" s="36" t="str">
        <f>IF($C1666="","",_xlfn.XLOOKUP($C1666,Order!$C:$C,Order!$M:$M,"",0,1))</f>
        <v/>
      </c>
      <c r="J1666" s="4" t="str">
        <f>IF(C1666="","",Order!$M$16)</f>
        <v/>
      </c>
      <c r="K1666" s="36" t="str">
        <f>IF($C1666="","",_xlfn.XLOOKUP($C1666,Order!$C:$C,Order!$P:$P,"",0,1))</f>
        <v/>
      </c>
      <c r="L1666" s="4" t="str">
        <f t="shared" si="25"/>
        <v/>
      </c>
    </row>
    <row r="1667" spans="2:12" ht="23.25" hidden="1" customHeight="1" x14ac:dyDescent="0.25">
      <c r="B1667" s="4">
        <v>1662</v>
      </c>
      <c r="C1667" s="36" t="str">
        <f>IF(Order!$C$298="","",Order!$C$298)</f>
        <v/>
      </c>
      <c r="D1667" s="36" t="str">
        <f>IF($C1667="","",_xlfn.XLOOKUP($C1667,Order!$C:$C,Order!$D:$D,"",0,1))</f>
        <v/>
      </c>
      <c r="E1667" s="4" t="str">
        <f>IF($C1667="","",_xlfn.XLOOKUP($C1667,Order!$C:$C,Order!$E:$E,"",0,1))</f>
        <v/>
      </c>
      <c r="F1667" s="4" t="str">
        <f>IF($C1667="","",_xlfn.XLOOKUP($C1667,Order!$C:$C,Order!$F:$F,"",0,1))</f>
        <v/>
      </c>
      <c r="G1667" s="4" t="str">
        <f>IF($C1667="","",_xlfn.XLOOKUP($C1667,Order!$C:$C,Order!$G:$G,"",0,1))</f>
        <v/>
      </c>
      <c r="H1667" s="4" t="str">
        <f>IF($C1667="","",_xlfn.XLOOKUP($C1667,Order!$C:$C,Order!$H:$H,"",0,1))</f>
        <v/>
      </c>
      <c r="I1667" s="36" t="str">
        <f>IF($C1667="","",_xlfn.XLOOKUP($C1667,Order!$C:$C,Order!$M:$M,"",0,1))</f>
        <v/>
      </c>
      <c r="J1667" s="4" t="str">
        <f>IF(C1667="","",Order!$M$16)</f>
        <v/>
      </c>
      <c r="K1667" s="36" t="str">
        <f>IF($C1667="","",_xlfn.XLOOKUP($C1667,Order!$C:$C,Order!$P:$P,"",0,1))</f>
        <v/>
      </c>
      <c r="L1667" s="4" t="str">
        <f t="shared" si="25"/>
        <v/>
      </c>
    </row>
    <row r="1668" spans="2:12" ht="23.25" hidden="1" customHeight="1" x14ac:dyDescent="0.25">
      <c r="B1668" s="4">
        <v>1663</v>
      </c>
      <c r="C1668" s="36" t="str">
        <f>IF(Order!$C$299="","",Order!$C$299)</f>
        <v/>
      </c>
      <c r="D1668" s="36" t="str">
        <f>IF($C1668="","",_xlfn.XLOOKUP($C1668,Order!$C:$C,Order!$D:$D,"",0,1))</f>
        <v/>
      </c>
      <c r="E1668" s="4" t="str">
        <f>IF($C1668="","",_xlfn.XLOOKUP($C1668,Order!$C:$C,Order!$E:$E,"",0,1))</f>
        <v/>
      </c>
      <c r="F1668" s="4" t="str">
        <f>IF($C1668="","",_xlfn.XLOOKUP($C1668,Order!$C:$C,Order!$F:$F,"",0,1))</f>
        <v/>
      </c>
      <c r="G1668" s="4" t="str">
        <f>IF($C1668="","",_xlfn.XLOOKUP($C1668,Order!$C:$C,Order!$G:$G,"",0,1))</f>
        <v/>
      </c>
      <c r="H1668" s="4" t="str">
        <f>IF($C1668="","",_xlfn.XLOOKUP($C1668,Order!$C:$C,Order!$H:$H,"",0,1))</f>
        <v/>
      </c>
      <c r="I1668" s="36" t="str">
        <f>IF($C1668="","",_xlfn.XLOOKUP($C1668,Order!$C:$C,Order!$M:$M,"",0,1))</f>
        <v/>
      </c>
      <c r="J1668" s="4" t="str">
        <f>IF(C1668="","",Order!$M$16)</f>
        <v/>
      </c>
      <c r="K1668" s="36" t="str">
        <f>IF($C1668="","",_xlfn.XLOOKUP($C1668,Order!$C:$C,Order!$P:$P,"",0,1))</f>
        <v/>
      </c>
      <c r="L1668" s="4" t="str">
        <f t="shared" si="25"/>
        <v/>
      </c>
    </row>
    <row r="1669" spans="2:12" ht="23.25" hidden="1" customHeight="1" x14ac:dyDescent="0.25">
      <c r="B1669" s="4">
        <v>1664</v>
      </c>
      <c r="C1669" s="36" t="str">
        <f>IF(Order!$C$300="","",Order!$C$300)</f>
        <v/>
      </c>
      <c r="D1669" s="36" t="str">
        <f>IF($C1669="","",_xlfn.XLOOKUP($C1669,Order!$C:$C,Order!$D:$D,"",0,1))</f>
        <v/>
      </c>
      <c r="E1669" s="4" t="str">
        <f>IF($C1669="","",_xlfn.XLOOKUP($C1669,Order!$C:$C,Order!$E:$E,"",0,1))</f>
        <v/>
      </c>
      <c r="F1669" s="4" t="str">
        <f>IF($C1669="","",_xlfn.XLOOKUP($C1669,Order!$C:$C,Order!$F:$F,"",0,1))</f>
        <v/>
      </c>
      <c r="G1669" s="4" t="str">
        <f>IF($C1669="","",_xlfn.XLOOKUP($C1669,Order!$C:$C,Order!$G:$G,"",0,1))</f>
        <v/>
      </c>
      <c r="H1669" s="4" t="str">
        <f>IF($C1669="","",_xlfn.XLOOKUP($C1669,Order!$C:$C,Order!$H:$H,"",0,1))</f>
        <v/>
      </c>
      <c r="I1669" s="36" t="str">
        <f>IF($C1669="","",_xlfn.XLOOKUP($C1669,Order!$C:$C,Order!$M:$M,"",0,1))</f>
        <v/>
      </c>
      <c r="J1669" s="4" t="str">
        <f>IF(C1669="","",Order!$M$16)</f>
        <v/>
      </c>
      <c r="K1669" s="36" t="str">
        <f>IF($C1669="","",_xlfn.XLOOKUP($C1669,Order!$C:$C,Order!$P:$P,"",0,1))</f>
        <v/>
      </c>
      <c r="L1669" s="4" t="str">
        <f t="shared" si="25"/>
        <v/>
      </c>
    </row>
    <row r="1670" spans="2:12" ht="23.25" hidden="1" customHeight="1" x14ac:dyDescent="0.25">
      <c r="B1670" s="4">
        <v>1665</v>
      </c>
      <c r="C1670" s="36" t="str">
        <f>IF(Order!$C$301="","",Order!$C$301)</f>
        <v/>
      </c>
      <c r="D1670" s="36" t="str">
        <f>IF($C1670="","",_xlfn.XLOOKUP($C1670,Order!$C:$C,Order!$D:$D,"",0,1))</f>
        <v/>
      </c>
      <c r="E1670" s="4" t="str">
        <f>IF($C1670="","",_xlfn.XLOOKUP($C1670,Order!$C:$C,Order!$E:$E,"",0,1))</f>
        <v/>
      </c>
      <c r="F1670" s="4" t="str">
        <f>IF($C1670="","",_xlfn.XLOOKUP($C1670,Order!$C:$C,Order!$F:$F,"",0,1))</f>
        <v/>
      </c>
      <c r="G1670" s="4" t="str">
        <f>IF($C1670="","",_xlfn.XLOOKUP($C1670,Order!$C:$C,Order!$G:$G,"",0,1))</f>
        <v/>
      </c>
      <c r="H1670" s="4" t="str">
        <f>IF($C1670="","",_xlfn.XLOOKUP($C1670,Order!$C:$C,Order!$H:$H,"",0,1))</f>
        <v/>
      </c>
      <c r="I1670" s="36" t="str">
        <f>IF($C1670="","",_xlfn.XLOOKUP($C1670,Order!$C:$C,Order!$M:$M,"",0,1))</f>
        <v/>
      </c>
      <c r="J1670" s="4" t="str">
        <f>IF(C1670="","",Order!$M$16)</f>
        <v/>
      </c>
      <c r="K1670" s="36" t="str">
        <f>IF($C1670="","",_xlfn.XLOOKUP($C1670,Order!$C:$C,Order!$P:$P,"",0,1))</f>
        <v/>
      </c>
      <c r="L1670" s="4" t="str">
        <f t="shared" si="25"/>
        <v/>
      </c>
    </row>
    <row r="1671" spans="2:12" ht="23.25" hidden="1" customHeight="1" x14ac:dyDescent="0.25">
      <c r="B1671" s="4">
        <v>1666</v>
      </c>
      <c r="C1671" s="36" t="str">
        <f>IF(Order!$C$302="","",Order!$C$302)</f>
        <v/>
      </c>
      <c r="D1671" s="36" t="str">
        <f>IF($C1671="","",_xlfn.XLOOKUP($C1671,Order!$C:$C,Order!$D:$D,"",0,1))</f>
        <v/>
      </c>
      <c r="E1671" s="4" t="str">
        <f>IF($C1671="","",_xlfn.XLOOKUP($C1671,Order!$C:$C,Order!$E:$E,"",0,1))</f>
        <v/>
      </c>
      <c r="F1671" s="4" t="str">
        <f>IF($C1671="","",_xlfn.XLOOKUP($C1671,Order!$C:$C,Order!$F:$F,"",0,1))</f>
        <v/>
      </c>
      <c r="G1671" s="4" t="str">
        <f>IF($C1671="","",_xlfn.XLOOKUP($C1671,Order!$C:$C,Order!$G:$G,"",0,1))</f>
        <v/>
      </c>
      <c r="H1671" s="4" t="str">
        <f>IF($C1671="","",_xlfn.XLOOKUP($C1671,Order!$C:$C,Order!$H:$H,"",0,1))</f>
        <v/>
      </c>
      <c r="I1671" s="36" t="str">
        <f>IF($C1671="","",_xlfn.XLOOKUP($C1671,Order!$C:$C,Order!$M:$M,"",0,1))</f>
        <v/>
      </c>
      <c r="J1671" s="4" t="str">
        <f>IF(C1671="","",Order!$M$16)</f>
        <v/>
      </c>
      <c r="K1671" s="36" t="str">
        <f>IF($C1671="","",_xlfn.XLOOKUP($C1671,Order!$C:$C,Order!$P:$P,"",0,1))</f>
        <v/>
      </c>
      <c r="L1671" s="4" t="str">
        <f t="shared" ref="L1671:L1734" si="26">IF(C1671="","",F1671/1000*H1671*I1671)</f>
        <v/>
      </c>
    </row>
    <row r="1672" spans="2:12" ht="23.25" hidden="1" customHeight="1" x14ac:dyDescent="0.25">
      <c r="B1672" s="4">
        <v>1667</v>
      </c>
      <c r="C1672" s="36" t="str">
        <f>IF(Order!$C$303="","",Order!$C$303)</f>
        <v/>
      </c>
      <c r="D1672" s="36" t="str">
        <f>IF($C1672="","",_xlfn.XLOOKUP($C1672,Order!$C:$C,Order!$D:$D,"",0,1))</f>
        <v/>
      </c>
      <c r="E1672" s="4" t="str">
        <f>IF($C1672="","",_xlfn.XLOOKUP($C1672,Order!$C:$C,Order!$E:$E,"",0,1))</f>
        <v/>
      </c>
      <c r="F1672" s="4" t="str">
        <f>IF($C1672="","",_xlfn.XLOOKUP($C1672,Order!$C:$C,Order!$F:$F,"",0,1))</f>
        <v/>
      </c>
      <c r="G1672" s="4" t="str">
        <f>IF($C1672="","",_xlfn.XLOOKUP($C1672,Order!$C:$C,Order!$G:$G,"",0,1))</f>
        <v/>
      </c>
      <c r="H1672" s="4" t="str">
        <f>IF($C1672="","",_xlfn.XLOOKUP($C1672,Order!$C:$C,Order!$H:$H,"",0,1))</f>
        <v/>
      </c>
      <c r="I1672" s="36" t="str">
        <f>IF($C1672="","",_xlfn.XLOOKUP($C1672,Order!$C:$C,Order!$M:$M,"",0,1))</f>
        <v/>
      </c>
      <c r="J1672" s="4" t="str">
        <f>IF(C1672="","",Order!$M$16)</f>
        <v/>
      </c>
      <c r="K1672" s="36" t="str">
        <f>IF($C1672="","",_xlfn.XLOOKUP($C1672,Order!$C:$C,Order!$P:$P,"",0,1))</f>
        <v/>
      </c>
      <c r="L1672" s="4" t="str">
        <f t="shared" si="26"/>
        <v/>
      </c>
    </row>
    <row r="1673" spans="2:12" ht="23.25" hidden="1" customHeight="1" x14ac:dyDescent="0.25">
      <c r="B1673" s="4">
        <v>1668</v>
      </c>
      <c r="C1673" s="36" t="str">
        <f>IF(Order!$C$304="","",Order!$C$304)</f>
        <v/>
      </c>
      <c r="D1673" s="36" t="str">
        <f>IF($C1673="","",_xlfn.XLOOKUP($C1673,Order!$C:$C,Order!$D:$D,"",0,1))</f>
        <v/>
      </c>
      <c r="E1673" s="4" t="str">
        <f>IF($C1673="","",_xlfn.XLOOKUP($C1673,Order!$C:$C,Order!$E:$E,"",0,1))</f>
        <v/>
      </c>
      <c r="F1673" s="4" t="str">
        <f>IF($C1673="","",_xlfn.XLOOKUP($C1673,Order!$C:$C,Order!$F:$F,"",0,1))</f>
        <v/>
      </c>
      <c r="G1673" s="4" t="str">
        <f>IF($C1673="","",_xlfn.XLOOKUP($C1673,Order!$C:$C,Order!$G:$G,"",0,1))</f>
        <v/>
      </c>
      <c r="H1673" s="4" t="str">
        <f>IF($C1673="","",_xlfn.XLOOKUP($C1673,Order!$C:$C,Order!$H:$H,"",0,1))</f>
        <v/>
      </c>
      <c r="I1673" s="36" t="str">
        <f>IF($C1673="","",_xlfn.XLOOKUP($C1673,Order!$C:$C,Order!$M:$M,"",0,1))</f>
        <v/>
      </c>
      <c r="J1673" s="4" t="str">
        <f>IF(C1673="","",Order!$M$16)</f>
        <v/>
      </c>
      <c r="K1673" s="36" t="str">
        <f>IF($C1673="","",_xlfn.XLOOKUP($C1673,Order!$C:$C,Order!$P:$P,"",0,1))</f>
        <v/>
      </c>
      <c r="L1673" s="4" t="str">
        <f t="shared" si="26"/>
        <v/>
      </c>
    </row>
    <row r="1674" spans="2:12" ht="23.25" hidden="1" customHeight="1" x14ac:dyDescent="0.25">
      <c r="B1674" s="4">
        <v>1669</v>
      </c>
      <c r="C1674" s="36" t="str">
        <f>IF(Order!$C$305="","",Order!$C$305)</f>
        <v/>
      </c>
      <c r="D1674" s="36" t="str">
        <f>IF($C1674="","",_xlfn.XLOOKUP($C1674,Order!$C:$C,Order!$D:$D,"",0,1))</f>
        <v/>
      </c>
      <c r="E1674" s="4" t="str">
        <f>IF($C1674="","",_xlfn.XLOOKUP($C1674,Order!$C:$C,Order!$E:$E,"",0,1))</f>
        <v/>
      </c>
      <c r="F1674" s="4" t="str">
        <f>IF($C1674="","",_xlfn.XLOOKUP($C1674,Order!$C:$C,Order!$F:$F,"",0,1))</f>
        <v/>
      </c>
      <c r="G1674" s="4" t="str">
        <f>IF($C1674="","",_xlfn.XLOOKUP($C1674,Order!$C:$C,Order!$G:$G,"",0,1))</f>
        <v/>
      </c>
      <c r="H1674" s="4" t="str">
        <f>IF($C1674="","",_xlfn.XLOOKUP($C1674,Order!$C:$C,Order!$H:$H,"",0,1))</f>
        <v/>
      </c>
      <c r="I1674" s="36" t="str">
        <f>IF($C1674="","",_xlfn.XLOOKUP($C1674,Order!$C:$C,Order!$M:$M,"",0,1))</f>
        <v/>
      </c>
      <c r="J1674" s="4" t="str">
        <f>IF(C1674="","",Order!$M$16)</f>
        <v/>
      </c>
      <c r="K1674" s="36" t="str">
        <f>IF($C1674="","",_xlfn.XLOOKUP($C1674,Order!$C:$C,Order!$P:$P,"",0,1))</f>
        <v/>
      </c>
      <c r="L1674" s="4" t="str">
        <f t="shared" si="26"/>
        <v/>
      </c>
    </row>
    <row r="1675" spans="2:12" ht="23.25" hidden="1" customHeight="1" x14ac:dyDescent="0.25">
      <c r="B1675" s="4">
        <v>1670</v>
      </c>
      <c r="C1675" s="36" t="str">
        <f>IF(Order!$C$306="","",Order!$C$306)</f>
        <v>BX662</v>
      </c>
      <c r="D1675" s="36" t="str">
        <f>IF($C1675="","",_xlfn.XLOOKUP($C1675,Order!$C:$C,Order!$D:$D,"",0,1))</f>
        <v>BX662</v>
      </c>
      <c r="E1675" s="4" t="e" vm="478">
        <f>IF($C1675="","",_xlfn.XLOOKUP($C1675,Order!$C:$C,Order!$E:$E,"",0,1))</f>
        <v>#VALUE!</v>
      </c>
      <c r="F1675" s="4">
        <f>IF($C1675="","",_xlfn.XLOOKUP($C1675,Order!$C:$C,Order!$F:$F,"",0,1))</f>
        <v>6000</v>
      </c>
      <c r="G1675" s="4" t="str">
        <f>IF($C1675="","",_xlfn.XLOOKUP($C1675,Order!$C:$C,Order!$G:$G,"",0,1))</f>
        <v>6063T5</v>
      </c>
      <c r="H1675" s="4">
        <f>IF($C1675="","",_xlfn.XLOOKUP($C1675,Order!$C:$C,Order!$H:$H,"",0,1))</f>
        <v>0.96499999999999997</v>
      </c>
      <c r="I1675" s="36">
        <f>IF($C1675="","",_xlfn.XLOOKUP($C1675,Order!$C:$C,Order!$M:$M,"",0,1))</f>
        <v>0</v>
      </c>
      <c r="J1675" s="4" t="str">
        <f>IF(C1675="","",Order!$M$16)</f>
        <v>BLACK ANODIZED (FAYP06)</v>
      </c>
      <c r="K1675" s="36">
        <f>IF($C1675="","",_xlfn.XLOOKUP($C1675,Order!$C:$C,Order!$P:$P,"",0,1))</f>
        <v>0</v>
      </c>
      <c r="L1675" s="4">
        <f t="shared" si="26"/>
        <v>0</v>
      </c>
    </row>
    <row r="1676" spans="2:12" ht="23.25" hidden="1" customHeight="1" x14ac:dyDescent="0.25">
      <c r="B1676" s="4">
        <v>1671</v>
      </c>
      <c r="C1676" s="36" t="str">
        <f>IF(Order!$C$307="","",Order!$C$307)</f>
        <v>BX663</v>
      </c>
      <c r="D1676" s="36" t="str">
        <f>IF($C1676="","",_xlfn.XLOOKUP($C1676,Order!$C:$C,Order!$D:$D,"",0,1))</f>
        <v>BX663</v>
      </c>
      <c r="E1676" s="4" t="e" vm="479">
        <f>IF($C1676="","",_xlfn.XLOOKUP($C1676,Order!$C:$C,Order!$E:$E,"",0,1))</f>
        <v>#VALUE!</v>
      </c>
      <c r="F1676" s="4">
        <f>IF($C1676="","",_xlfn.XLOOKUP($C1676,Order!$C:$C,Order!$F:$F,"",0,1))</f>
        <v>6000</v>
      </c>
      <c r="G1676" s="4" t="str">
        <f>IF($C1676="","",_xlfn.XLOOKUP($C1676,Order!$C:$C,Order!$G:$G,"",0,1))</f>
        <v>6063T5</v>
      </c>
      <c r="H1676" s="4">
        <f>IF($C1676="","",_xlfn.XLOOKUP($C1676,Order!$C:$C,Order!$H:$H,"",0,1))</f>
        <v>0.58899999999999997</v>
      </c>
      <c r="I1676" s="36">
        <f>IF($C1676="","",_xlfn.XLOOKUP($C1676,Order!$C:$C,Order!$M:$M,"",0,1))</f>
        <v>0</v>
      </c>
      <c r="J1676" s="4" t="str">
        <f>IF(C1676="","",Order!$M$16)</f>
        <v>BLACK ANODIZED (FAYP06)</v>
      </c>
      <c r="K1676" s="36">
        <f>IF($C1676="","",_xlfn.XLOOKUP($C1676,Order!$C:$C,Order!$P:$P,"",0,1))</f>
        <v>0</v>
      </c>
      <c r="L1676" s="4">
        <f t="shared" si="26"/>
        <v>0</v>
      </c>
    </row>
    <row r="1677" spans="2:12" ht="23.25" hidden="1" customHeight="1" x14ac:dyDescent="0.25">
      <c r="B1677" s="4">
        <v>1672</v>
      </c>
      <c r="C1677" s="36" t="str">
        <f>IF(Order!$C$308="","",Order!$C$308)</f>
        <v>BX664</v>
      </c>
      <c r="D1677" s="36" t="str">
        <f>IF($C1677="","",_xlfn.XLOOKUP($C1677,Order!$C:$C,Order!$D:$D,"",0,1))</f>
        <v>BX664</v>
      </c>
      <c r="E1677" s="4" t="e" vm="480">
        <f>IF($C1677="","",_xlfn.XLOOKUP($C1677,Order!$C:$C,Order!$E:$E,"",0,1))</f>
        <v>#VALUE!</v>
      </c>
      <c r="F1677" s="4">
        <f>IF($C1677="","",_xlfn.XLOOKUP($C1677,Order!$C:$C,Order!$F:$F,"",0,1))</f>
        <v>6000</v>
      </c>
      <c r="G1677" s="4" t="str">
        <f>IF($C1677="","",_xlfn.XLOOKUP($C1677,Order!$C:$C,Order!$G:$G,"",0,1))</f>
        <v>6063T5</v>
      </c>
      <c r="H1677" s="4">
        <f>IF($C1677="","",_xlfn.XLOOKUP($C1677,Order!$C:$C,Order!$H:$H,"",0,1))</f>
        <v>1.244</v>
      </c>
      <c r="I1677" s="36">
        <f>IF($C1677="","",_xlfn.XLOOKUP($C1677,Order!$C:$C,Order!$M:$M,"",0,1))</f>
        <v>0</v>
      </c>
      <c r="J1677" s="4" t="str">
        <f>IF(C1677="","",Order!$M$16)</f>
        <v>BLACK ANODIZED (FAYP06)</v>
      </c>
      <c r="K1677" s="36">
        <f>IF($C1677="","",_xlfn.XLOOKUP($C1677,Order!$C:$C,Order!$P:$P,"",0,1))</f>
        <v>0</v>
      </c>
      <c r="L1677" s="4">
        <f t="shared" si="26"/>
        <v>0</v>
      </c>
    </row>
    <row r="1678" spans="2:12" ht="23.25" hidden="1" customHeight="1" x14ac:dyDescent="0.25">
      <c r="B1678" s="4">
        <v>1673</v>
      </c>
      <c r="C1678" s="36" t="str">
        <f>IF(Order!$C$309="","",Order!$C$309)</f>
        <v>BX665</v>
      </c>
      <c r="D1678" s="36" t="str">
        <f>IF($C1678="","",_xlfn.XLOOKUP($C1678,Order!$C:$C,Order!$D:$D,"",0,1))</f>
        <v>BX665</v>
      </c>
      <c r="E1678" s="4" t="e" vm="481">
        <f>IF($C1678="","",_xlfn.XLOOKUP($C1678,Order!$C:$C,Order!$E:$E,"",0,1))</f>
        <v>#VALUE!</v>
      </c>
      <c r="F1678" s="4">
        <f>IF($C1678="","",_xlfn.XLOOKUP($C1678,Order!$C:$C,Order!$F:$F,"",0,1))</f>
        <v>6000</v>
      </c>
      <c r="G1678" s="4" t="str">
        <f>IF($C1678="","",_xlfn.XLOOKUP($C1678,Order!$C:$C,Order!$G:$G,"",0,1))</f>
        <v>6063T5</v>
      </c>
      <c r="H1678" s="4">
        <f>IF($C1678="","",_xlfn.XLOOKUP($C1678,Order!$C:$C,Order!$H:$H,"",0,1))</f>
        <v>0.192</v>
      </c>
      <c r="I1678" s="36">
        <f>IF($C1678="","",_xlfn.XLOOKUP($C1678,Order!$C:$C,Order!$M:$M,"",0,1))</f>
        <v>0</v>
      </c>
      <c r="J1678" s="4" t="str">
        <f>IF(C1678="","",Order!$M$16)</f>
        <v>BLACK ANODIZED (FAYP06)</v>
      </c>
      <c r="K1678" s="36">
        <f>IF($C1678="","",_xlfn.XLOOKUP($C1678,Order!$C:$C,Order!$P:$P,"",0,1))</f>
        <v>0</v>
      </c>
      <c r="L1678" s="4">
        <f t="shared" si="26"/>
        <v>0</v>
      </c>
    </row>
    <row r="1679" spans="2:12" ht="23.25" hidden="1" customHeight="1" x14ac:dyDescent="0.25">
      <c r="B1679" s="4">
        <v>1674</v>
      </c>
      <c r="C1679" s="36" t="str">
        <f>IF(Order!$C$310="","",Order!$C$310)</f>
        <v>BX666</v>
      </c>
      <c r="D1679" s="36" t="str">
        <f>IF($C1679="","",_xlfn.XLOOKUP($C1679,Order!$C:$C,Order!$D:$D,"",0,1))</f>
        <v>BX666</v>
      </c>
      <c r="E1679" s="4" t="e" vm="482">
        <f>IF($C1679="","",_xlfn.XLOOKUP($C1679,Order!$C:$C,Order!$E:$E,"",0,1))</f>
        <v>#VALUE!</v>
      </c>
      <c r="F1679" s="4">
        <f>IF($C1679="","",_xlfn.XLOOKUP($C1679,Order!$C:$C,Order!$F:$F,"",0,1))</f>
        <v>6000</v>
      </c>
      <c r="G1679" s="4" t="str">
        <f>IF($C1679="","",_xlfn.XLOOKUP($C1679,Order!$C:$C,Order!$G:$G,"",0,1))</f>
        <v>6063T5</v>
      </c>
      <c r="H1679" s="4">
        <f>IF($C1679="","",_xlfn.XLOOKUP($C1679,Order!$C:$C,Order!$H:$H,"",0,1))</f>
        <v>0.48799999999999999</v>
      </c>
      <c r="I1679" s="36">
        <f>IF($C1679="","",_xlfn.XLOOKUP($C1679,Order!$C:$C,Order!$M:$M,"",0,1))</f>
        <v>0</v>
      </c>
      <c r="J1679" s="4" t="str">
        <f>IF(C1679="","",Order!$M$16)</f>
        <v>BLACK ANODIZED (FAYP06)</v>
      </c>
      <c r="K1679" s="36">
        <f>IF($C1679="","",_xlfn.XLOOKUP($C1679,Order!$C:$C,Order!$P:$P,"",0,1))</f>
        <v>0</v>
      </c>
      <c r="L1679" s="4">
        <f t="shared" si="26"/>
        <v>0</v>
      </c>
    </row>
    <row r="1680" spans="2:12" ht="23.25" hidden="1" customHeight="1" x14ac:dyDescent="0.25">
      <c r="B1680" s="4">
        <v>1675</v>
      </c>
      <c r="C1680" s="36" t="str">
        <f>IF(Order!$C$311="","",Order!$C$311)</f>
        <v>BX667</v>
      </c>
      <c r="D1680" s="36" t="str">
        <f>IF($C1680="","",_xlfn.XLOOKUP($C1680,Order!$C:$C,Order!$D:$D,"",0,1))</f>
        <v>BX667</v>
      </c>
      <c r="E1680" s="4" t="e" vm="483">
        <f>IF($C1680="","",_xlfn.XLOOKUP($C1680,Order!$C:$C,Order!$E:$E,"",0,1))</f>
        <v>#VALUE!</v>
      </c>
      <c r="F1680" s="4">
        <f>IF($C1680="","",_xlfn.XLOOKUP($C1680,Order!$C:$C,Order!$F:$F,"",0,1))</f>
        <v>6000</v>
      </c>
      <c r="G1680" s="4" t="str">
        <f>IF($C1680="","",_xlfn.XLOOKUP($C1680,Order!$C:$C,Order!$G:$G,"",0,1))</f>
        <v>6063T5</v>
      </c>
      <c r="H1680" s="4">
        <f>IF($C1680="","",_xlfn.XLOOKUP($C1680,Order!$C:$C,Order!$H:$H,"",0,1))</f>
        <v>0.48299999999999998</v>
      </c>
      <c r="I1680" s="36">
        <f>IF($C1680="","",_xlfn.XLOOKUP($C1680,Order!$C:$C,Order!$M:$M,"",0,1))</f>
        <v>0</v>
      </c>
      <c r="J1680" s="4" t="str">
        <f>IF(C1680="","",Order!$M$16)</f>
        <v>BLACK ANODIZED (FAYP06)</v>
      </c>
      <c r="K1680" s="36">
        <f>IF($C1680="","",_xlfn.XLOOKUP($C1680,Order!$C:$C,Order!$P:$P,"",0,1))</f>
        <v>0</v>
      </c>
      <c r="L1680" s="4">
        <f t="shared" si="26"/>
        <v>0</v>
      </c>
    </row>
    <row r="1681" spans="2:12" ht="23.25" hidden="1" customHeight="1" x14ac:dyDescent="0.25">
      <c r="B1681" s="4">
        <v>1676</v>
      </c>
      <c r="C1681" s="36" t="str">
        <f>IF(Order!$C$312="","",Order!$C$312)</f>
        <v>BX709</v>
      </c>
      <c r="D1681" s="36" t="str">
        <f>IF($C1681="","",_xlfn.XLOOKUP($C1681,Order!$C:$C,Order!$D:$D,"",0,1))</f>
        <v>BX709</v>
      </c>
      <c r="E1681" s="4" t="e" vm="484">
        <f>IF($C1681="","",_xlfn.XLOOKUP($C1681,Order!$C:$C,Order!$E:$E,"",0,1))</f>
        <v>#VALUE!</v>
      </c>
      <c r="F1681" s="4">
        <f>IF($C1681="","",_xlfn.XLOOKUP($C1681,Order!$C:$C,Order!$F:$F,"",0,1))</f>
        <v>6000</v>
      </c>
      <c r="G1681" s="4" t="str">
        <f>IF($C1681="","",_xlfn.XLOOKUP($C1681,Order!$C:$C,Order!$G:$G,"",0,1))</f>
        <v>6063T5</v>
      </c>
      <c r="H1681" s="4">
        <f>IF($C1681="","",_xlfn.XLOOKUP($C1681,Order!$C:$C,Order!$H:$H,"",0,1))</f>
        <v>1.595</v>
      </c>
      <c r="I1681" s="36">
        <f>IF($C1681="","",_xlfn.XLOOKUP($C1681,Order!$C:$C,Order!$M:$M,"",0,1))</f>
        <v>0</v>
      </c>
      <c r="J1681" s="4" t="str">
        <f>IF(C1681="","",Order!$M$16)</f>
        <v>BLACK ANODIZED (FAYP06)</v>
      </c>
      <c r="K1681" s="36">
        <f>IF($C1681="","",_xlfn.XLOOKUP($C1681,Order!$C:$C,Order!$P:$P,"",0,1))</f>
        <v>0</v>
      </c>
      <c r="L1681" s="4">
        <f t="shared" si="26"/>
        <v>0</v>
      </c>
    </row>
    <row r="1682" spans="2:12" ht="23.25" hidden="1" customHeight="1" x14ac:dyDescent="0.25">
      <c r="B1682" s="4">
        <v>1677</v>
      </c>
      <c r="C1682" s="36" t="str">
        <f>IF(Order!$C$313="","",Order!$C$313)</f>
        <v>BX710</v>
      </c>
      <c r="D1682" s="36" t="str">
        <f>IF($C1682="","",_xlfn.XLOOKUP($C1682,Order!$C:$C,Order!$D:$D,"",0,1))</f>
        <v>BX710</v>
      </c>
      <c r="E1682" s="4" t="e" vm="485">
        <f>IF($C1682="","",_xlfn.XLOOKUP($C1682,Order!$C:$C,Order!$E:$E,"",0,1))</f>
        <v>#VALUE!</v>
      </c>
      <c r="F1682" s="4">
        <f>IF($C1682="","",_xlfn.XLOOKUP($C1682,Order!$C:$C,Order!$F:$F,"",0,1))</f>
        <v>6000</v>
      </c>
      <c r="G1682" s="4" t="str">
        <f>IF($C1682="","",_xlfn.XLOOKUP($C1682,Order!$C:$C,Order!$G:$G,"",0,1))</f>
        <v>6063T5</v>
      </c>
      <c r="H1682" s="4">
        <f>IF($C1682="","",_xlfn.XLOOKUP($C1682,Order!$C:$C,Order!$H:$H,"",0,1))</f>
        <v>2.125</v>
      </c>
      <c r="I1682" s="36">
        <f>IF($C1682="","",_xlfn.XLOOKUP($C1682,Order!$C:$C,Order!$M:$M,"",0,1))</f>
        <v>0</v>
      </c>
      <c r="J1682" s="4" t="str">
        <f>IF(C1682="","",Order!$M$16)</f>
        <v>BLACK ANODIZED (FAYP06)</v>
      </c>
      <c r="K1682" s="36">
        <f>IF($C1682="","",_xlfn.XLOOKUP($C1682,Order!$C:$C,Order!$P:$P,"",0,1))</f>
        <v>0</v>
      </c>
      <c r="L1682" s="4">
        <f t="shared" si="26"/>
        <v>0</v>
      </c>
    </row>
    <row r="1683" spans="2:12" ht="23.25" hidden="1" customHeight="1" x14ac:dyDescent="0.25">
      <c r="B1683" s="4">
        <v>1678</v>
      </c>
      <c r="C1683" s="36" t="str">
        <f>IF(Order!$C$314="","",Order!$C$314)</f>
        <v>BX713</v>
      </c>
      <c r="D1683" s="36" t="str">
        <f>IF($C1683="","",_xlfn.XLOOKUP($C1683,Order!$C:$C,Order!$D:$D,"",0,1))</f>
        <v>BX713</v>
      </c>
      <c r="E1683" s="4" t="e" vm="486">
        <f>IF($C1683="","",_xlfn.XLOOKUP($C1683,Order!$C:$C,Order!$E:$E,"",0,1))</f>
        <v>#VALUE!</v>
      </c>
      <c r="F1683" s="4">
        <f>IF($C1683="","",_xlfn.XLOOKUP($C1683,Order!$C:$C,Order!$F:$F,"",0,1))</f>
        <v>6000</v>
      </c>
      <c r="G1683" s="4" t="str">
        <f>IF($C1683="","",_xlfn.XLOOKUP($C1683,Order!$C:$C,Order!$G:$G,"",0,1))</f>
        <v>6063T5</v>
      </c>
      <c r="H1683" s="4">
        <f>IF($C1683="","",_xlfn.XLOOKUP($C1683,Order!$C:$C,Order!$H:$H,"",0,1))</f>
        <v>1.169</v>
      </c>
      <c r="I1683" s="36">
        <f>IF($C1683="","",_xlfn.XLOOKUP($C1683,Order!$C:$C,Order!$M:$M,"",0,1))</f>
        <v>0</v>
      </c>
      <c r="J1683" s="4" t="str">
        <f>IF(C1683="","",Order!$M$16)</f>
        <v>BLACK ANODIZED (FAYP06)</v>
      </c>
      <c r="K1683" s="36">
        <f>IF($C1683="","",_xlfn.XLOOKUP($C1683,Order!$C:$C,Order!$P:$P,"",0,1))</f>
        <v>0</v>
      </c>
      <c r="L1683" s="4">
        <f t="shared" si="26"/>
        <v>0</v>
      </c>
    </row>
    <row r="1684" spans="2:12" ht="23.25" hidden="1" customHeight="1" x14ac:dyDescent="0.25">
      <c r="B1684" s="4">
        <v>1679</v>
      </c>
      <c r="C1684" s="36" t="str">
        <f>IF(Order!$C$315="","",Order!$C$315)</f>
        <v>BX716</v>
      </c>
      <c r="D1684" s="36" t="str">
        <f>IF($C1684="","",_xlfn.XLOOKUP($C1684,Order!$C:$C,Order!$D:$D,"",0,1))</f>
        <v>BX716</v>
      </c>
      <c r="E1684" s="4" t="e" vm="487">
        <f>IF($C1684="","",_xlfn.XLOOKUP($C1684,Order!$C:$C,Order!$E:$E,"",0,1))</f>
        <v>#VALUE!</v>
      </c>
      <c r="F1684" s="4">
        <f>IF($C1684="","",_xlfn.XLOOKUP($C1684,Order!$C:$C,Order!$F:$F,"",0,1))</f>
        <v>6000</v>
      </c>
      <c r="G1684" s="4" t="str">
        <f>IF($C1684="","",_xlfn.XLOOKUP($C1684,Order!$C:$C,Order!$G:$G,"",0,1))</f>
        <v>6063T5</v>
      </c>
      <c r="H1684" s="4">
        <f>IF($C1684="","",_xlfn.XLOOKUP($C1684,Order!$C:$C,Order!$H:$H,"",0,1))</f>
        <v>0.71699999999999997</v>
      </c>
      <c r="I1684" s="36">
        <f>IF($C1684="","",_xlfn.XLOOKUP($C1684,Order!$C:$C,Order!$M:$M,"",0,1))</f>
        <v>0</v>
      </c>
      <c r="J1684" s="4" t="str">
        <f>IF(C1684="","",Order!$M$16)</f>
        <v>BLACK ANODIZED (FAYP06)</v>
      </c>
      <c r="K1684" s="36">
        <f>IF($C1684="","",_xlfn.XLOOKUP($C1684,Order!$C:$C,Order!$P:$P,"",0,1))</f>
        <v>0</v>
      </c>
      <c r="L1684" s="4">
        <f t="shared" si="26"/>
        <v>0</v>
      </c>
    </row>
    <row r="1685" spans="2:12" ht="23.25" hidden="1" customHeight="1" x14ac:dyDescent="0.25">
      <c r="B1685" s="4">
        <v>1680</v>
      </c>
      <c r="C1685" s="36" t="str">
        <f>IF(Order!$C$316="","",Order!$C$316)</f>
        <v>BX717A</v>
      </c>
      <c r="D1685" s="36" t="str">
        <f>IF($C1685="","",_xlfn.XLOOKUP($C1685,Order!$C:$C,Order!$D:$D,"",0,1))</f>
        <v>BX717A</v>
      </c>
      <c r="E1685" s="4" t="e" vm="488">
        <f>IF($C1685="","",_xlfn.XLOOKUP($C1685,Order!$C:$C,Order!$E:$E,"",0,1))</f>
        <v>#VALUE!</v>
      </c>
      <c r="F1685" s="4">
        <f>IF($C1685="","",_xlfn.XLOOKUP($C1685,Order!$C:$C,Order!$F:$F,"",0,1))</f>
        <v>6000</v>
      </c>
      <c r="G1685" s="4" t="str">
        <f>IF($C1685="","",_xlfn.XLOOKUP($C1685,Order!$C:$C,Order!$G:$G,"",0,1))</f>
        <v>6063T5</v>
      </c>
      <c r="H1685" s="4">
        <f>IF($C1685="","",_xlfn.XLOOKUP($C1685,Order!$C:$C,Order!$H:$H,"",0,1))</f>
        <v>0.68500000000000005</v>
      </c>
      <c r="I1685" s="36">
        <f>IF($C1685="","",_xlfn.XLOOKUP($C1685,Order!$C:$C,Order!$M:$M,"",0,1))</f>
        <v>0</v>
      </c>
      <c r="J1685" s="4" t="str">
        <f>IF(C1685="","",Order!$M$16)</f>
        <v>BLACK ANODIZED (FAYP06)</v>
      </c>
      <c r="K1685" s="36">
        <f>IF($C1685="","",_xlfn.XLOOKUP($C1685,Order!$C:$C,Order!$P:$P,"",0,1))</f>
        <v>0</v>
      </c>
      <c r="L1685" s="4">
        <f t="shared" si="26"/>
        <v>0</v>
      </c>
    </row>
    <row r="1686" spans="2:12" ht="23.25" hidden="1" customHeight="1" x14ac:dyDescent="0.25">
      <c r="B1686" s="4">
        <v>1681</v>
      </c>
      <c r="C1686" s="36" t="str">
        <f>IF(Order!$C$317="","",Order!$C$317)</f>
        <v>BX1096 (FC-261)</v>
      </c>
      <c r="D1686" s="36" t="str">
        <f>IF($C1686="","",_xlfn.XLOOKUP($C1686,Order!$C:$C,Order!$D:$D,"",0,1))</f>
        <v>BX1096</v>
      </c>
      <c r="E1686" s="4" t="e" vm="489">
        <f>IF($C1686="","",_xlfn.XLOOKUP($C1686,Order!$C:$C,Order!$E:$E,"",0,1))</f>
        <v>#VALUE!</v>
      </c>
      <c r="F1686" s="4">
        <f>IF($C1686="","",_xlfn.XLOOKUP($C1686,Order!$C:$C,Order!$F:$F,"",0,1))</f>
        <v>6000</v>
      </c>
      <c r="G1686" s="4" t="str">
        <f>IF($C1686="","",_xlfn.XLOOKUP($C1686,Order!$C:$C,Order!$G:$G,"",0,1))</f>
        <v>6063T5</v>
      </c>
      <c r="H1686" s="4">
        <f>IF($C1686="","",_xlfn.XLOOKUP($C1686,Order!$C:$C,Order!$H:$H,"",0,1))</f>
        <v>0.46899999999999997</v>
      </c>
      <c r="I1686" s="36">
        <f>IF($C1686="","",_xlfn.XLOOKUP($C1686,Order!$C:$C,Order!$M:$M,"",0,1))</f>
        <v>0</v>
      </c>
      <c r="J1686" s="4" t="str">
        <f>IF(C1686="","",Order!$M$16)</f>
        <v>BLACK ANODIZED (FAYP06)</v>
      </c>
      <c r="K1686" s="36">
        <f>IF($C1686="","",_xlfn.XLOOKUP($C1686,Order!$C:$C,Order!$P:$P,"",0,1))</f>
        <v>0</v>
      </c>
      <c r="L1686" s="4">
        <f t="shared" si="26"/>
        <v>0</v>
      </c>
    </row>
    <row r="1687" spans="2:12" ht="23.25" hidden="1" customHeight="1" x14ac:dyDescent="0.25">
      <c r="B1687" s="4">
        <v>1682</v>
      </c>
      <c r="C1687" s="36" t="str">
        <f>IF(Order!$C$318="","",Order!$C$318)</f>
        <v>BX1099 (FC-225)</v>
      </c>
      <c r="D1687" s="36" t="str">
        <f>IF($C1687="","",_xlfn.XLOOKUP($C1687,Order!$C:$C,Order!$D:$D,"",0,1))</f>
        <v>BX1099</v>
      </c>
      <c r="E1687" s="4" t="e" vm="490">
        <f>IF($C1687="","",_xlfn.XLOOKUP($C1687,Order!$C:$C,Order!$E:$E,"",0,1))</f>
        <v>#VALUE!</v>
      </c>
      <c r="F1687" s="4">
        <f>IF($C1687="","",_xlfn.XLOOKUP($C1687,Order!$C:$C,Order!$F:$F,"",0,1))</f>
        <v>6000</v>
      </c>
      <c r="G1687" s="4" t="str">
        <f>IF($C1687="","",_xlfn.XLOOKUP($C1687,Order!$C:$C,Order!$G:$G,"",0,1))</f>
        <v>6063T5</v>
      </c>
      <c r="H1687" s="4">
        <f>IF($C1687="","",_xlfn.XLOOKUP($C1687,Order!$C:$C,Order!$H:$H,"",0,1))</f>
        <v>0.51600000000000001</v>
      </c>
      <c r="I1687" s="36">
        <f>IF($C1687="","",_xlfn.XLOOKUP($C1687,Order!$C:$C,Order!$M:$M,"",0,1))</f>
        <v>0</v>
      </c>
      <c r="J1687" s="4" t="str">
        <f>IF(C1687="","",Order!$M$16)</f>
        <v>BLACK ANODIZED (FAYP06)</v>
      </c>
      <c r="K1687" s="36">
        <f>IF($C1687="","",_xlfn.XLOOKUP($C1687,Order!$C:$C,Order!$P:$P,"",0,1))</f>
        <v>0</v>
      </c>
      <c r="L1687" s="4">
        <f t="shared" si="26"/>
        <v>0</v>
      </c>
    </row>
    <row r="1688" spans="2:12" ht="23.25" hidden="1" customHeight="1" x14ac:dyDescent="0.25">
      <c r="B1688" s="4">
        <v>1683</v>
      </c>
      <c r="C1688" s="36" t="str">
        <f>IF(Order!$C$319="","",Order!$C$319)</f>
        <v/>
      </c>
      <c r="D1688" s="36" t="str">
        <f>IF($C1688="","",_xlfn.XLOOKUP($C1688,Order!$C:$C,Order!$D:$D,"",0,1))</f>
        <v/>
      </c>
      <c r="E1688" s="4" t="str">
        <f>IF($C1688="","",_xlfn.XLOOKUP($C1688,Order!$C:$C,Order!$E:$E,"",0,1))</f>
        <v/>
      </c>
      <c r="F1688" s="4" t="str">
        <f>IF($C1688="","",_xlfn.XLOOKUP($C1688,Order!$C:$C,Order!$F:$F,"",0,1))</f>
        <v/>
      </c>
      <c r="G1688" s="4" t="str">
        <f>IF($C1688="","",_xlfn.XLOOKUP($C1688,Order!$C:$C,Order!$G:$G,"",0,1))</f>
        <v/>
      </c>
      <c r="H1688" s="4" t="str">
        <f>IF($C1688="","",_xlfn.XLOOKUP($C1688,Order!$C:$C,Order!$H:$H,"",0,1))</f>
        <v/>
      </c>
      <c r="I1688" s="36" t="str">
        <f>IF($C1688="","",_xlfn.XLOOKUP($C1688,Order!$C:$C,Order!$M:$M,"",0,1))</f>
        <v/>
      </c>
      <c r="J1688" s="4" t="str">
        <f>IF(C1688="","",Order!$M$16)</f>
        <v/>
      </c>
      <c r="K1688" s="36" t="str">
        <f>IF($C1688="","",_xlfn.XLOOKUP($C1688,Order!$C:$C,Order!$P:$P,"",0,1))</f>
        <v/>
      </c>
      <c r="L1688" s="4" t="str">
        <f t="shared" si="26"/>
        <v/>
      </c>
    </row>
    <row r="1689" spans="2:12" ht="23.25" hidden="1" customHeight="1" x14ac:dyDescent="0.25">
      <c r="B1689" s="4">
        <v>1684</v>
      </c>
      <c r="C1689" s="36" t="str">
        <f>IF(Order!$C$320="","",Order!$C$320)</f>
        <v/>
      </c>
      <c r="D1689" s="36" t="str">
        <f>IF($C1689="","",_xlfn.XLOOKUP($C1689,Order!$C:$C,Order!$D:$D,"",0,1))</f>
        <v/>
      </c>
      <c r="E1689" s="4" t="str">
        <f>IF($C1689="","",_xlfn.XLOOKUP($C1689,Order!$C:$C,Order!$E:$E,"",0,1))</f>
        <v/>
      </c>
      <c r="F1689" s="4" t="str">
        <f>IF($C1689="","",_xlfn.XLOOKUP($C1689,Order!$C:$C,Order!$F:$F,"",0,1))</f>
        <v/>
      </c>
      <c r="G1689" s="4" t="str">
        <f>IF($C1689="","",_xlfn.XLOOKUP($C1689,Order!$C:$C,Order!$G:$G,"",0,1))</f>
        <v/>
      </c>
      <c r="H1689" s="4" t="str">
        <f>IF($C1689="","",_xlfn.XLOOKUP($C1689,Order!$C:$C,Order!$H:$H,"",0,1))</f>
        <v/>
      </c>
      <c r="I1689" s="36" t="str">
        <f>IF($C1689="","",_xlfn.XLOOKUP($C1689,Order!$C:$C,Order!$M:$M,"",0,1))</f>
        <v/>
      </c>
      <c r="J1689" s="4" t="str">
        <f>IF(C1689="","",Order!$M$16)</f>
        <v/>
      </c>
      <c r="K1689" s="36" t="str">
        <f>IF($C1689="","",_xlfn.XLOOKUP($C1689,Order!$C:$C,Order!$P:$P,"",0,1))</f>
        <v/>
      </c>
      <c r="L1689" s="4" t="str">
        <f t="shared" si="26"/>
        <v/>
      </c>
    </row>
    <row r="1690" spans="2:12" ht="23.25" hidden="1" customHeight="1" x14ac:dyDescent="0.25">
      <c r="B1690" s="4">
        <v>1685</v>
      </c>
      <c r="C1690" s="36" t="str">
        <f>IF(Order!$C$321="","",Order!$C$321)</f>
        <v/>
      </c>
      <c r="D1690" s="36" t="str">
        <f>IF($C1690="","",_xlfn.XLOOKUP($C1690,Order!$C:$C,Order!$D:$D,"",0,1))</f>
        <v/>
      </c>
      <c r="E1690" s="4" t="str">
        <f>IF($C1690="","",_xlfn.XLOOKUP($C1690,Order!$C:$C,Order!$E:$E,"",0,1))</f>
        <v/>
      </c>
      <c r="F1690" s="4" t="str">
        <f>IF($C1690="","",_xlfn.XLOOKUP($C1690,Order!$C:$C,Order!$F:$F,"",0,1))</f>
        <v/>
      </c>
      <c r="G1690" s="4" t="str">
        <f>IF($C1690="","",_xlfn.XLOOKUP($C1690,Order!$C:$C,Order!$G:$G,"",0,1))</f>
        <v/>
      </c>
      <c r="H1690" s="4" t="str">
        <f>IF($C1690="","",_xlfn.XLOOKUP($C1690,Order!$C:$C,Order!$H:$H,"",0,1))</f>
        <v/>
      </c>
      <c r="I1690" s="36" t="str">
        <f>IF($C1690="","",_xlfn.XLOOKUP($C1690,Order!$C:$C,Order!$M:$M,"",0,1))</f>
        <v/>
      </c>
      <c r="J1690" s="4" t="str">
        <f>IF(C1690="","",Order!$M$16)</f>
        <v/>
      </c>
      <c r="K1690" s="36" t="str">
        <f>IF($C1690="","",_xlfn.XLOOKUP($C1690,Order!$C:$C,Order!$P:$P,"",0,1))</f>
        <v/>
      </c>
      <c r="L1690" s="4" t="str">
        <f t="shared" si="26"/>
        <v/>
      </c>
    </row>
    <row r="1691" spans="2:12" ht="23.25" hidden="1" customHeight="1" x14ac:dyDescent="0.25">
      <c r="B1691" s="4">
        <v>1686</v>
      </c>
      <c r="C1691" s="36" t="str">
        <f>IF(Order!$C$322="","",Order!$C$322)</f>
        <v/>
      </c>
      <c r="D1691" s="36" t="str">
        <f>IF($C1691="","",_xlfn.XLOOKUP($C1691,Order!$C:$C,Order!$D:$D,"",0,1))</f>
        <v/>
      </c>
      <c r="E1691" s="4" t="str">
        <f>IF($C1691="","",_xlfn.XLOOKUP($C1691,Order!$C:$C,Order!$E:$E,"",0,1))</f>
        <v/>
      </c>
      <c r="F1691" s="4" t="str">
        <f>IF($C1691="","",_xlfn.XLOOKUP($C1691,Order!$C:$C,Order!$F:$F,"",0,1))</f>
        <v/>
      </c>
      <c r="G1691" s="4" t="str">
        <f>IF($C1691="","",_xlfn.XLOOKUP($C1691,Order!$C:$C,Order!$G:$G,"",0,1))</f>
        <v/>
      </c>
      <c r="H1691" s="4" t="str">
        <f>IF($C1691="","",_xlfn.XLOOKUP($C1691,Order!$C:$C,Order!$H:$H,"",0,1))</f>
        <v/>
      </c>
      <c r="I1691" s="36" t="str">
        <f>IF($C1691="","",_xlfn.XLOOKUP($C1691,Order!$C:$C,Order!$M:$M,"",0,1))</f>
        <v/>
      </c>
      <c r="J1691" s="4" t="str">
        <f>IF(C1691="","",Order!$M$16)</f>
        <v/>
      </c>
      <c r="K1691" s="36" t="str">
        <f>IF($C1691="","",_xlfn.XLOOKUP($C1691,Order!$C:$C,Order!$P:$P,"",0,1))</f>
        <v/>
      </c>
      <c r="L1691" s="4" t="str">
        <f t="shared" si="26"/>
        <v/>
      </c>
    </row>
    <row r="1692" spans="2:12" ht="23.25" hidden="1" customHeight="1" x14ac:dyDescent="0.25">
      <c r="B1692" s="4">
        <v>1687</v>
      </c>
      <c r="C1692" s="36" t="str">
        <f>IF(Order!$C$323="","",Order!$C$323)</f>
        <v/>
      </c>
      <c r="D1692" s="36" t="str">
        <f>IF($C1692="","",_xlfn.XLOOKUP($C1692,Order!$C:$C,Order!$D:$D,"",0,1))</f>
        <v/>
      </c>
      <c r="E1692" s="4" t="str">
        <f>IF($C1692="","",_xlfn.XLOOKUP($C1692,Order!$C:$C,Order!$E:$E,"",0,1))</f>
        <v/>
      </c>
      <c r="F1692" s="4" t="str">
        <f>IF($C1692="","",_xlfn.XLOOKUP($C1692,Order!$C:$C,Order!$F:$F,"",0,1))</f>
        <v/>
      </c>
      <c r="G1692" s="4" t="str">
        <f>IF($C1692="","",_xlfn.XLOOKUP($C1692,Order!$C:$C,Order!$G:$G,"",0,1))</f>
        <v/>
      </c>
      <c r="H1692" s="4" t="str">
        <f>IF($C1692="","",_xlfn.XLOOKUP($C1692,Order!$C:$C,Order!$H:$H,"",0,1))</f>
        <v/>
      </c>
      <c r="I1692" s="36" t="str">
        <f>IF($C1692="","",_xlfn.XLOOKUP($C1692,Order!$C:$C,Order!$M:$M,"",0,1))</f>
        <v/>
      </c>
      <c r="J1692" s="4" t="str">
        <f>IF(C1692="","",Order!$M$16)</f>
        <v/>
      </c>
      <c r="K1692" s="36" t="str">
        <f>IF($C1692="","",_xlfn.XLOOKUP($C1692,Order!$C:$C,Order!$P:$P,"",0,1))</f>
        <v/>
      </c>
      <c r="L1692" s="4" t="str">
        <f t="shared" si="26"/>
        <v/>
      </c>
    </row>
    <row r="1693" spans="2:12" ht="23.25" hidden="1" customHeight="1" x14ac:dyDescent="0.25">
      <c r="B1693" s="4">
        <v>1688</v>
      </c>
      <c r="C1693" s="36" t="str">
        <f>IF(Order!$C$324="","",Order!$C$324)</f>
        <v>BX1095</v>
      </c>
      <c r="D1693" s="36" t="str">
        <f>IF($C1693="","",_xlfn.XLOOKUP($C1693,Order!$C:$C,Order!$D:$D,"",0,1))</f>
        <v>BX1095</v>
      </c>
      <c r="E1693" s="4" t="e" vm="491">
        <f>IF($C1693="","",_xlfn.XLOOKUP($C1693,Order!$C:$C,Order!$E:$E,"",0,1))</f>
        <v>#VALUE!</v>
      </c>
      <c r="F1693" s="4">
        <f>IF($C1693="","",_xlfn.XLOOKUP($C1693,Order!$C:$C,Order!$F:$F,"",0,1))</f>
        <v>6000</v>
      </c>
      <c r="G1693" s="4" t="str">
        <f>IF($C1693="","",_xlfn.XLOOKUP($C1693,Order!$C:$C,Order!$G:$G,"",0,1))</f>
        <v>6063T5</v>
      </c>
      <c r="H1693" s="4">
        <f>IF($C1693="","",_xlfn.XLOOKUP($C1693,Order!$C:$C,Order!$H:$H,"",0,1))</f>
        <v>0.64400000000000002</v>
      </c>
      <c r="I1693" s="36">
        <f>IF($C1693="","",_xlfn.XLOOKUP($C1693,Order!$C:$C,Order!$M:$M,"",0,1))</f>
        <v>0</v>
      </c>
      <c r="J1693" s="4" t="str">
        <f>IF(C1693="","",Order!$M$16)</f>
        <v>BLACK ANODIZED (FAYP06)</v>
      </c>
      <c r="K1693" s="36">
        <f>IF($C1693="","",_xlfn.XLOOKUP($C1693,Order!$C:$C,Order!$P:$P,"",0,1))</f>
        <v>0</v>
      </c>
      <c r="L1693" s="4">
        <f t="shared" si="26"/>
        <v>0</v>
      </c>
    </row>
    <row r="1694" spans="2:12" ht="23.25" hidden="1" customHeight="1" x14ac:dyDescent="0.25">
      <c r="B1694" s="4">
        <v>1689</v>
      </c>
      <c r="C1694" s="36" t="str">
        <f>IF(Order!$C$325="","",Order!$C$325)</f>
        <v>BX1097</v>
      </c>
      <c r="D1694" s="36" t="str">
        <f>IF($C1694="","",_xlfn.XLOOKUP($C1694,Order!$C:$C,Order!$D:$D,"",0,1))</f>
        <v>BX1097</v>
      </c>
      <c r="E1694" s="4" t="e" vm="492">
        <f>IF($C1694="","",_xlfn.XLOOKUP($C1694,Order!$C:$C,Order!$E:$E,"",0,1))</f>
        <v>#VALUE!</v>
      </c>
      <c r="F1694" s="4">
        <f>IF($C1694="","",_xlfn.XLOOKUP($C1694,Order!$C:$C,Order!$F:$F,"",0,1))</f>
        <v>6000</v>
      </c>
      <c r="G1694" s="4" t="str">
        <f>IF($C1694="","",_xlfn.XLOOKUP($C1694,Order!$C:$C,Order!$G:$G,"",0,1))</f>
        <v>6063T5</v>
      </c>
      <c r="H1694" s="4">
        <f>IF($C1694="","",_xlfn.XLOOKUP($C1694,Order!$C:$C,Order!$H:$H,"",0,1))</f>
        <v>0.57499999999999996</v>
      </c>
      <c r="I1694" s="36">
        <f>IF($C1694="","",_xlfn.XLOOKUP($C1694,Order!$C:$C,Order!$M:$M,"",0,1))</f>
        <v>0</v>
      </c>
      <c r="J1694" s="4" t="str">
        <f>IF(C1694="","",Order!$M$16)</f>
        <v>BLACK ANODIZED (FAYP06)</v>
      </c>
      <c r="K1694" s="36">
        <f>IF($C1694="","",_xlfn.XLOOKUP($C1694,Order!$C:$C,Order!$P:$P,"",0,1))</f>
        <v>0</v>
      </c>
      <c r="L1694" s="4">
        <f t="shared" si="26"/>
        <v>0</v>
      </c>
    </row>
    <row r="1695" spans="2:12" ht="23.25" hidden="1" customHeight="1" x14ac:dyDescent="0.25">
      <c r="B1695" s="4">
        <v>1690</v>
      </c>
      <c r="C1695" s="36" t="str">
        <f>IF(Order!$C$326="","",Order!$C$326)</f>
        <v>BX1103</v>
      </c>
      <c r="D1695" s="36" t="str">
        <f>IF($C1695="","",_xlfn.XLOOKUP($C1695,Order!$C:$C,Order!$D:$D,"",0,1))</f>
        <v>BX1103</v>
      </c>
      <c r="E1695" s="4" t="e" vm="493">
        <f>IF($C1695="","",_xlfn.XLOOKUP($C1695,Order!$C:$C,Order!$E:$E,"",0,1))</f>
        <v>#VALUE!</v>
      </c>
      <c r="F1695" s="4">
        <f>IF($C1695="","",_xlfn.XLOOKUP($C1695,Order!$C:$C,Order!$F:$F,"",0,1))</f>
        <v>6000</v>
      </c>
      <c r="G1695" s="4" t="str">
        <f>IF($C1695="","",_xlfn.XLOOKUP($C1695,Order!$C:$C,Order!$G:$G,"",0,1))</f>
        <v>6063T5</v>
      </c>
      <c r="H1695" s="4">
        <f>IF($C1695="","",_xlfn.XLOOKUP($C1695,Order!$C:$C,Order!$H:$H,"",0,1))</f>
        <v>0.6</v>
      </c>
      <c r="I1695" s="36">
        <f>IF($C1695="","",_xlfn.XLOOKUP($C1695,Order!$C:$C,Order!$M:$M,"",0,1))</f>
        <v>0</v>
      </c>
      <c r="J1695" s="4" t="str">
        <f>IF(C1695="","",Order!$M$16)</f>
        <v>BLACK ANODIZED (FAYP06)</v>
      </c>
      <c r="K1695" s="36">
        <f>IF($C1695="","",_xlfn.XLOOKUP($C1695,Order!$C:$C,Order!$P:$P,"",0,1))</f>
        <v>0</v>
      </c>
      <c r="L1695" s="4">
        <f t="shared" si="26"/>
        <v>0</v>
      </c>
    </row>
    <row r="1696" spans="2:12" ht="23.25" hidden="1" customHeight="1" x14ac:dyDescent="0.25">
      <c r="B1696" s="4">
        <v>1691</v>
      </c>
      <c r="C1696" s="36" t="str">
        <f>IF(Order!$C$327="","",Order!$C$327)</f>
        <v/>
      </c>
      <c r="D1696" s="36" t="str">
        <f>IF($C1696="","",_xlfn.XLOOKUP($C1696,Order!$C:$C,Order!$D:$D,"",0,1))</f>
        <v/>
      </c>
      <c r="E1696" s="4" t="str">
        <f>IF($C1696="","",_xlfn.XLOOKUP($C1696,Order!$C:$C,Order!$E:$E,"",0,1))</f>
        <v/>
      </c>
      <c r="F1696" s="4" t="str">
        <f>IF($C1696="","",_xlfn.XLOOKUP($C1696,Order!$C:$C,Order!$F:$F,"",0,1))</f>
        <v/>
      </c>
      <c r="G1696" s="4" t="str">
        <f>IF($C1696="","",_xlfn.XLOOKUP($C1696,Order!$C:$C,Order!$G:$G,"",0,1))</f>
        <v/>
      </c>
      <c r="H1696" s="4" t="str">
        <f>IF($C1696="","",_xlfn.XLOOKUP($C1696,Order!$C:$C,Order!$H:$H,"",0,1))</f>
        <v/>
      </c>
      <c r="I1696" s="36" t="str">
        <f>IF($C1696="","",_xlfn.XLOOKUP($C1696,Order!$C:$C,Order!$M:$M,"",0,1))</f>
        <v/>
      </c>
      <c r="J1696" s="4" t="str">
        <f>IF(C1696="","",Order!$M$16)</f>
        <v/>
      </c>
      <c r="K1696" s="36" t="str">
        <f>IF($C1696="","",_xlfn.XLOOKUP($C1696,Order!$C:$C,Order!$P:$P,"",0,1))</f>
        <v/>
      </c>
      <c r="L1696" s="4" t="str">
        <f t="shared" si="26"/>
        <v/>
      </c>
    </row>
    <row r="1697" spans="2:12" ht="23.25" hidden="1" customHeight="1" x14ac:dyDescent="0.25">
      <c r="B1697" s="4">
        <v>1692</v>
      </c>
      <c r="C1697" s="36" t="str">
        <f>IF(Order!$C$328="","",Order!$C$328)</f>
        <v/>
      </c>
      <c r="D1697" s="36" t="str">
        <f>IF($C1697="","",_xlfn.XLOOKUP($C1697,Order!$C:$C,Order!$D:$D,"",0,1))</f>
        <v/>
      </c>
      <c r="E1697" s="4" t="str">
        <f>IF($C1697="","",_xlfn.XLOOKUP($C1697,Order!$C:$C,Order!$E:$E,"",0,1))</f>
        <v/>
      </c>
      <c r="F1697" s="4" t="str">
        <f>IF($C1697="","",_xlfn.XLOOKUP($C1697,Order!$C:$C,Order!$F:$F,"",0,1))</f>
        <v/>
      </c>
      <c r="G1697" s="4" t="str">
        <f>IF($C1697="","",_xlfn.XLOOKUP($C1697,Order!$C:$C,Order!$G:$G,"",0,1))</f>
        <v/>
      </c>
      <c r="H1697" s="4" t="str">
        <f>IF($C1697="","",_xlfn.XLOOKUP($C1697,Order!$C:$C,Order!$H:$H,"",0,1))</f>
        <v/>
      </c>
      <c r="I1697" s="36" t="str">
        <f>IF($C1697="","",_xlfn.XLOOKUP($C1697,Order!$C:$C,Order!$M:$M,"",0,1))</f>
        <v/>
      </c>
      <c r="J1697" s="4" t="str">
        <f>IF(C1697="","",Order!$M$16)</f>
        <v/>
      </c>
      <c r="K1697" s="36" t="str">
        <f>IF($C1697="","",_xlfn.XLOOKUP($C1697,Order!$C:$C,Order!$P:$P,"",0,1))</f>
        <v/>
      </c>
      <c r="L1697" s="4" t="str">
        <f t="shared" si="26"/>
        <v/>
      </c>
    </row>
    <row r="1698" spans="2:12" ht="23.25" hidden="1" customHeight="1" x14ac:dyDescent="0.25">
      <c r="B1698" s="4">
        <v>1693</v>
      </c>
      <c r="C1698" s="36" t="str">
        <f>IF(Order!$C$329="","",Order!$C$329)</f>
        <v/>
      </c>
      <c r="D1698" s="36" t="str">
        <f>IF($C1698="","",_xlfn.XLOOKUP($C1698,Order!$C:$C,Order!$D:$D,"",0,1))</f>
        <v/>
      </c>
      <c r="E1698" s="4" t="str">
        <f>IF($C1698="","",_xlfn.XLOOKUP($C1698,Order!$C:$C,Order!$E:$E,"",0,1))</f>
        <v/>
      </c>
      <c r="F1698" s="4" t="str">
        <f>IF($C1698="","",_xlfn.XLOOKUP($C1698,Order!$C:$C,Order!$F:$F,"",0,1))</f>
        <v/>
      </c>
      <c r="G1698" s="4" t="str">
        <f>IF($C1698="","",_xlfn.XLOOKUP($C1698,Order!$C:$C,Order!$G:$G,"",0,1))</f>
        <v/>
      </c>
      <c r="H1698" s="4" t="str">
        <f>IF($C1698="","",_xlfn.XLOOKUP($C1698,Order!$C:$C,Order!$H:$H,"",0,1))</f>
        <v/>
      </c>
      <c r="I1698" s="36" t="str">
        <f>IF($C1698="","",_xlfn.XLOOKUP($C1698,Order!$C:$C,Order!$M:$M,"",0,1))</f>
        <v/>
      </c>
      <c r="J1698" s="4" t="str">
        <f>IF(C1698="","",Order!$M$16)</f>
        <v/>
      </c>
      <c r="K1698" s="36" t="str">
        <f>IF($C1698="","",_xlfn.XLOOKUP($C1698,Order!$C:$C,Order!$P:$P,"",0,1))</f>
        <v/>
      </c>
      <c r="L1698" s="4" t="str">
        <f t="shared" si="26"/>
        <v/>
      </c>
    </row>
    <row r="1699" spans="2:12" ht="23.25" hidden="1" customHeight="1" x14ac:dyDescent="0.25">
      <c r="B1699" s="4">
        <v>1694</v>
      </c>
      <c r="C1699" s="36" t="str">
        <f>IF(Order!$C$330="","",Order!$C$330)</f>
        <v/>
      </c>
      <c r="D1699" s="36" t="str">
        <f>IF($C1699="","",_xlfn.XLOOKUP($C1699,Order!$C:$C,Order!$D:$D,"",0,1))</f>
        <v/>
      </c>
      <c r="E1699" s="4" t="str">
        <f>IF($C1699="","",_xlfn.XLOOKUP($C1699,Order!$C:$C,Order!$E:$E,"",0,1))</f>
        <v/>
      </c>
      <c r="F1699" s="4" t="str">
        <f>IF($C1699="","",_xlfn.XLOOKUP($C1699,Order!$C:$C,Order!$F:$F,"",0,1))</f>
        <v/>
      </c>
      <c r="G1699" s="4" t="str">
        <f>IF($C1699="","",_xlfn.XLOOKUP($C1699,Order!$C:$C,Order!$G:$G,"",0,1))</f>
        <v/>
      </c>
      <c r="H1699" s="4" t="str">
        <f>IF($C1699="","",_xlfn.XLOOKUP($C1699,Order!$C:$C,Order!$H:$H,"",0,1))</f>
        <v/>
      </c>
      <c r="I1699" s="36" t="str">
        <f>IF($C1699="","",_xlfn.XLOOKUP($C1699,Order!$C:$C,Order!$M:$M,"",0,1))</f>
        <v/>
      </c>
      <c r="J1699" s="4" t="str">
        <f>IF(C1699="","",Order!$M$16)</f>
        <v/>
      </c>
      <c r="K1699" s="36" t="str">
        <f>IF($C1699="","",_xlfn.XLOOKUP($C1699,Order!$C:$C,Order!$P:$P,"",0,1))</f>
        <v/>
      </c>
      <c r="L1699" s="4" t="str">
        <f t="shared" si="26"/>
        <v/>
      </c>
    </row>
    <row r="1700" spans="2:12" ht="23.25" hidden="1" customHeight="1" x14ac:dyDescent="0.25">
      <c r="B1700" s="4">
        <v>1695</v>
      </c>
      <c r="C1700" s="36" t="str">
        <f>IF(Order!$C$331="","",Order!$C$331)</f>
        <v/>
      </c>
      <c r="D1700" s="36" t="str">
        <f>IF($C1700="","",_xlfn.XLOOKUP($C1700,Order!$C:$C,Order!$D:$D,"",0,1))</f>
        <v/>
      </c>
      <c r="E1700" s="4" t="str">
        <f>IF($C1700="","",_xlfn.XLOOKUP($C1700,Order!$C:$C,Order!$E:$E,"",0,1))</f>
        <v/>
      </c>
      <c r="F1700" s="4" t="str">
        <f>IF($C1700="","",_xlfn.XLOOKUP($C1700,Order!$C:$C,Order!$F:$F,"",0,1))</f>
        <v/>
      </c>
      <c r="G1700" s="4" t="str">
        <f>IF($C1700="","",_xlfn.XLOOKUP($C1700,Order!$C:$C,Order!$G:$G,"",0,1))</f>
        <v/>
      </c>
      <c r="H1700" s="4" t="str">
        <f>IF($C1700="","",_xlfn.XLOOKUP($C1700,Order!$C:$C,Order!$H:$H,"",0,1))</f>
        <v/>
      </c>
      <c r="I1700" s="36" t="str">
        <f>IF($C1700="","",_xlfn.XLOOKUP($C1700,Order!$C:$C,Order!$M:$M,"",0,1))</f>
        <v/>
      </c>
      <c r="J1700" s="4" t="str">
        <f>IF(C1700="","",Order!$M$16)</f>
        <v/>
      </c>
      <c r="K1700" s="36" t="str">
        <f>IF($C1700="","",_xlfn.XLOOKUP($C1700,Order!$C:$C,Order!$P:$P,"",0,1))</f>
        <v/>
      </c>
      <c r="L1700" s="4" t="str">
        <f t="shared" si="26"/>
        <v/>
      </c>
    </row>
    <row r="1701" spans="2:12" ht="23.25" hidden="1" customHeight="1" x14ac:dyDescent="0.25">
      <c r="B1701" s="4">
        <v>1696</v>
      </c>
      <c r="C1701" s="36" t="str">
        <f>IF(Order!$C$332="","",Order!$C$332)</f>
        <v/>
      </c>
      <c r="D1701" s="36" t="str">
        <f>IF($C1701="","",_xlfn.XLOOKUP($C1701,Order!$C:$C,Order!$D:$D,"",0,1))</f>
        <v/>
      </c>
      <c r="E1701" s="4" t="str">
        <f>IF($C1701="","",_xlfn.XLOOKUP($C1701,Order!$C:$C,Order!$E:$E,"",0,1))</f>
        <v/>
      </c>
      <c r="F1701" s="4" t="str">
        <f>IF($C1701="","",_xlfn.XLOOKUP($C1701,Order!$C:$C,Order!$F:$F,"",0,1))</f>
        <v/>
      </c>
      <c r="G1701" s="4" t="str">
        <f>IF($C1701="","",_xlfn.XLOOKUP($C1701,Order!$C:$C,Order!$G:$G,"",0,1))</f>
        <v/>
      </c>
      <c r="H1701" s="4" t="str">
        <f>IF($C1701="","",_xlfn.XLOOKUP($C1701,Order!$C:$C,Order!$H:$H,"",0,1))</f>
        <v/>
      </c>
      <c r="I1701" s="36" t="str">
        <f>IF($C1701="","",_xlfn.XLOOKUP($C1701,Order!$C:$C,Order!$M:$M,"",0,1))</f>
        <v/>
      </c>
      <c r="J1701" s="4" t="str">
        <f>IF(C1701="","",Order!$M$16)</f>
        <v/>
      </c>
      <c r="K1701" s="36" t="str">
        <f>IF($C1701="","",_xlfn.XLOOKUP($C1701,Order!$C:$C,Order!$P:$P,"",0,1))</f>
        <v/>
      </c>
      <c r="L1701" s="4" t="str">
        <f t="shared" si="26"/>
        <v/>
      </c>
    </row>
    <row r="1702" spans="2:12" ht="23.25" hidden="1" customHeight="1" x14ac:dyDescent="0.25">
      <c r="B1702" s="4">
        <v>1697</v>
      </c>
      <c r="C1702" s="36" t="str">
        <f>IF(Order!$C$333="","",Order!$C$333)</f>
        <v/>
      </c>
      <c r="D1702" s="36" t="str">
        <f>IF($C1702="","",_xlfn.XLOOKUP($C1702,Order!$C:$C,Order!$D:$D,"",0,1))</f>
        <v/>
      </c>
      <c r="E1702" s="4" t="str">
        <f>IF($C1702="","",_xlfn.XLOOKUP($C1702,Order!$C:$C,Order!$E:$E,"",0,1))</f>
        <v/>
      </c>
      <c r="F1702" s="4" t="str">
        <f>IF($C1702="","",_xlfn.XLOOKUP($C1702,Order!$C:$C,Order!$F:$F,"",0,1))</f>
        <v/>
      </c>
      <c r="G1702" s="4" t="str">
        <f>IF($C1702="","",_xlfn.XLOOKUP($C1702,Order!$C:$C,Order!$G:$G,"",0,1))</f>
        <v/>
      </c>
      <c r="H1702" s="4" t="str">
        <f>IF($C1702="","",_xlfn.XLOOKUP($C1702,Order!$C:$C,Order!$H:$H,"",0,1))</f>
        <v/>
      </c>
      <c r="I1702" s="36" t="str">
        <f>IF($C1702="","",_xlfn.XLOOKUP($C1702,Order!$C:$C,Order!$M:$M,"",0,1))</f>
        <v/>
      </c>
      <c r="J1702" s="4" t="str">
        <f>IF(C1702="","",Order!$M$16)</f>
        <v/>
      </c>
      <c r="K1702" s="36" t="str">
        <f>IF($C1702="","",_xlfn.XLOOKUP($C1702,Order!$C:$C,Order!$P:$P,"",0,1))</f>
        <v/>
      </c>
      <c r="L1702" s="4" t="str">
        <f t="shared" si="26"/>
        <v/>
      </c>
    </row>
    <row r="1703" spans="2:12" ht="23.25" hidden="1" customHeight="1" x14ac:dyDescent="0.25">
      <c r="B1703" s="4">
        <v>1698</v>
      </c>
      <c r="C1703" s="36" t="str">
        <f>IF(Order!$C$334="","",Order!$C$334)</f>
        <v/>
      </c>
      <c r="D1703" s="36" t="str">
        <f>IF($C1703="","",_xlfn.XLOOKUP($C1703,Order!$C:$C,Order!$D:$D,"",0,1))</f>
        <v/>
      </c>
      <c r="E1703" s="4" t="str">
        <f>IF($C1703="","",_xlfn.XLOOKUP($C1703,Order!$C:$C,Order!$E:$E,"",0,1))</f>
        <v/>
      </c>
      <c r="F1703" s="4" t="str">
        <f>IF($C1703="","",_xlfn.XLOOKUP($C1703,Order!$C:$C,Order!$F:$F,"",0,1))</f>
        <v/>
      </c>
      <c r="G1703" s="4" t="str">
        <f>IF($C1703="","",_xlfn.XLOOKUP($C1703,Order!$C:$C,Order!$G:$G,"",0,1))</f>
        <v/>
      </c>
      <c r="H1703" s="4" t="str">
        <f>IF($C1703="","",_xlfn.XLOOKUP($C1703,Order!$C:$C,Order!$H:$H,"",0,1))</f>
        <v/>
      </c>
      <c r="I1703" s="36" t="str">
        <f>IF($C1703="","",_xlfn.XLOOKUP($C1703,Order!$C:$C,Order!$M:$M,"",0,1))</f>
        <v/>
      </c>
      <c r="J1703" s="4" t="str">
        <f>IF(C1703="","",Order!$M$16)</f>
        <v/>
      </c>
      <c r="K1703" s="36" t="str">
        <f>IF($C1703="","",_xlfn.XLOOKUP($C1703,Order!$C:$C,Order!$P:$P,"",0,1))</f>
        <v/>
      </c>
      <c r="L1703" s="4" t="str">
        <f t="shared" si="26"/>
        <v/>
      </c>
    </row>
    <row r="1704" spans="2:12" ht="23.25" hidden="1" customHeight="1" x14ac:dyDescent="0.25">
      <c r="B1704" s="4">
        <v>1699</v>
      </c>
      <c r="C1704" s="36" t="str">
        <f>IF(Order!$C$335="","",Order!$C$335)</f>
        <v/>
      </c>
      <c r="D1704" s="36" t="str">
        <f>IF($C1704="","",_xlfn.XLOOKUP($C1704,Order!$C:$C,Order!$D:$D,"",0,1))</f>
        <v/>
      </c>
      <c r="E1704" s="4" t="str">
        <f>IF($C1704="","",_xlfn.XLOOKUP($C1704,Order!$C:$C,Order!$E:$E,"",0,1))</f>
        <v/>
      </c>
      <c r="F1704" s="4" t="str">
        <f>IF($C1704="","",_xlfn.XLOOKUP($C1704,Order!$C:$C,Order!$F:$F,"",0,1))</f>
        <v/>
      </c>
      <c r="G1704" s="4" t="str">
        <f>IF($C1704="","",_xlfn.XLOOKUP($C1704,Order!$C:$C,Order!$G:$G,"",0,1))</f>
        <v/>
      </c>
      <c r="H1704" s="4" t="str">
        <f>IF($C1704="","",_xlfn.XLOOKUP($C1704,Order!$C:$C,Order!$H:$H,"",0,1))</f>
        <v/>
      </c>
      <c r="I1704" s="36" t="str">
        <f>IF($C1704="","",_xlfn.XLOOKUP($C1704,Order!$C:$C,Order!$M:$M,"",0,1))</f>
        <v/>
      </c>
      <c r="J1704" s="4" t="str">
        <f>IF(C1704="","",Order!$M$16)</f>
        <v/>
      </c>
      <c r="K1704" s="36" t="str">
        <f>IF($C1704="","",_xlfn.XLOOKUP($C1704,Order!$C:$C,Order!$P:$P,"",0,1))</f>
        <v/>
      </c>
      <c r="L1704" s="4" t="str">
        <f t="shared" si="26"/>
        <v/>
      </c>
    </row>
    <row r="1705" spans="2:12" ht="23.25" hidden="1" customHeight="1" x14ac:dyDescent="0.25">
      <c r="B1705" s="4">
        <v>1700</v>
      </c>
      <c r="C1705" s="36" t="str">
        <f>IF(Order!$C$336="","",Order!$C$336)</f>
        <v/>
      </c>
      <c r="D1705" s="36" t="str">
        <f>IF($C1705="","",_xlfn.XLOOKUP($C1705,Order!$C:$C,Order!$D:$D,"",0,1))</f>
        <v/>
      </c>
      <c r="E1705" s="4" t="str">
        <f>IF($C1705="","",_xlfn.XLOOKUP($C1705,Order!$C:$C,Order!$E:$E,"",0,1))</f>
        <v/>
      </c>
      <c r="F1705" s="4" t="str">
        <f>IF($C1705="","",_xlfn.XLOOKUP($C1705,Order!$C:$C,Order!$F:$F,"",0,1))</f>
        <v/>
      </c>
      <c r="G1705" s="4" t="str">
        <f>IF($C1705="","",_xlfn.XLOOKUP($C1705,Order!$C:$C,Order!$G:$G,"",0,1))</f>
        <v/>
      </c>
      <c r="H1705" s="4" t="str">
        <f>IF($C1705="","",_xlfn.XLOOKUP($C1705,Order!$C:$C,Order!$H:$H,"",0,1))</f>
        <v/>
      </c>
      <c r="I1705" s="36" t="str">
        <f>IF($C1705="","",_xlfn.XLOOKUP($C1705,Order!$C:$C,Order!$M:$M,"",0,1))</f>
        <v/>
      </c>
      <c r="J1705" s="4" t="str">
        <f>IF(C1705="","",Order!$M$16)</f>
        <v/>
      </c>
      <c r="K1705" s="36" t="str">
        <f>IF($C1705="","",_xlfn.XLOOKUP($C1705,Order!$C:$C,Order!$P:$P,"",0,1))</f>
        <v/>
      </c>
      <c r="L1705" s="4" t="str">
        <f t="shared" si="26"/>
        <v/>
      </c>
    </row>
    <row r="1706" spans="2:12" ht="23.25" hidden="1" customHeight="1" x14ac:dyDescent="0.25">
      <c r="B1706" s="4">
        <v>1701</v>
      </c>
      <c r="C1706" s="36" t="str">
        <f>IF(Order!$C$337="","",Order!$C$337)</f>
        <v xml:space="preserve"> BX352 (MT0077-Perfilpara tela de mosquito)</v>
      </c>
      <c r="D1706" s="36" t="str">
        <f>IF($C1706="","",_xlfn.XLOOKUP($C1706,Order!$C:$C,Order!$D:$D,"",0,1))</f>
        <v>BX352</v>
      </c>
      <c r="E1706" s="4" t="e" vm="494">
        <f>IF($C1706="","",_xlfn.XLOOKUP($C1706,Order!$C:$C,Order!$E:$E,"",0,1))</f>
        <v>#VALUE!</v>
      </c>
      <c r="F1706" s="4">
        <f>IF($C1706="","",_xlfn.XLOOKUP($C1706,Order!$C:$C,Order!$F:$F,"",0,1))</f>
        <v>6000</v>
      </c>
      <c r="G1706" s="4" t="str">
        <f>IF($C1706="","",_xlfn.XLOOKUP($C1706,Order!$C:$C,Order!$G:$G,"",0,1))</f>
        <v>6063T5</v>
      </c>
      <c r="H1706" s="4">
        <f>IF($C1706="","",_xlfn.XLOOKUP($C1706,Order!$C:$C,Order!$H:$H,"",0,1))</f>
        <v>0.192</v>
      </c>
      <c r="I1706" s="36">
        <f>IF($C1706="","",_xlfn.XLOOKUP($C1706,Order!$C:$C,Order!$M:$M,"",0,1))</f>
        <v>0</v>
      </c>
      <c r="J1706" s="4" t="str">
        <f>IF(C1706="","",Order!$M$16)</f>
        <v>BLACK ANODIZED (FAYP06)</v>
      </c>
      <c r="K1706" s="36">
        <f>IF($C1706="","",_xlfn.XLOOKUP($C1706,Order!$C:$C,Order!$P:$P,"",0,1))</f>
        <v>0</v>
      </c>
      <c r="L1706" s="4">
        <f t="shared" si="26"/>
        <v>0</v>
      </c>
    </row>
    <row r="1707" spans="2:12" ht="23.25" hidden="1" customHeight="1" x14ac:dyDescent="0.25">
      <c r="B1707" s="4">
        <v>1702</v>
      </c>
      <c r="C1707" s="36" t="str">
        <f>IF(Order!$C$338="","",Order!$C$338)</f>
        <v/>
      </c>
      <c r="D1707" s="36" t="str">
        <f>IF($C1707="","",_xlfn.XLOOKUP($C1707,Order!$C:$C,Order!$D:$D,"",0,1))</f>
        <v/>
      </c>
      <c r="E1707" s="4" t="str">
        <f>IF($C1707="","",_xlfn.XLOOKUP($C1707,Order!$C:$C,Order!$E:$E,"",0,1))</f>
        <v/>
      </c>
      <c r="F1707" s="4" t="str">
        <f>IF($C1707="","",_xlfn.XLOOKUP($C1707,Order!$C:$C,Order!$F:$F,"",0,1))</f>
        <v/>
      </c>
      <c r="G1707" s="4" t="str">
        <f>IF($C1707="","",_xlfn.XLOOKUP($C1707,Order!$C:$C,Order!$G:$G,"",0,1))</f>
        <v/>
      </c>
      <c r="H1707" s="4" t="str">
        <f>IF($C1707="","",_xlfn.XLOOKUP($C1707,Order!$C:$C,Order!$H:$H,"",0,1))</f>
        <v/>
      </c>
      <c r="I1707" s="36" t="str">
        <f>IF($C1707="","",_xlfn.XLOOKUP($C1707,Order!$C:$C,Order!$M:$M,"",0,1))</f>
        <v/>
      </c>
      <c r="J1707" s="4" t="str">
        <f>IF(C1707="","",Order!$M$16)</f>
        <v/>
      </c>
      <c r="K1707" s="36" t="str">
        <f>IF($C1707="","",_xlfn.XLOOKUP($C1707,Order!$C:$C,Order!$P:$P,"",0,1))</f>
        <v/>
      </c>
      <c r="L1707" s="4" t="str">
        <f t="shared" si="26"/>
        <v/>
      </c>
    </row>
    <row r="1708" spans="2:12" ht="23.25" hidden="1" customHeight="1" x14ac:dyDescent="0.25">
      <c r="B1708" s="4">
        <v>1703</v>
      </c>
      <c r="C1708" s="36" t="str">
        <f>IF(Order!$C$339="","",Order!$C$339)</f>
        <v/>
      </c>
      <c r="D1708" s="36" t="str">
        <f>IF($C1708="","",_xlfn.XLOOKUP($C1708,Order!$C:$C,Order!$D:$D,"",0,1))</f>
        <v/>
      </c>
      <c r="E1708" s="4" t="str">
        <f>IF($C1708="","",_xlfn.XLOOKUP($C1708,Order!$C:$C,Order!$E:$E,"",0,1))</f>
        <v/>
      </c>
      <c r="F1708" s="4" t="str">
        <f>IF($C1708="","",_xlfn.XLOOKUP($C1708,Order!$C:$C,Order!$F:$F,"",0,1))</f>
        <v/>
      </c>
      <c r="G1708" s="4" t="str">
        <f>IF($C1708="","",_xlfn.XLOOKUP($C1708,Order!$C:$C,Order!$G:$G,"",0,1))</f>
        <v/>
      </c>
      <c r="H1708" s="4" t="str">
        <f>IF($C1708="","",_xlfn.XLOOKUP($C1708,Order!$C:$C,Order!$H:$H,"",0,1))</f>
        <v/>
      </c>
      <c r="I1708" s="36" t="str">
        <f>IF($C1708="","",_xlfn.XLOOKUP($C1708,Order!$C:$C,Order!$M:$M,"",0,1))</f>
        <v/>
      </c>
      <c r="J1708" s="4" t="str">
        <f>IF(C1708="","",Order!$M$16)</f>
        <v/>
      </c>
      <c r="K1708" s="36" t="str">
        <f>IF($C1708="","",_xlfn.XLOOKUP($C1708,Order!$C:$C,Order!$P:$P,"",0,1))</f>
        <v/>
      </c>
      <c r="L1708" s="4" t="str">
        <f t="shared" si="26"/>
        <v/>
      </c>
    </row>
    <row r="1709" spans="2:12" ht="23.25" hidden="1" customHeight="1" x14ac:dyDescent="0.25">
      <c r="B1709" s="4">
        <v>1704</v>
      </c>
      <c r="C1709" s="36" t="str">
        <f>IF(Order!$C$340="","",Order!$C$340)</f>
        <v/>
      </c>
      <c r="D1709" s="36" t="str">
        <f>IF($C1709="","",_xlfn.XLOOKUP($C1709,Order!$C:$C,Order!$D:$D,"",0,1))</f>
        <v/>
      </c>
      <c r="E1709" s="4" t="str">
        <f>IF($C1709="","",_xlfn.XLOOKUP($C1709,Order!$C:$C,Order!$E:$E,"",0,1))</f>
        <v/>
      </c>
      <c r="F1709" s="4" t="str">
        <f>IF($C1709="","",_xlfn.XLOOKUP($C1709,Order!$C:$C,Order!$F:$F,"",0,1))</f>
        <v/>
      </c>
      <c r="G1709" s="4" t="str">
        <f>IF($C1709="","",_xlfn.XLOOKUP($C1709,Order!$C:$C,Order!$G:$G,"",0,1))</f>
        <v/>
      </c>
      <c r="H1709" s="4" t="str">
        <f>IF($C1709="","",_xlfn.XLOOKUP($C1709,Order!$C:$C,Order!$H:$H,"",0,1))</f>
        <v/>
      </c>
      <c r="I1709" s="36" t="str">
        <f>IF($C1709="","",_xlfn.XLOOKUP($C1709,Order!$C:$C,Order!$M:$M,"",0,1))</f>
        <v/>
      </c>
      <c r="J1709" s="4" t="str">
        <f>IF(C1709="","",Order!$M$16)</f>
        <v/>
      </c>
      <c r="K1709" s="36" t="str">
        <f>IF($C1709="","",_xlfn.XLOOKUP($C1709,Order!$C:$C,Order!$P:$P,"",0,1))</f>
        <v/>
      </c>
      <c r="L1709" s="4" t="str">
        <f t="shared" si="26"/>
        <v/>
      </c>
    </row>
    <row r="1710" spans="2:12" ht="23.25" hidden="1" customHeight="1" x14ac:dyDescent="0.25">
      <c r="B1710" s="4">
        <v>1705</v>
      </c>
      <c r="C1710" s="36" t="str">
        <f>IF(Order!$C$341="","",Order!$C$341)</f>
        <v xml:space="preserve"> U 15 (PU 004 5/8 x 1/16")  </v>
      </c>
      <c r="D1710" s="36" t="str">
        <f>IF($C1710="","",_xlfn.XLOOKUP($C1710,Order!$C:$C,Order!$D:$D,"",0,1))</f>
        <v>BX567</v>
      </c>
      <c r="E1710" s="4" t="e" vm="495">
        <f>IF($C1710="","",_xlfn.XLOOKUP($C1710,Order!$C:$C,Order!$E:$E,"",0,1))</f>
        <v>#VALUE!</v>
      </c>
      <c r="F1710" s="4">
        <f>IF($C1710="","",_xlfn.XLOOKUP($C1710,Order!$C:$C,Order!$F:$F,"",0,1))</f>
        <v>6000</v>
      </c>
      <c r="G1710" s="4" t="str">
        <f>IF($C1710="","",_xlfn.XLOOKUP($C1710,Order!$C:$C,Order!$G:$G,"",0,1))</f>
        <v>6063T5</v>
      </c>
      <c r="H1710" s="4">
        <f>IF($C1710="","",_xlfn.XLOOKUP($C1710,Order!$C:$C,Order!$H:$H,"",0,1))</f>
        <v>0.17100000000000001</v>
      </c>
      <c r="I1710" s="36">
        <f>IF($C1710="","",_xlfn.XLOOKUP($C1710,Order!$C:$C,Order!$M:$M,"",0,1))</f>
        <v>0</v>
      </c>
      <c r="J1710" s="4" t="str">
        <f>IF(C1710="","",Order!$M$16)</f>
        <v>BLACK ANODIZED (FAYP06)</v>
      </c>
      <c r="K1710" s="36">
        <f>IF($C1710="","",_xlfn.XLOOKUP($C1710,Order!$C:$C,Order!$P:$P,"",0,1))</f>
        <v>0</v>
      </c>
      <c r="L1710" s="4">
        <f t="shared" si="26"/>
        <v>0</v>
      </c>
    </row>
    <row r="1711" spans="2:12" ht="23.25" hidden="1" customHeight="1" x14ac:dyDescent="0.25">
      <c r="B1711" s="4">
        <v>1706</v>
      </c>
      <c r="C1711" s="36" t="str">
        <f>IF(Order!$C$342="","",Order!$C$342)</f>
        <v/>
      </c>
      <c r="D1711" s="36" t="str">
        <f>IF($C1711="","",_xlfn.XLOOKUP($C1711,Order!$C:$C,Order!$D:$D,"",0,1))</f>
        <v/>
      </c>
      <c r="E1711" s="4" t="str">
        <f>IF($C1711="","",_xlfn.XLOOKUP($C1711,Order!$C:$C,Order!$E:$E,"",0,1))</f>
        <v/>
      </c>
      <c r="F1711" s="4" t="str">
        <f>IF($C1711="","",_xlfn.XLOOKUP($C1711,Order!$C:$C,Order!$F:$F,"",0,1))</f>
        <v/>
      </c>
      <c r="G1711" s="4" t="str">
        <f>IF($C1711="","",_xlfn.XLOOKUP($C1711,Order!$C:$C,Order!$G:$G,"",0,1))</f>
        <v/>
      </c>
      <c r="H1711" s="4" t="str">
        <f>IF($C1711="","",_xlfn.XLOOKUP($C1711,Order!$C:$C,Order!$H:$H,"",0,1))</f>
        <v/>
      </c>
      <c r="I1711" s="36" t="str">
        <f>IF($C1711="","",_xlfn.XLOOKUP($C1711,Order!$C:$C,Order!$M:$M,"",0,1))</f>
        <v/>
      </c>
      <c r="J1711" s="4" t="str">
        <f>IF(C1711="","",Order!$M$16)</f>
        <v/>
      </c>
      <c r="K1711" s="36" t="str">
        <f>IF($C1711="","",_xlfn.XLOOKUP($C1711,Order!$C:$C,Order!$P:$P,"",0,1))</f>
        <v/>
      </c>
      <c r="L1711" s="4" t="str">
        <f t="shared" si="26"/>
        <v/>
      </c>
    </row>
    <row r="1712" spans="2:12" ht="23.25" hidden="1" customHeight="1" x14ac:dyDescent="0.25">
      <c r="B1712" s="4">
        <v>1707</v>
      </c>
      <c r="C1712" s="36" t="str">
        <f>IF(Order!$C$343="","",Order!$C$343)</f>
        <v/>
      </c>
      <c r="D1712" s="36" t="str">
        <f>IF($C1712="","",_xlfn.XLOOKUP($C1712,Order!$C:$C,Order!$D:$D,"",0,1))</f>
        <v/>
      </c>
      <c r="E1712" s="4" t="str">
        <f>IF($C1712="","",_xlfn.XLOOKUP($C1712,Order!$C:$C,Order!$E:$E,"",0,1))</f>
        <v/>
      </c>
      <c r="F1712" s="4" t="str">
        <f>IF($C1712="","",_xlfn.XLOOKUP($C1712,Order!$C:$C,Order!$F:$F,"",0,1))</f>
        <v/>
      </c>
      <c r="G1712" s="4" t="str">
        <f>IF($C1712="","",_xlfn.XLOOKUP($C1712,Order!$C:$C,Order!$G:$G,"",0,1))</f>
        <v/>
      </c>
      <c r="H1712" s="4" t="str">
        <f>IF($C1712="","",_xlfn.XLOOKUP($C1712,Order!$C:$C,Order!$H:$H,"",0,1))</f>
        <v/>
      </c>
      <c r="I1712" s="36" t="str">
        <f>IF($C1712="","",_xlfn.XLOOKUP($C1712,Order!$C:$C,Order!$M:$M,"",0,1))</f>
        <v/>
      </c>
      <c r="J1712" s="4" t="str">
        <f>IF(C1712="","",Order!$M$16)</f>
        <v/>
      </c>
      <c r="K1712" s="36" t="str">
        <f>IF($C1712="","",_xlfn.XLOOKUP($C1712,Order!$C:$C,Order!$P:$P,"",0,1))</f>
        <v/>
      </c>
      <c r="L1712" s="4" t="str">
        <f t="shared" si="26"/>
        <v/>
      </c>
    </row>
    <row r="1713" spans="2:12" ht="23.25" hidden="1" customHeight="1" x14ac:dyDescent="0.25">
      <c r="B1713" s="4">
        <v>1708</v>
      </c>
      <c r="C1713" s="36" t="str">
        <f>IF(Order!$C$344="","",Order!$C$344)</f>
        <v/>
      </c>
      <c r="D1713" s="36" t="str">
        <f>IF($C1713="","",_xlfn.XLOOKUP($C1713,Order!$C:$C,Order!$D:$D,"",0,1))</f>
        <v/>
      </c>
      <c r="E1713" s="4" t="str">
        <f>IF($C1713="","",_xlfn.XLOOKUP($C1713,Order!$C:$C,Order!$E:$E,"",0,1))</f>
        <v/>
      </c>
      <c r="F1713" s="4" t="str">
        <f>IF($C1713="","",_xlfn.XLOOKUP($C1713,Order!$C:$C,Order!$F:$F,"",0,1))</f>
        <v/>
      </c>
      <c r="G1713" s="4" t="str">
        <f>IF($C1713="","",_xlfn.XLOOKUP($C1713,Order!$C:$C,Order!$G:$G,"",0,1))</f>
        <v/>
      </c>
      <c r="H1713" s="4" t="str">
        <f>IF($C1713="","",_xlfn.XLOOKUP($C1713,Order!$C:$C,Order!$H:$H,"",0,1))</f>
        <v/>
      </c>
      <c r="I1713" s="36" t="str">
        <f>IF($C1713="","",_xlfn.XLOOKUP($C1713,Order!$C:$C,Order!$M:$M,"",0,1))</f>
        <v/>
      </c>
      <c r="J1713" s="4" t="str">
        <f>IF(C1713="","",Order!$M$16)</f>
        <v/>
      </c>
      <c r="K1713" s="36" t="str">
        <f>IF($C1713="","",_xlfn.XLOOKUP($C1713,Order!$C:$C,Order!$P:$P,"",0,1))</f>
        <v/>
      </c>
      <c r="L1713" s="4" t="str">
        <f t="shared" si="26"/>
        <v/>
      </c>
    </row>
    <row r="1714" spans="2:12" ht="23.25" hidden="1" customHeight="1" x14ac:dyDescent="0.25">
      <c r="B1714" s="4">
        <v>1709</v>
      </c>
      <c r="C1714" s="36" t="str">
        <f>IF(Order!$C$345="","",Order!$C$345)</f>
        <v/>
      </c>
      <c r="D1714" s="36" t="str">
        <f>IF($C1714="","",_xlfn.XLOOKUP($C1714,Order!$C:$C,Order!$D:$D,"",0,1))</f>
        <v/>
      </c>
      <c r="E1714" s="4" t="str">
        <f>IF($C1714="","",_xlfn.XLOOKUP($C1714,Order!$C:$C,Order!$E:$E,"",0,1))</f>
        <v/>
      </c>
      <c r="F1714" s="4" t="str">
        <f>IF($C1714="","",_xlfn.XLOOKUP($C1714,Order!$C:$C,Order!$F:$F,"",0,1))</f>
        <v/>
      </c>
      <c r="G1714" s="4" t="str">
        <f>IF($C1714="","",_xlfn.XLOOKUP($C1714,Order!$C:$C,Order!$G:$G,"",0,1))</f>
        <v/>
      </c>
      <c r="H1714" s="4" t="str">
        <f>IF($C1714="","",_xlfn.XLOOKUP($C1714,Order!$C:$C,Order!$H:$H,"",0,1))</f>
        <v/>
      </c>
      <c r="I1714" s="36" t="str">
        <f>IF($C1714="","",_xlfn.XLOOKUP($C1714,Order!$C:$C,Order!$M:$M,"",0,1))</f>
        <v/>
      </c>
      <c r="J1714" s="4" t="str">
        <f>IF(C1714="","",Order!$M$16)</f>
        <v/>
      </c>
      <c r="K1714" s="36" t="str">
        <f>IF($C1714="","",_xlfn.XLOOKUP($C1714,Order!$C:$C,Order!$P:$P,"",0,1))</f>
        <v/>
      </c>
      <c r="L1714" s="4" t="str">
        <f t="shared" si="26"/>
        <v/>
      </c>
    </row>
    <row r="1715" spans="2:12" ht="23.25" hidden="1" customHeight="1" x14ac:dyDescent="0.25">
      <c r="B1715" s="4">
        <v>1710</v>
      </c>
      <c r="C1715" s="36" t="str">
        <f>IF(Order!$C$346="","",Order!$C$346)</f>
        <v/>
      </c>
      <c r="D1715" s="36" t="str">
        <f>IF($C1715="","",_xlfn.XLOOKUP($C1715,Order!$C:$C,Order!$D:$D,"",0,1))</f>
        <v/>
      </c>
      <c r="E1715" s="4" t="str">
        <f>IF($C1715="","",_xlfn.XLOOKUP($C1715,Order!$C:$C,Order!$E:$E,"",0,1))</f>
        <v/>
      </c>
      <c r="F1715" s="4" t="str">
        <f>IF($C1715="","",_xlfn.XLOOKUP($C1715,Order!$C:$C,Order!$F:$F,"",0,1))</f>
        <v/>
      </c>
      <c r="G1715" s="4" t="str">
        <f>IF($C1715="","",_xlfn.XLOOKUP($C1715,Order!$C:$C,Order!$G:$G,"",0,1))</f>
        <v/>
      </c>
      <c r="H1715" s="4" t="str">
        <f>IF($C1715="","",_xlfn.XLOOKUP($C1715,Order!$C:$C,Order!$H:$H,"",0,1))</f>
        <v/>
      </c>
      <c r="I1715" s="36" t="str">
        <f>IF($C1715="","",_xlfn.XLOOKUP($C1715,Order!$C:$C,Order!$M:$M,"",0,1))</f>
        <v/>
      </c>
      <c r="J1715" s="4" t="str">
        <f>IF(C1715="","",Order!$M$16)</f>
        <v/>
      </c>
      <c r="K1715" s="36" t="str">
        <f>IF($C1715="","",_xlfn.XLOOKUP($C1715,Order!$C:$C,Order!$P:$P,"",0,1))</f>
        <v/>
      </c>
      <c r="L1715" s="4" t="str">
        <f t="shared" si="26"/>
        <v/>
      </c>
    </row>
    <row r="1716" spans="2:12" ht="23.25" hidden="1" customHeight="1" x14ac:dyDescent="0.25">
      <c r="B1716" s="4">
        <v>1711</v>
      </c>
      <c r="C1716" s="36" t="str">
        <f>IF(Order!$C$347="","",Order!$C$347)</f>
        <v/>
      </c>
      <c r="D1716" s="36" t="str">
        <f>IF($C1716="","",_xlfn.XLOOKUP($C1716,Order!$C:$C,Order!$D:$D,"",0,1))</f>
        <v/>
      </c>
      <c r="E1716" s="4" t="str">
        <f>IF($C1716="","",_xlfn.XLOOKUP($C1716,Order!$C:$C,Order!$E:$E,"",0,1))</f>
        <v/>
      </c>
      <c r="F1716" s="4" t="str">
        <f>IF($C1716="","",_xlfn.XLOOKUP($C1716,Order!$C:$C,Order!$F:$F,"",0,1))</f>
        <v/>
      </c>
      <c r="G1716" s="4" t="str">
        <f>IF($C1716="","",_xlfn.XLOOKUP($C1716,Order!$C:$C,Order!$G:$G,"",0,1))</f>
        <v/>
      </c>
      <c r="H1716" s="4" t="str">
        <f>IF($C1716="","",_xlfn.XLOOKUP($C1716,Order!$C:$C,Order!$H:$H,"",0,1))</f>
        <v/>
      </c>
      <c r="I1716" s="36" t="str">
        <f>IF($C1716="","",_xlfn.XLOOKUP($C1716,Order!$C:$C,Order!$M:$M,"",0,1))</f>
        <v/>
      </c>
      <c r="J1716" s="4" t="str">
        <f>IF(C1716="","",Order!$M$16)</f>
        <v/>
      </c>
      <c r="K1716" s="36" t="str">
        <f>IF($C1716="","",_xlfn.XLOOKUP($C1716,Order!$C:$C,Order!$P:$P,"",0,1))</f>
        <v/>
      </c>
      <c r="L1716" s="4" t="str">
        <f t="shared" si="26"/>
        <v/>
      </c>
    </row>
    <row r="1717" spans="2:12" ht="23.25" hidden="1" customHeight="1" x14ac:dyDescent="0.25">
      <c r="B1717" s="4">
        <v>1712</v>
      </c>
      <c r="C1717" s="36" t="str">
        <f>IF(Order!$C$348="","",Order!$C$348)</f>
        <v/>
      </c>
      <c r="D1717" s="36" t="str">
        <f>IF($C1717="","",_xlfn.XLOOKUP($C1717,Order!$C:$C,Order!$D:$D,"",0,1))</f>
        <v/>
      </c>
      <c r="E1717" s="4" t="str">
        <f>IF($C1717="","",_xlfn.XLOOKUP($C1717,Order!$C:$C,Order!$E:$E,"",0,1))</f>
        <v/>
      </c>
      <c r="F1717" s="4" t="str">
        <f>IF($C1717="","",_xlfn.XLOOKUP($C1717,Order!$C:$C,Order!$F:$F,"",0,1))</f>
        <v/>
      </c>
      <c r="G1717" s="4" t="str">
        <f>IF($C1717="","",_xlfn.XLOOKUP($C1717,Order!$C:$C,Order!$G:$G,"",0,1))</f>
        <v/>
      </c>
      <c r="H1717" s="4" t="str">
        <f>IF($C1717="","",_xlfn.XLOOKUP($C1717,Order!$C:$C,Order!$H:$H,"",0,1))</f>
        <v/>
      </c>
      <c r="I1717" s="36" t="str">
        <f>IF($C1717="","",_xlfn.XLOOKUP($C1717,Order!$C:$C,Order!$M:$M,"",0,1))</f>
        <v/>
      </c>
      <c r="J1717" s="4" t="str">
        <f>IF(C1717="","",Order!$M$16)</f>
        <v/>
      </c>
      <c r="K1717" s="36" t="str">
        <f>IF($C1717="","",_xlfn.XLOOKUP($C1717,Order!$C:$C,Order!$P:$P,"",0,1))</f>
        <v/>
      </c>
      <c r="L1717" s="4" t="str">
        <f t="shared" si="26"/>
        <v/>
      </c>
    </row>
    <row r="1718" spans="2:12" ht="23.25" hidden="1" customHeight="1" x14ac:dyDescent="0.25">
      <c r="B1718" s="4">
        <v>1713</v>
      </c>
      <c r="C1718" s="36" t="str">
        <f>IF(Order!$C$349="","",Order!$C$349)</f>
        <v/>
      </c>
      <c r="D1718" s="36" t="str">
        <f>IF($C1718="","",_xlfn.XLOOKUP($C1718,Order!$C:$C,Order!$D:$D,"",0,1))</f>
        <v/>
      </c>
      <c r="E1718" s="4" t="str">
        <f>IF($C1718="","",_xlfn.XLOOKUP($C1718,Order!$C:$C,Order!$E:$E,"",0,1))</f>
        <v/>
      </c>
      <c r="F1718" s="4" t="str">
        <f>IF($C1718="","",_xlfn.XLOOKUP($C1718,Order!$C:$C,Order!$F:$F,"",0,1))</f>
        <v/>
      </c>
      <c r="G1718" s="4" t="str">
        <f>IF($C1718="","",_xlfn.XLOOKUP($C1718,Order!$C:$C,Order!$G:$G,"",0,1))</f>
        <v/>
      </c>
      <c r="H1718" s="4" t="str">
        <f>IF($C1718="","",_xlfn.XLOOKUP($C1718,Order!$C:$C,Order!$H:$H,"",0,1))</f>
        <v/>
      </c>
      <c r="I1718" s="36" t="str">
        <f>IF($C1718="","",_xlfn.XLOOKUP($C1718,Order!$C:$C,Order!$M:$M,"",0,1))</f>
        <v/>
      </c>
      <c r="J1718" s="4" t="str">
        <f>IF(C1718="","",Order!$M$16)</f>
        <v/>
      </c>
      <c r="K1718" s="36" t="str">
        <f>IF($C1718="","",_xlfn.XLOOKUP($C1718,Order!$C:$C,Order!$P:$P,"",0,1))</f>
        <v/>
      </c>
      <c r="L1718" s="4" t="str">
        <f t="shared" si="26"/>
        <v/>
      </c>
    </row>
    <row r="1719" spans="2:12" ht="23.25" hidden="1" customHeight="1" x14ac:dyDescent="0.25">
      <c r="B1719" s="4">
        <v>1714</v>
      </c>
      <c r="C1719" s="36" t="str">
        <f>IF(Order!$C$350="","",Order!$C$350)</f>
        <v/>
      </c>
      <c r="D1719" s="36" t="str">
        <f>IF($C1719="","",_xlfn.XLOOKUP($C1719,Order!$C:$C,Order!$D:$D,"",0,1))</f>
        <v/>
      </c>
      <c r="E1719" s="4" t="str">
        <f>IF($C1719="","",_xlfn.XLOOKUP($C1719,Order!$C:$C,Order!$E:$E,"",0,1))</f>
        <v/>
      </c>
      <c r="F1719" s="4" t="str">
        <f>IF($C1719="","",_xlfn.XLOOKUP($C1719,Order!$C:$C,Order!$F:$F,"",0,1))</f>
        <v/>
      </c>
      <c r="G1719" s="4" t="str">
        <f>IF($C1719="","",_xlfn.XLOOKUP($C1719,Order!$C:$C,Order!$G:$G,"",0,1))</f>
        <v/>
      </c>
      <c r="H1719" s="4" t="str">
        <f>IF($C1719="","",_xlfn.XLOOKUP($C1719,Order!$C:$C,Order!$H:$H,"",0,1))</f>
        <v/>
      </c>
      <c r="I1719" s="36" t="str">
        <f>IF($C1719="","",_xlfn.XLOOKUP($C1719,Order!$C:$C,Order!$M:$M,"",0,1))</f>
        <v/>
      </c>
      <c r="J1719" s="4" t="str">
        <f>IF(C1719="","",Order!$M$16)</f>
        <v/>
      </c>
      <c r="K1719" s="36" t="str">
        <f>IF($C1719="","",_xlfn.XLOOKUP($C1719,Order!$C:$C,Order!$P:$P,"",0,1))</f>
        <v/>
      </c>
      <c r="L1719" s="4" t="str">
        <f t="shared" si="26"/>
        <v/>
      </c>
    </row>
    <row r="1720" spans="2:12" ht="23.25" hidden="1" customHeight="1" x14ac:dyDescent="0.25">
      <c r="B1720" s="4">
        <v>1715</v>
      </c>
      <c r="C1720" s="36" t="str">
        <f>IF(Order!$C$351="","",Order!$C$351)</f>
        <v/>
      </c>
      <c r="D1720" s="36" t="str">
        <f>IF($C1720="","",_xlfn.XLOOKUP($C1720,Order!$C:$C,Order!$D:$D,"",0,1))</f>
        <v/>
      </c>
      <c r="E1720" s="4" t="str">
        <f>IF($C1720="","",_xlfn.XLOOKUP($C1720,Order!$C:$C,Order!$E:$E,"",0,1))</f>
        <v/>
      </c>
      <c r="F1720" s="4" t="str">
        <f>IF($C1720="","",_xlfn.XLOOKUP($C1720,Order!$C:$C,Order!$F:$F,"",0,1))</f>
        <v/>
      </c>
      <c r="G1720" s="4" t="str">
        <f>IF($C1720="","",_xlfn.XLOOKUP($C1720,Order!$C:$C,Order!$G:$G,"",0,1))</f>
        <v/>
      </c>
      <c r="H1720" s="4" t="str">
        <f>IF($C1720="","",_xlfn.XLOOKUP($C1720,Order!$C:$C,Order!$H:$H,"",0,1))</f>
        <v/>
      </c>
      <c r="I1720" s="36" t="str">
        <f>IF($C1720="","",_xlfn.XLOOKUP($C1720,Order!$C:$C,Order!$M:$M,"",0,1))</f>
        <v/>
      </c>
      <c r="J1720" s="4" t="str">
        <f>IF(C1720="","",Order!$M$16)</f>
        <v/>
      </c>
      <c r="K1720" s="36" t="str">
        <f>IF($C1720="","",_xlfn.XLOOKUP($C1720,Order!$C:$C,Order!$P:$P,"",0,1))</f>
        <v/>
      </c>
      <c r="L1720" s="4" t="str">
        <f t="shared" si="26"/>
        <v/>
      </c>
    </row>
    <row r="1721" spans="2:12" ht="23.25" hidden="1" customHeight="1" x14ac:dyDescent="0.25">
      <c r="B1721" s="4">
        <v>1716</v>
      </c>
      <c r="C1721" s="36" t="str">
        <f>IF(Order!$C$352="","",Order!$C$352)</f>
        <v/>
      </c>
      <c r="D1721" s="36" t="str">
        <f>IF($C1721="","",_xlfn.XLOOKUP($C1721,Order!$C:$C,Order!$D:$D,"",0,1))</f>
        <v/>
      </c>
      <c r="E1721" s="4" t="str">
        <f>IF($C1721="","",_xlfn.XLOOKUP($C1721,Order!$C:$C,Order!$E:$E,"",0,1))</f>
        <v/>
      </c>
      <c r="F1721" s="4" t="str">
        <f>IF($C1721="","",_xlfn.XLOOKUP($C1721,Order!$C:$C,Order!$F:$F,"",0,1))</f>
        <v/>
      </c>
      <c r="G1721" s="4" t="str">
        <f>IF($C1721="","",_xlfn.XLOOKUP($C1721,Order!$C:$C,Order!$G:$G,"",0,1))</f>
        <v/>
      </c>
      <c r="H1721" s="4" t="str">
        <f>IF($C1721="","",_xlfn.XLOOKUP($C1721,Order!$C:$C,Order!$H:$H,"",0,1))</f>
        <v/>
      </c>
      <c r="I1721" s="36" t="str">
        <f>IF($C1721="","",_xlfn.XLOOKUP($C1721,Order!$C:$C,Order!$M:$M,"",0,1))</f>
        <v/>
      </c>
      <c r="J1721" s="4" t="str">
        <f>IF(C1721="","",Order!$M$16)</f>
        <v/>
      </c>
      <c r="K1721" s="36" t="str">
        <f>IF($C1721="","",_xlfn.XLOOKUP($C1721,Order!$C:$C,Order!$P:$P,"",0,1))</f>
        <v/>
      </c>
      <c r="L1721" s="4" t="str">
        <f t="shared" si="26"/>
        <v/>
      </c>
    </row>
    <row r="1722" spans="2:12" ht="23.25" hidden="1" customHeight="1" x14ac:dyDescent="0.25">
      <c r="B1722" s="4">
        <v>1717</v>
      </c>
      <c r="C1722" s="36" t="str">
        <f>IF(Order!$C$353="","",Order!$C$353)</f>
        <v/>
      </c>
      <c r="D1722" s="36" t="str">
        <f>IF($C1722="","",_xlfn.XLOOKUP($C1722,Order!$C:$C,Order!$D:$D,"",0,1))</f>
        <v/>
      </c>
      <c r="E1722" s="4" t="str">
        <f>IF($C1722="","",_xlfn.XLOOKUP($C1722,Order!$C:$C,Order!$E:$E,"",0,1))</f>
        <v/>
      </c>
      <c r="F1722" s="4" t="str">
        <f>IF($C1722="","",_xlfn.XLOOKUP($C1722,Order!$C:$C,Order!$F:$F,"",0,1))</f>
        <v/>
      </c>
      <c r="G1722" s="4" t="str">
        <f>IF($C1722="","",_xlfn.XLOOKUP($C1722,Order!$C:$C,Order!$G:$G,"",0,1))</f>
        <v/>
      </c>
      <c r="H1722" s="4" t="str">
        <f>IF($C1722="","",_xlfn.XLOOKUP($C1722,Order!$C:$C,Order!$H:$H,"",0,1))</f>
        <v/>
      </c>
      <c r="I1722" s="36" t="str">
        <f>IF($C1722="","",_xlfn.XLOOKUP($C1722,Order!$C:$C,Order!$M:$M,"",0,1))</f>
        <v/>
      </c>
      <c r="J1722" s="4" t="str">
        <f>IF(C1722="","",Order!$M$16)</f>
        <v/>
      </c>
      <c r="K1722" s="36" t="str">
        <f>IF($C1722="","",_xlfn.XLOOKUP($C1722,Order!$C:$C,Order!$P:$P,"",0,1))</f>
        <v/>
      </c>
      <c r="L1722" s="4" t="str">
        <f t="shared" si="26"/>
        <v/>
      </c>
    </row>
    <row r="1723" spans="2:12" ht="23.25" hidden="1" customHeight="1" x14ac:dyDescent="0.25">
      <c r="B1723" s="4">
        <v>1718</v>
      </c>
      <c r="C1723" s="36" t="str">
        <f>IF(Order!$C$354="","",Order!$C$354)</f>
        <v/>
      </c>
      <c r="D1723" s="36" t="str">
        <f>IF($C1723="","",_xlfn.XLOOKUP($C1723,Order!$C:$C,Order!$D:$D,"",0,1))</f>
        <v/>
      </c>
      <c r="E1723" s="4" t="str">
        <f>IF($C1723="","",_xlfn.XLOOKUP($C1723,Order!$C:$C,Order!$E:$E,"",0,1))</f>
        <v/>
      </c>
      <c r="F1723" s="4" t="str">
        <f>IF($C1723="","",_xlfn.XLOOKUP($C1723,Order!$C:$C,Order!$F:$F,"",0,1))</f>
        <v/>
      </c>
      <c r="G1723" s="4" t="str">
        <f>IF($C1723="","",_xlfn.XLOOKUP($C1723,Order!$C:$C,Order!$G:$G,"",0,1))</f>
        <v/>
      </c>
      <c r="H1723" s="4" t="str">
        <f>IF($C1723="","",_xlfn.XLOOKUP($C1723,Order!$C:$C,Order!$H:$H,"",0,1))</f>
        <v/>
      </c>
      <c r="I1723" s="36" t="str">
        <f>IF($C1723="","",_xlfn.XLOOKUP($C1723,Order!$C:$C,Order!$M:$M,"",0,1))</f>
        <v/>
      </c>
      <c r="J1723" s="4" t="str">
        <f>IF(C1723="","",Order!$M$16)</f>
        <v/>
      </c>
      <c r="K1723" s="36" t="str">
        <f>IF($C1723="","",_xlfn.XLOOKUP($C1723,Order!$C:$C,Order!$P:$P,"",0,1))</f>
        <v/>
      </c>
      <c r="L1723" s="4" t="str">
        <f t="shared" si="26"/>
        <v/>
      </c>
    </row>
    <row r="1724" spans="2:12" ht="23.25" hidden="1" customHeight="1" x14ac:dyDescent="0.25">
      <c r="B1724" s="4">
        <v>1719</v>
      </c>
      <c r="C1724" s="36" t="str">
        <f>IF(Order!$C$355="","",Order!$C$355)</f>
        <v/>
      </c>
      <c r="D1724" s="36" t="str">
        <f>IF($C1724="","",_xlfn.XLOOKUP($C1724,Order!$C:$C,Order!$D:$D,"",0,1))</f>
        <v/>
      </c>
      <c r="E1724" s="4" t="str">
        <f>IF($C1724="","",_xlfn.XLOOKUP($C1724,Order!$C:$C,Order!$E:$E,"",0,1))</f>
        <v/>
      </c>
      <c r="F1724" s="4" t="str">
        <f>IF($C1724="","",_xlfn.XLOOKUP($C1724,Order!$C:$C,Order!$F:$F,"",0,1))</f>
        <v/>
      </c>
      <c r="G1724" s="4" t="str">
        <f>IF($C1724="","",_xlfn.XLOOKUP($C1724,Order!$C:$C,Order!$G:$G,"",0,1))</f>
        <v/>
      </c>
      <c r="H1724" s="4" t="str">
        <f>IF($C1724="","",_xlfn.XLOOKUP($C1724,Order!$C:$C,Order!$H:$H,"",0,1))</f>
        <v/>
      </c>
      <c r="I1724" s="36" t="str">
        <f>IF($C1724="","",_xlfn.XLOOKUP($C1724,Order!$C:$C,Order!$M:$M,"",0,1))</f>
        <v/>
      </c>
      <c r="J1724" s="4" t="str">
        <f>IF(C1724="","",Order!$M$16)</f>
        <v/>
      </c>
      <c r="K1724" s="36" t="str">
        <f>IF($C1724="","",_xlfn.XLOOKUP($C1724,Order!$C:$C,Order!$P:$P,"",0,1))</f>
        <v/>
      </c>
      <c r="L1724" s="4" t="str">
        <f t="shared" si="26"/>
        <v/>
      </c>
    </row>
    <row r="1725" spans="2:12" ht="23.25" hidden="1" customHeight="1" x14ac:dyDescent="0.25">
      <c r="B1725" s="4">
        <v>1720</v>
      </c>
      <c r="C1725" s="36" t="str">
        <f>IF(Order!$C$356="","",Order!$C$356)</f>
        <v/>
      </c>
      <c r="D1725" s="36" t="str">
        <f>IF($C1725="","",_xlfn.XLOOKUP($C1725,Order!$C:$C,Order!$D:$D,"",0,1))</f>
        <v/>
      </c>
      <c r="E1725" s="4" t="str">
        <f>IF($C1725="","",_xlfn.XLOOKUP($C1725,Order!$C:$C,Order!$E:$E,"",0,1))</f>
        <v/>
      </c>
      <c r="F1725" s="4" t="str">
        <f>IF($C1725="","",_xlfn.XLOOKUP($C1725,Order!$C:$C,Order!$F:$F,"",0,1))</f>
        <v/>
      </c>
      <c r="G1725" s="4" t="str">
        <f>IF($C1725="","",_xlfn.XLOOKUP($C1725,Order!$C:$C,Order!$G:$G,"",0,1))</f>
        <v/>
      </c>
      <c r="H1725" s="4" t="str">
        <f>IF($C1725="","",_xlfn.XLOOKUP($C1725,Order!$C:$C,Order!$H:$H,"",0,1))</f>
        <v/>
      </c>
      <c r="I1725" s="36" t="str">
        <f>IF($C1725="","",_xlfn.XLOOKUP($C1725,Order!$C:$C,Order!$M:$M,"",0,1))</f>
        <v/>
      </c>
      <c r="J1725" s="4" t="str">
        <f>IF(C1725="","",Order!$M$16)</f>
        <v/>
      </c>
      <c r="K1725" s="36" t="str">
        <f>IF($C1725="","",_xlfn.XLOOKUP($C1725,Order!$C:$C,Order!$P:$P,"",0,1))</f>
        <v/>
      </c>
      <c r="L1725" s="4" t="str">
        <f t="shared" si="26"/>
        <v/>
      </c>
    </row>
    <row r="1726" spans="2:12" ht="23.25" hidden="1" customHeight="1" x14ac:dyDescent="0.25">
      <c r="B1726" s="4">
        <v>1721</v>
      </c>
      <c r="C1726" s="36" t="str">
        <f>IF(Order!$C$357="","",Order!$C$357)</f>
        <v/>
      </c>
      <c r="D1726" s="36" t="str">
        <f>IF($C1726="","",_xlfn.XLOOKUP($C1726,Order!$C:$C,Order!$D:$D,"",0,1))</f>
        <v/>
      </c>
      <c r="E1726" s="4" t="str">
        <f>IF($C1726="","",_xlfn.XLOOKUP($C1726,Order!$C:$C,Order!$E:$E,"",0,1))</f>
        <v/>
      </c>
      <c r="F1726" s="4" t="str">
        <f>IF($C1726="","",_xlfn.XLOOKUP($C1726,Order!$C:$C,Order!$F:$F,"",0,1))</f>
        <v/>
      </c>
      <c r="G1726" s="4" t="str">
        <f>IF($C1726="","",_xlfn.XLOOKUP($C1726,Order!$C:$C,Order!$G:$G,"",0,1))</f>
        <v/>
      </c>
      <c r="H1726" s="4" t="str">
        <f>IF($C1726="","",_xlfn.XLOOKUP($C1726,Order!$C:$C,Order!$H:$H,"",0,1))</f>
        <v/>
      </c>
      <c r="I1726" s="36" t="str">
        <f>IF($C1726="","",_xlfn.XLOOKUP($C1726,Order!$C:$C,Order!$M:$M,"",0,1))</f>
        <v/>
      </c>
      <c r="J1726" s="4" t="str">
        <f>IF(C1726="","",Order!$M$16)</f>
        <v/>
      </c>
      <c r="K1726" s="36" t="str">
        <f>IF($C1726="","",_xlfn.XLOOKUP($C1726,Order!$C:$C,Order!$P:$P,"",0,1))</f>
        <v/>
      </c>
      <c r="L1726" s="4" t="str">
        <f t="shared" si="26"/>
        <v/>
      </c>
    </row>
    <row r="1727" spans="2:12" ht="23.25" hidden="1" customHeight="1" x14ac:dyDescent="0.25">
      <c r="B1727" s="4">
        <v>1722</v>
      </c>
      <c r="C1727" s="36" t="str">
        <f>IF(Order!$C$358="","",Order!$C$358)</f>
        <v/>
      </c>
      <c r="D1727" s="36" t="str">
        <f>IF($C1727="","",_xlfn.XLOOKUP($C1727,Order!$C:$C,Order!$D:$D,"",0,1))</f>
        <v/>
      </c>
      <c r="E1727" s="4" t="str">
        <f>IF($C1727="","",_xlfn.XLOOKUP($C1727,Order!$C:$C,Order!$E:$E,"",0,1))</f>
        <v/>
      </c>
      <c r="F1727" s="4" t="str">
        <f>IF($C1727="","",_xlfn.XLOOKUP($C1727,Order!$C:$C,Order!$F:$F,"",0,1))</f>
        <v/>
      </c>
      <c r="G1727" s="4" t="str">
        <f>IF($C1727="","",_xlfn.XLOOKUP($C1727,Order!$C:$C,Order!$G:$G,"",0,1))</f>
        <v/>
      </c>
      <c r="H1727" s="4" t="str">
        <f>IF($C1727="","",_xlfn.XLOOKUP($C1727,Order!$C:$C,Order!$H:$H,"",0,1))</f>
        <v/>
      </c>
      <c r="I1727" s="36" t="str">
        <f>IF($C1727="","",_xlfn.XLOOKUP($C1727,Order!$C:$C,Order!$M:$M,"",0,1))</f>
        <v/>
      </c>
      <c r="J1727" s="4" t="str">
        <f>IF(C1727="","",Order!$M$16)</f>
        <v/>
      </c>
      <c r="K1727" s="36" t="str">
        <f>IF($C1727="","",_xlfn.XLOOKUP($C1727,Order!$C:$C,Order!$P:$P,"",0,1))</f>
        <v/>
      </c>
      <c r="L1727" s="4" t="str">
        <f t="shared" si="26"/>
        <v/>
      </c>
    </row>
    <row r="1728" spans="2:12" ht="23.25" hidden="1" customHeight="1" x14ac:dyDescent="0.25">
      <c r="B1728" s="4">
        <v>1723</v>
      </c>
      <c r="C1728" s="36" t="str">
        <f>IF(Order!$C$359="","",Order!$C$359)</f>
        <v/>
      </c>
      <c r="D1728" s="36" t="str">
        <f>IF($C1728="","",_xlfn.XLOOKUP($C1728,Order!$C:$C,Order!$D:$D,"",0,1))</f>
        <v/>
      </c>
      <c r="E1728" s="4" t="str">
        <f>IF($C1728="","",_xlfn.XLOOKUP($C1728,Order!$C:$C,Order!$E:$E,"",0,1))</f>
        <v/>
      </c>
      <c r="F1728" s="4" t="str">
        <f>IF($C1728="","",_xlfn.XLOOKUP($C1728,Order!$C:$C,Order!$F:$F,"",0,1))</f>
        <v/>
      </c>
      <c r="G1728" s="4" t="str">
        <f>IF($C1728="","",_xlfn.XLOOKUP($C1728,Order!$C:$C,Order!$G:$G,"",0,1))</f>
        <v/>
      </c>
      <c r="H1728" s="4" t="str">
        <f>IF($C1728="","",_xlfn.XLOOKUP($C1728,Order!$C:$C,Order!$H:$H,"",0,1))</f>
        <v/>
      </c>
      <c r="I1728" s="36" t="str">
        <f>IF($C1728="","",_xlfn.XLOOKUP($C1728,Order!$C:$C,Order!$M:$M,"",0,1))</f>
        <v/>
      </c>
      <c r="J1728" s="4" t="str">
        <f>IF(C1728="","",Order!$M$16)</f>
        <v/>
      </c>
      <c r="K1728" s="36" t="str">
        <f>IF($C1728="","",_xlfn.XLOOKUP($C1728,Order!$C:$C,Order!$P:$P,"",0,1))</f>
        <v/>
      </c>
      <c r="L1728" s="4" t="str">
        <f t="shared" si="26"/>
        <v/>
      </c>
    </row>
    <row r="1729" spans="2:12" ht="23.25" hidden="1" customHeight="1" x14ac:dyDescent="0.25">
      <c r="B1729" s="4">
        <v>1724</v>
      </c>
      <c r="C1729" s="36" t="str">
        <f>IF(Order!$C$360="","",Order!$C$360)</f>
        <v/>
      </c>
      <c r="D1729" s="36" t="str">
        <f>IF($C1729="","",_xlfn.XLOOKUP($C1729,Order!$C:$C,Order!$D:$D,"",0,1))</f>
        <v/>
      </c>
      <c r="E1729" s="4" t="str">
        <f>IF($C1729="","",_xlfn.XLOOKUP($C1729,Order!$C:$C,Order!$E:$E,"",0,1))</f>
        <v/>
      </c>
      <c r="F1729" s="4" t="str">
        <f>IF($C1729="","",_xlfn.XLOOKUP($C1729,Order!$C:$C,Order!$F:$F,"",0,1))</f>
        <v/>
      </c>
      <c r="G1729" s="4" t="str">
        <f>IF($C1729="","",_xlfn.XLOOKUP($C1729,Order!$C:$C,Order!$G:$G,"",0,1))</f>
        <v/>
      </c>
      <c r="H1729" s="4" t="str">
        <f>IF($C1729="","",_xlfn.XLOOKUP($C1729,Order!$C:$C,Order!$H:$H,"",0,1))</f>
        <v/>
      </c>
      <c r="I1729" s="36" t="str">
        <f>IF($C1729="","",_xlfn.XLOOKUP($C1729,Order!$C:$C,Order!$M:$M,"",0,1))</f>
        <v/>
      </c>
      <c r="J1729" s="4" t="str">
        <f>IF(C1729="","",Order!$M$16)</f>
        <v/>
      </c>
      <c r="K1729" s="36" t="str">
        <f>IF($C1729="","",_xlfn.XLOOKUP($C1729,Order!$C:$C,Order!$P:$P,"",0,1))</f>
        <v/>
      </c>
      <c r="L1729" s="4" t="str">
        <f t="shared" si="26"/>
        <v/>
      </c>
    </row>
    <row r="1730" spans="2:12" ht="23.25" hidden="1" customHeight="1" x14ac:dyDescent="0.25">
      <c r="B1730" s="4">
        <v>1725</v>
      </c>
      <c r="C1730" s="36" t="str">
        <f>IF(Order!$C$361="","",Order!$C$361)</f>
        <v/>
      </c>
      <c r="D1730" s="36" t="str">
        <f>IF($C1730="","",_xlfn.XLOOKUP($C1730,Order!$C:$C,Order!$D:$D,"",0,1))</f>
        <v/>
      </c>
      <c r="E1730" s="4" t="str">
        <f>IF($C1730="","",_xlfn.XLOOKUP($C1730,Order!$C:$C,Order!$E:$E,"",0,1))</f>
        <v/>
      </c>
      <c r="F1730" s="4" t="str">
        <f>IF($C1730="","",_xlfn.XLOOKUP($C1730,Order!$C:$C,Order!$F:$F,"",0,1))</f>
        <v/>
      </c>
      <c r="G1730" s="4" t="str">
        <f>IF($C1730="","",_xlfn.XLOOKUP($C1730,Order!$C:$C,Order!$G:$G,"",0,1))</f>
        <v/>
      </c>
      <c r="H1730" s="4" t="str">
        <f>IF($C1730="","",_xlfn.XLOOKUP($C1730,Order!$C:$C,Order!$H:$H,"",0,1))</f>
        <v/>
      </c>
      <c r="I1730" s="36" t="str">
        <f>IF($C1730="","",_xlfn.XLOOKUP($C1730,Order!$C:$C,Order!$M:$M,"",0,1))</f>
        <v/>
      </c>
      <c r="J1730" s="4" t="str">
        <f>IF(C1730="","",Order!$M$16)</f>
        <v/>
      </c>
      <c r="K1730" s="36" t="str">
        <f>IF($C1730="","",_xlfn.XLOOKUP($C1730,Order!$C:$C,Order!$P:$P,"",0,1))</f>
        <v/>
      </c>
      <c r="L1730" s="4" t="str">
        <f t="shared" si="26"/>
        <v/>
      </c>
    </row>
    <row r="1731" spans="2:12" s="1" customFormat="1" ht="23.25" hidden="1" customHeight="1" x14ac:dyDescent="0.25">
      <c r="B1731" s="4">
        <v>1726</v>
      </c>
      <c r="C1731" s="36" t="str">
        <f>IF(Order!$C$17="","",Order!$C$17)</f>
        <v>BC 1/2X1/8 (Flat bar 1/2 X 1/8" )</v>
      </c>
      <c r="D1731" s="36" t="str">
        <f>IF($C1731="","",_xlfn.XLOOKUP($C1731,Order!$C:$C,Order!$D:$D,"",0,1))</f>
        <v>BC1/2X1/8</v>
      </c>
      <c r="E1731" s="4" t="e" vm="249">
        <f>IF($C1731="","",_xlfn.XLOOKUP($C1731,Order!$C:$C,Order!$E:$E,"",0,1))</f>
        <v>#VALUE!</v>
      </c>
      <c r="F1731" s="4">
        <f>IF($C1731="","",_xlfn.XLOOKUP($C1731,Order!$C:$C,Order!$F:$F,"",0,1))</f>
        <v>6000</v>
      </c>
      <c r="G1731" s="4" t="str">
        <f>IF($C1731="","",_xlfn.XLOOKUP($C1731,Order!$C:$C,Order!$G:$G,"",0,1))</f>
        <v>6063T5</v>
      </c>
      <c r="H1731" s="4">
        <f>IF($C1731="","",_xlfn.XLOOKUP($C1731,Order!$C:$C,Order!$H:$H,"",0,1))</f>
        <v>0.11</v>
      </c>
      <c r="I1731" s="36">
        <f>IF($C1731="","",_xlfn.XLOOKUP($C1731,Order!$C:$C,Order!$N:$N,"",0,1))</f>
        <v>0</v>
      </c>
      <c r="J1731" s="4" t="str">
        <f>IF(C1731="","",Order!$N$16)</f>
        <v>ELECT. CHAMPAGNE (FAYH02)</v>
      </c>
      <c r="K1731" s="36">
        <f>IF($C1731="","",_xlfn.XLOOKUP($C1731,Order!$C:$C,Order!$P:$P,"",0,1))</f>
        <v>0</v>
      </c>
      <c r="L1731" s="4">
        <f t="shared" si="26"/>
        <v>0</v>
      </c>
    </row>
    <row r="1732" spans="2:12" s="1" customFormat="1" ht="23.25" hidden="1" customHeight="1" x14ac:dyDescent="0.25">
      <c r="B1732" s="4">
        <v>1727</v>
      </c>
      <c r="C1732" s="36" t="str">
        <f>IF(Order!$C$18="","",Order!$C$18)</f>
        <v>BC 1X1/8 (Flat bar 1 X 1/8")</v>
      </c>
      <c r="D1732" s="36" t="str">
        <f>IF($C1732="","",_xlfn.XLOOKUP($C1732,Order!$C:$C,Order!$D:$D,"",0,1))</f>
        <v>BC1X1/8</v>
      </c>
      <c r="E1732" s="4" t="e" vm="250">
        <f>IF($C1732="","",_xlfn.XLOOKUP($C1732,Order!$C:$C,Order!$E:$E,"",0,1))</f>
        <v>#VALUE!</v>
      </c>
      <c r="F1732" s="4">
        <f>IF($C1732="","",_xlfn.XLOOKUP($C1732,Order!$C:$C,Order!$F:$F,"",0,1))</f>
        <v>6000</v>
      </c>
      <c r="G1732" s="4" t="str">
        <f>IF($C1732="","",_xlfn.XLOOKUP($C1732,Order!$C:$C,Order!$G:$G,"",0,1))</f>
        <v>6063T5</v>
      </c>
      <c r="H1732" s="4">
        <f>IF($C1732="","",_xlfn.XLOOKUP($C1732,Order!$C:$C,Order!$H:$H,"",0,1))</f>
        <v>0.221</v>
      </c>
      <c r="I1732" s="36">
        <f>IF($C1732="","",_xlfn.XLOOKUP($C1732,Order!$C:$C,Order!$N:$N,"",0,1))</f>
        <v>0</v>
      </c>
      <c r="J1732" s="4" t="str">
        <f>IF(C1732="","",Order!$N$16)</f>
        <v>ELECT. CHAMPAGNE (FAYH02)</v>
      </c>
      <c r="K1732" s="36">
        <f>IF($C1732="","",_xlfn.XLOOKUP($C1732,Order!$C:$C,Order!$P:$P,"",0,1))</f>
        <v>0</v>
      </c>
      <c r="L1732" s="4">
        <f t="shared" si="26"/>
        <v>0</v>
      </c>
    </row>
    <row r="1733" spans="2:12" ht="23.25" hidden="1" customHeight="1" x14ac:dyDescent="0.25">
      <c r="B1733" s="4">
        <v>1728</v>
      </c>
      <c r="C1733" s="36" t="str">
        <f>IF(Order!$C$19="","",Order!$C$19)</f>
        <v>TR3/8 (Round tube 3/8" with 0.80 mm tickness)</v>
      </c>
      <c r="D1733" s="36" t="str">
        <f>IF($C1733="","",_xlfn.XLOOKUP($C1733,Order!$C:$C,Order!$D:$D,"",0,1))</f>
        <v>TR3/8</v>
      </c>
      <c r="E1733" s="4" t="e" vm="251">
        <f>IF($C1733="","",_xlfn.XLOOKUP($C1733,Order!$C:$C,Order!$E:$E,"",0,1))</f>
        <v>#VALUE!</v>
      </c>
      <c r="F1733" s="4">
        <f>IF($C1733="","",_xlfn.XLOOKUP($C1733,Order!$C:$C,Order!$F:$F,"",0,1))</f>
        <v>6000</v>
      </c>
      <c r="G1733" s="4" t="str">
        <f>IF($C1733="","",_xlfn.XLOOKUP($C1733,Order!$C:$C,Order!$G:$G,"",0,1))</f>
        <v>6063T5</v>
      </c>
      <c r="H1733" s="4">
        <f>IF($C1733="","",_xlfn.XLOOKUP($C1733,Order!$C:$C,Order!$H:$H,"",0,1))</f>
        <v>0.06</v>
      </c>
      <c r="I1733" s="36">
        <f>IF($C1733="","",_xlfn.XLOOKUP($C1733,Order!$C:$C,Order!$N:$N,"",0,1))</f>
        <v>0</v>
      </c>
      <c r="J1733" s="4" t="str">
        <f>IF(C1733="","",Order!$N$16)</f>
        <v>ELECT. CHAMPAGNE (FAYH02)</v>
      </c>
      <c r="K1733" s="36">
        <f>IF($C1733="","",_xlfn.XLOOKUP($C1733,Order!$C:$C,Order!$P:$P,"",0,1))</f>
        <v>0</v>
      </c>
      <c r="L1733" s="4">
        <f t="shared" si="26"/>
        <v>0</v>
      </c>
    </row>
    <row r="1734" spans="2:12" ht="23.25" hidden="1" customHeight="1" x14ac:dyDescent="0.25">
      <c r="B1734" s="4">
        <v>1729</v>
      </c>
      <c r="C1734" s="36" t="str">
        <f>IF(Order!$C$20="","",Order!$C$20)</f>
        <v>TR1/2 (Round tube 1/2 with 0.90 mm tickness)</v>
      </c>
      <c r="D1734" s="36" t="str">
        <f>IF($C1734="","",_xlfn.XLOOKUP($C1734,Order!$C:$C,Order!$D:$D,"",0,1))</f>
        <v>TR12</v>
      </c>
      <c r="E1734" s="4" t="e" vm="251">
        <f>IF($C1734="","",_xlfn.XLOOKUP($C1734,Order!$C:$C,Order!$E:$E,"",0,1))</f>
        <v>#VALUE!</v>
      </c>
      <c r="F1734" s="4">
        <f>IF($C1734="","",_xlfn.XLOOKUP($C1734,Order!$C:$C,Order!$F:$F,"",0,1))</f>
        <v>6000</v>
      </c>
      <c r="G1734" s="4" t="str">
        <f>IF($C1734="","",_xlfn.XLOOKUP($C1734,Order!$C:$C,Order!$G:$G,"",0,1))</f>
        <v>6063T5</v>
      </c>
      <c r="H1734" s="4">
        <f>IF($C1734="","",_xlfn.XLOOKUP($C1734,Order!$C:$C,Order!$H:$H,"",0,1))</f>
        <v>9.0999999999999998E-2</v>
      </c>
      <c r="I1734" s="36">
        <f>IF($C1734="","",_xlfn.XLOOKUP($C1734,Order!$C:$C,Order!$N:$N,"",0,1))</f>
        <v>0</v>
      </c>
      <c r="J1734" s="4" t="str">
        <f>IF(C1734="","",Order!$N$16)</f>
        <v>ELECT. CHAMPAGNE (FAYH02)</v>
      </c>
      <c r="K1734" s="36">
        <f>IF($C1734="","",_xlfn.XLOOKUP($C1734,Order!$C:$C,Order!$P:$P,"",0,1))</f>
        <v>0</v>
      </c>
      <c r="L1734" s="4">
        <f t="shared" si="26"/>
        <v>0</v>
      </c>
    </row>
    <row r="1735" spans="2:12" ht="23.25" hidden="1" customHeight="1" x14ac:dyDescent="0.25">
      <c r="B1735" s="4">
        <v>1730</v>
      </c>
      <c r="C1735" s="36" t="str">
        <f>IF(Order!$C$21="","",Order!$C$21)</f>
        <v>TR 5/8 (Round tube 5/8" with 0.80 mm thickness)</v>
      </c>
      <c r="D1735" s="36" t="str">
        <f>IF($C1735="","",_xlfn.XLOOKUP($C1735,Order!$C:$C,Order!$D:$D,"",0,1))</f>
        <v>TR58</v>
      </c>
      <c r="E1735" s="4" t="e" vm="251">
        <f>IF($C1735="","",_xlfn.XLOOKUP($C1735,Order!$C:$C,Order!$E:$E,"",0,1))</f>
        <v>#VALUE!</v>
      </c>
      <c r="F1735" s="4">
        <f>IF($C1735="","",_xlfn.XLOOKUP($C1735,Order!$C:$C,Order!$F:$F,"",0,1))</f>
        <v>6000</v>
      </c>
      <c r="G1735" s="4" t="str">
        <f>IF($C1735="","",_xlfn.XLOOKUP($C1735,Order!$C:$C,Order!$G:$G,"",0,1))</f>
        <v>6063T5</v>
      </c>
      <c r="H1735" s="4">
        <f>IF($C1735="","",_xlfn.XLOOKUP($C1735,Order!$C:$C,Order!$H:$H,"",0,1))</f>
        <v>0.10299999999999999</v>
      </c>
      <c r="I1735" s="36">
        <f>IF($C1735="","",_xlfn.XLOOKUP($C1735,Order!$C:$C,Order!$N:$N,"",0,1))</f>
        <v>0</v>
      </c>
      <c r="J1735" s="4" t="str">
        <f>IF(C1735="","",Order!$N$16)</f>
        <v>ELECT. CHAMPAGNE (FAYH02)</v>
      </c>
      <c r="K1735" s="36">
        <f>IF($C1735="","",_xlfn.XLOOKUP($C1735,Order!$C:$C,Order!$P:$P,"",0,1))</f>
        <v>0</v>
      </c>
      <c r="L1735" s="4">
        <f t="shared" ref="L1735:L1798" si="27">IF(C1735="","",F1735/1000*H1735*I1735)</f>
        <v>0</v>
      </c>
    </row>
    <row r="1736" spans="2:12" ht="23.25" hidden="1" customHeight="1" x14ac:dyDescent="0.25">
      <c r="B1736" s="4">
        <v>1731</v>
      </c>
      <c r="C1736" s="36" t="str">
        <f>IF(Order!$C$22="","",Order!$C$22)</f>
        <v>TR3/4A (Round tube 3/4" with 0.80 mm thickness)</v>
      </c>
      <c r="D1736" s="36" t="str">
        <f>IF($C1736="","",_xlfn.XLOOKUP($C1736,Order!$C:$C,Order!$D:$D,"",0,1))</f>
        <v>TR34A</v>
      </c>
      <c r="E1736" s="4" t="e" vm="251">
        <f>IF($C1736="","",_xlfn.XLOOKUP($C1736,Order!$C:$C,Order!$E:$E,"",0,1))</f>
        <v>#VALUE!</v>
      </c>
      <c r="F1736" s="4">
        <f>IF($C1736="","",_xlfn.XLOOKUP($C1736,Order!$C:$C,Order!$F:$F,"",0,1))</f>
        <v>6000</v>
      </c>
      <c r="G1736" s="4" t="str">
        <f>IF($C1736="","",_xlfn.XLOOKUP($C1736,Order!$C:$C,Order!$G:$G,"",0,1))</f>
        <v>6063T5</v>
      </c>
      <c r="H1736" s="4">
        <f>IF($C1736="","",_xlfn.XLOOKUP($C1736,Order!$C:$C,Order!$H:$H,"",0,1))</f>
        <v>0.125</v>
      </c>
      <c r="I1736" s="36">
        <f>IF($C1736="","",_xlfn.XLOOKUP($C1736,Order!$C:$C,Order!$N:$N,"",0,1))</f>
        <v>0</v>
      </c>
      <c r="J1736" s="4" t="str">
        <f>IF(C1736="","",Order!$N$16)</f>
        <v>ELECT. CHAMPAGNE (FAYH02)</v>
      </c>
      <c r="K1736" s="36">
        <f>IF($C1736="","",_xlfn.XLOOKUP($C1736,Order!$C:$C,Order!$P:$P,"",0,1))</f>
        <v>0</v>
      </c>
      <c r="L1736" s="4">
        <f t="shared" si="27"/>
        <v>0</v>
      </c>
    </row>
    <row r="1737" spans="2:12" ht="23.25" hidden="1" customHeight="1" x14ac:dyDescent="0.25">
      <c r="B1737" s="4">
        <v>1732</v>
      </c>
      <c r="C1737" s="36" t="str">
        <f>IF(Order!$C$23="","",Order!$C$23)</f>
        <v>TR7/8 (Round tube 7/8" with 0.90 mm thickness)</v>
      </c>
      <c r="D1737" s="36" t="str">
        <f>IF($C1737="","",_xlfn.XLOOKUP($C1737,Order!$C:$C,Order!$D:$D,"",0,1))</f>
        <v>TR7/8</v>
      </c>
      <c r="E1737" s="4" t="e" vm="251">
        <f>IF($C1737="","",_xlfn.XLOOKUP($C1737,Order!$C:$C,Order!$E:$E,"",0,1))</f>
        <v>#VALUE!</v>
      </c>
      <c r="F1737" s="4">
        <f>IF($C1737="","",_xlfn.XLOOKUP($C1737,Order!$C:$C,Order!$F:$F,"",0,1))</f>
        <v>6000</v>
      </c>
      <c r="G1737" s="4" t="str">
        <f>IF($C1737="","",_xlfn.XLOOKUP($C1737,Order!$C:$C,Order!$G:$G,"",0,1))</f>
        <v>6063T5</v>
      </c>
      <c r="H1737" s="4">
        <f>IF($C1737="","",_xlfn.XLOOKUP($C1737,Order!$C:$C,Order!$H:$H,"",0,1))</f>
        <v>0.16400000000000001</v>
      </c>
      <c r="I1737" s="36">
        <f>IF($C1737="","",_xlfn.XLOOKUP($C1737,Order!$C:$C,Order!$N:$N,"",0,1))</f>
        <v>0</v>
      </c>
      <c r="J1737" s="4" t="str">
        <f>IF(C1737="","",Order!$N$16)</f>
        <v>ELECT. CHAMPAGNE (FAYH02)</v>
      </c>
      <c r="K1737" s="36">
        <f>IF($C1737="","",_xlfn.XLOOKUP($C1737,Order!$C:$C,Order!$P:$P,"",0,1))</f>
        <v>0</v>
      </c>
      <c r="L1737" s="4">
        <f t="shared" si="27"/>
        <v>0</v>
      </c>
    </row>
    <row r="1738" spans="2:12" ht="23.25" hidden="1" customHeight="1" x14ac:dyDescent="0.25">
      <c r="B1738" s="4">
        <v>1733</v>
      </c>
      <c r="C1738" s="36" t="str">
        <f>IF(Order!$C$24="","",Order!$C$24)</f>
        <v>TR24.8 (Round tube 24.8 mm with 0.90 mm thickness)</v>
      </c>
      <c r="D1738" s="36" t="str">
        <f>IF($C1738="","",_xlfn.XLOOKUP($C1738,Order!$C:$C,Order!$D:$D,"",0,1))</f>
        <v>TR24.8</v>
      </c>
      <c r="E1738" s="4" t="e" vm="251">
        <f>IF($C1738="","",_xlfn.XLOOKUP($C1738,Order!$C:$C,Order!$E:$E,"",0,1))</f>
        <v>#VALUE!</v>
      </c>
      <c r="F1738" s="4">
        <f>IF($C1738="","",_xlfn.XLOOKUP($C1738,Order!$C:$C,Order!$F:$F,"",0,1))</f>
        <v>6000</v>
      </c>
      <c r="G1738" s="4" t="str">
        <f>IF($C1738="","",_xlfn.XLOOKUP($C1738,Order!$C:$C,Order!$G:$G,"",0,1))</f>
        <v>6063T5</v>
      </c>
      <c r="H1738" s="4">
        <f>IF($C1738="","",_xlfn.XLOOKUP($C1738,Order!$C:$C,Order!$H:$H,"",0,1))</f>
        <v>0</v>
      </c>
      <c r="I1738" s="36">
        <f>IF($C1738="","",_xlfn.XLOOKUP($C1738,Order!$C:$C,Order!$N:$N,"",0,1))</f>
        <v>0</v>
      </c>
      <c r="J1738" s="4" t="str">
        <f>IF(C1738="","",Order!$N$16)</f>
        <v>ELECT. CHAMPAGNE (FAYH02)</v>
      </c>
      <c r="K1738" s="36">
        <f>IF($C1738="","",_xlfn.XLOOKUP($C1738,Order!$C:$C,Order!$P:$P,"",0,1))</f>
        <v>0</v>
      </c>
      <c r="L1738" s="4">
        <f t="shared" si="27"/>
        <v>0</v>
      </c>
    </row>
    <row r="1739" spans="2:12" ht="23.25" hidden="1" customHeight="1" x14ac:dyDescent="0.25">
      <c r="B1739" s="4">
        <v>1734</v>
      </c>
      <c r="C1739" s="36" t="str">
        <f>IF(Order!$C$25="","",Order!$C$25)</f>
        <v>TR1 (Round tube 1" with 0.80 mm thickness)</v>
      </c>
      <c r="D1739" s="36" t="str">
        <f>IF($C1739="","",_xlfn.XLOOKUP($C1739,Order!$C:$C,Order!$D:$D,"",0,1))</f>
        <v>TR1</v>
      </c>
      <c r="E1739" s="4" t="e" vm="251">
        <f>IF($C1739="","",_xlfn.XLOOKUP($C1739,Order!$C:$C,Order!$E:$E,"",0,1))</f>
        <v>#VALUE!</v>
      </c>
      <c r="F1739" s="4">
        <f>IF($C1739="","",_xlfn.XLOOKUP($C1739,Order!$C:$C,Order!$F:$F,"",0,1))</f>
        <v>6000</v>
      </c>
      <c r="G1739" s="4" t="str">
        <f>IF($C1739="","",_xlfn.XLOOKUP($C1739,Order!$C:$C,Order!$G:$G,"",0,1))</f>
        <v>6063T5</v>
      </c>
      <c r="H1739" s="4">
        <f>IF($C1739="","",_xlfn.XLOOKUP($C1739,Order!$C:$C,Order!$H:$H,"",0,1))</f>
        <v>0.16900000000000001</v>
      </c>
      <c r="I1739" s="36">
        <f>IF($C1739="","",_xlfn.XLOOKUP($C1739,Order!$C:$C,Order!$N:$N,"",0,1))</f>
        <v>0</v>
      </c>
      <c r="J1739" s="4" t="str">
        <f>IF(C1739="","",Order!$N$16)</f>
        <v>ELECT. CHAMPAGNE (FAYH02)</v>
      </c>
      <c r="K1739" s="36">
        <f>IF($C1739="","",_xlfn.XLOOKUP($C1739,Order!$C:$C,Order!$P:$P,"",0,1))</f>
        <v>0</v>
      </c>
      <c r="L1739" s="4">
        <f t="shared" si="27"/>
        <v>0</v>
      </c>
    </row>
    <row r="1740" spans="2:12" ht="23.25" hidden="1" customHeight="1" x14ac:dyDescent="0.25">
      <c r="B1740" s="4">
        <v>1735</v>
      </c>
      <c r="C1740" s="36" t="str">
        <f>IF(Order!$C$26="","",Order!$C$26)</f>
        <v>TR1x1.0 (Round tube 1" with 1.00 mm thickness)</v>
      </c>
      <c r="D1740" s="36" t="str">
        <f>IF($C1740="","",_xlfn.XLOOKUP($C1740,Order!$C:$C,Order!$D:$D,"",0,1))</f>
        <v>TR1X1.0</v>
      </c>
      <c r="E1740" s="4" t="e" vm="251">
        <f>IF($C1740="","",_xlfn.XLOOKUP($C1740,Order!$C:$C,Order!$E:$E,"",0,1))</f>
        <v>#VALUE!</v>
      </c>
      <c r="F1740" s="4">
        <f>IF($C1740="","",_xlfn.XLOOKUP($C1740,Order!$C:$C,Order!$F:$F,"",0,1))</f>
        <v>6000</v>
      </c>
      <c r="G1740" s="4" t="str">
        <f>IF($C1740="","",_xlfn.XLOOKUP($C1740,Order!$C:$C,Order!$G:$G,"",0,1))</f>
        <v>6063T5</v>
      </c>
      <c r="H1740" s="4">
        <f>IF($C1740="","",_xlfn.XLOOKUP($C1740,Order!$C:$C,Order!$H:$H,"",0,1))</f>
        <v>0</v>
      </c>
      <c r="I1740" s="36">
        <f>IF($C1740="","",_xlfn.XLOOKUP($C1740,Order!$C:$C,Order!$N:$N,"",0,1))</f>
        <v>0</v>
      </c>
      <c r="J1740" s="4" t="str">
        <f>IF(C1740="","",Order!$N$16)</f>
        <v>ELECT. CHAMPAGNE (FAYH02)</v>
      </c>
      <c r="K1740" s="36">
        <f>IF($C1740="","",_xlfn.XLOOKUP($C1740,Order!$C:$C,Order!$P:$P,"",0,1))</f>
        <v>0</v>
      </c>
      <c r="L1740" s="4">
        <f t="shared" si="27"/>
        <v>0</v>
      </c>
    </row>
    <row r="1741" spans="2:12" ht="23.25" hidden="1" customHeight="1" x14ac:dyDescent="0.25">
      <c r="B1741" s="4">
        <v>1736</v>
      </c>
      <c r="C1741" s="36" t="str">
        <f>IF(Order!$C$27="","",Order!$C$27)</f>
        <v>TR1.1/4 (Round tube  1.1/4" with 1.00 mm thickness)</v>
      </c>
      <c r="D1741" s="36" t="str">
        <f>IF($C1741="","",_xlfn.XLOOKUP($C1741,Order!$C:$C,Order!$D:$D,"",0,1))</f>
        <v>TR1.1-4</v>
      </c>
      <c r="E1741" s="4" t="e" vm="251">
        <f>IF($C1741="","",_xlfn.XLOOKUP($C1741,Order!$C:$C,Order!$E:$E,"",0,1))</f>
        <v>#VALUE!</v>
      </c>
      <c r="F1741" s="4">
        <f>IF($C1741="","",_xlfn.XLOOKUP($C1741,Order!$C:$C,Order!$F:$F,"",0,1))</f>
        <v>6000</v>
      </c>
      <c r="G1741" s="4" t="str">
        <f>IF($C1741="","",_xlfn.XLOOKUP($C1741,Order!$C:$C,Order!$G:$G,"",0,1))</f>
        <v>6063T5</v>
      </c>
      <c r="H1741" s="4">
        <f>IF($C1741="","",_xlfn.XLOOKUP($C1741,Order!$C:$C,Order!$H:$H,"",0,1))</f>
        <v>0.26400000000000001</v>
      </c>
      <c r="I1741" s="36">
        <f>IF($C1741="","",_xlfn.XLOOKUP($C1741,Order!$C:$C,Order!$N:$N,"",0,1))</f>
        <v>0</v>
      </c>
      <c r="J1741" s="4" t="str">
        <f>IF(C1741="","",Order!$N$16)</f>
        <v>ELECT. CHAMPAGNE (FAYH02)</v>
      </c>
      <c r="K1741" s="36">
        <f>IF($C1741="","",_xlfn.XLOOKUP($C1741,Order!$C:$C,Order!$P:$P,"",0,1))</f>
        <v>0</v>
      </c>
      <c r="L1741" s="4">
        <f t="shared" si="27"/>
        <v>0</v>
      </c>
    </row>
    <row r="1742" spans="2:12" ht="23.25" hidden="1" customHeight="1" x14ac:dyDescent="0.25">
      <c r="B1742" s="4">
        <v>1737</v>
      </c>
      <c r="C1742" s="36" t="str">
        <f>IF(Order!$C$28="","",Order!$C$28)</f>
        <v>TR1.1/2 (Round tube  1.1/2" with 1.00 mmthickness)</v>
      </c>
      <c r="D1742" s="36" t="str">
        <f>IF($C1742="","",_xlfn.XLOOKUP($C1742,Order!$C:$C,Order!$D:$D,"",0,1))</f>
        <v>TR1.1/2</v>
      </c>
      <c r="E1742" s="4" t="e" vm="251">
        <f>IF($C1742="","",_xlfn.XLOOKUP($C1742,Order!$C:$C,Order!$E:$E,"",0,1))</f>
        <v>#VALUE!</v>
      </c>
      <c r="F1742" s="4">
        <f>IF($C1742="","",_xlfn.XLOOKUP($C1742,Order!$C:$C,Order!$F:$F,"",0,1))</f>
        <v>6000</v>
      </c>
      <c r="G1742" s="4" t="str">
        <f>IF($C1742="","",_xlfn.XLOOKUP($C1742,Order!$C:$C,Order!$G:$G,"",0,1))</f>
        <v>6063T5</v>
      </c>
      <c r="H1742" s="4">
        <f>IF($C1742="","",_xlfn.XLOOKUP($C1742,Order!$C:$C,Order!$H:$H,"",0,1))</f>
        <v>0.318</v>
      </c>
      <c r="I1742" s="36">
        <f>IF($C1742="","",_xlfn.XLOOKUP($C1742,Order!$C:$C,Order!$N:$N,"",0,1))</f>
        <v>0</v>
      </c>
      <c r="J1742" s="4" t="str">
        <f>IF(C1742="","",Order!$N$16)</f>
        <v>ELECT. CHAMPAGNE (FAYH02)</v>
      </c>
      <c r="K1742" s="36">
        <f>IF($C1742="","",_xlfn.XLOOKUP($C1742,Order!$C:$C,Order!$P:$P,"",0,1))</f>
        <v>0</v>
      </c>
      <c r="L1742" s="4">
        <f t="shared" si="27"/>
        <v>0</v>
      </c>
    </row>
    <row r="1743" spans="2:12" ht="23.25" hidden="1" customHeight="1" x14ac:dyDescent="0.25">
      <c r="B1743" s="4">
        <v>1738</v>
      </c>
      <c r="C1743" s="36" t="str">
        <f>IF(Order!$C$29="","",Order!$C$29)</f>
        <v>TR2A (Round tube 2" with 0.95 mm thickness)</v>
      </c>
      <c r="D1743" s="36" t="str">
        <f>IF($C1743="","",_xlfn.XLOOKUP($C1743,Order!$C:$C,Order!$D:$D,"",0,1))</f>
        <v>TR2A</v>
      </c>
      <c r="E1743" s="4" t="e" vm="251">
        <f>IF($C1743="","",_xlfn.XLOOKUP($C1743,Order!$C:$C,Order!$E:$E,"",0,1))</f>
        <v>#VALUE!</v>
      </c>
      <c r="F1743" s="4">
        <f>IF($C1743="","",_xlfn.XLOOKUP($C1743,Order!$C:$C,Order!$F:$F,"",0,1))</f>
        <v>6000</v>
      </c>
      <c r="G1743" s="4" t="str">
        <f>IF($C1743="","",_xlfn.XLOOKUP($C1743,Order!$C:$C,Order!$G:$G,"",0,1))</f>
        <v>6063T5</v>
      </c>
      <c r="H1743" s="4">
        <f>IF($C1743="","",_xlfn.XLOOKUP($C1743,Order!$C:$C,Order!$H:$H,"",0,1))</f>
        <v>0.40600000000000003</v>
      </c>
      <c r="I1743" s="36">
        <f>IF($C1743="","",_xlfn.XLOOKUP($C1743,Order!$C:$C,Order!$N:$N,"",0,1))</f>
        <v>0</v>
      </c>
      <c r="J1743" s="4" t="str">
        <f>IF(C1743="","",Order!$N$16)</f>
        <v>ELECT. CHAMPAGNE (FAYH02)</v>
      </c>
      <c r="K1743" s="36">
        <f>IF($C1743="","",_xlfn.XLOOKUP($C1743,Order!$C:$C,Order!$P:$P,"",0,1))</f>
        <v>0</v>
      </c>
      <c r="L1743" s="4">
        <f t="shared" si="27"/>
        <v>0</v>
      </c>
    </row>
    <row r="1744" spans="2:12" ht="23.25" hidden="1" customHeight="1" x14ac:dyDescent="0.25">
      <c r="B1744" s="4">
        <v>1739</v>
      </c>
      <c r="C1744" s="36" t="str">
        <f>IF(Order!$C$30="","",Order!$C$30)</f>
        <v>TR3 (Round tube 3" with 1.27 mm thickness)</v>
      </c>
      <c r="D1744" s="36" t="str">
        <f>IF($C1744="","",_xlfn.XLOOKUP($C1744,Order!$C:$C,Order!$D:$D,"",0,1))</f>
        <v>TR3</v>
      </c>
      <c r="E1744" s="4" t="e" vm="251">
        <f>IF($C1744="","",_xlfn.XLOOKUP($C1744,Order!$C:$C,Order!$E:$E,"",0,1))</f>
        <v>#VALUE!</v>
      </c>
      <c r="F1744" s="4">
        <f>IF($C1744="","",_xlfn.XLOOKUP($C1744,Order!$C:$C,Order!$F:$F,"",0,1))</f>
        <v>6000</v>
      </c>
      <c r="G1744" s="4" t="str">
        <f>IF($C1744="","",_xlfn.XLOOKUP($C1744,Order!$C:$C,Order!$G:$G,"",0,1))</f>
        <v>6063T5</v>
      </c>
      <c r="H1744" s="4">
        <f>IF($C1744="","",_xlfn.XLOOKUP($C1744,Order!$C:$C,Order!$H:$H,"",0,1))</f>
        <v>0.81599999999999995</v>
      </c>
      <c r="I1744" s="36">
        <f>IF($C1744="","",_xlfn.XLOOKUP($C1744,Order!$C:$C,Order!$N:$N,"",0,1))</f>
        <v>0</v>
      </c>
      <c r="J1744" s="4" t="str">
        <f>IF(C1744="","",Order!$N$16)</f>
        <v>ELECT. CHAMPAGNE (FAYH02)</v>
      </c>
      <c r="K1744" s="36">
        <f>IF($C1744="","",_xlfn.XLOOKUP($C1744,Order!$C:$C,Order!$P:$P,"",0,1))</f>
        <v>0</v>
      </c>
      <c r="L1744" s="4">
        <f t="shared" si="27"/>
        <v>0</v>
      </c>
    </row>
    <row r="1745" spans="2:12" ht="23.25" hidden="1" customHeight="1" x14ac:dyDescent="0.25">
      <c r="B1745" s="4">
        <v>1740</v>
      </c>
      <c r="C1745" s="36" t="str">
        <f>IF(Order!$C$31="","",Order!$C$31)</f>
        <v/>
      </c>
      <c r="D1745" s="36" t="str">
        <f>IF($C1745="","",_xlfn.XLOOKUP($C1745,Order!$C:$C,Order!$D:$D,"",0,1))</f>
        <v/>
      </c>
      <c r="E1745" s="4" t="str">
        <f>IF($C1745="","",_xlfn.XLOOKUP($C1745,Order!$C:$C,Order!$E:$E,"",0,1))</f>
        <v/>
      </c>
      <c r="F1745" s="4" t="str">
        <f>IF($C1745="","",_xlfn.XLOOKUP($C1745,Order!$C:$C,Order!$F:$F,"",0,1))</f>
        <v/>
      </c>
      <c r="G1745" s="4" t="str">
        <f>IF($C1745="","",_xlfn.XLOOKUP($C1745,Order!$C:$C,Order!$G:$G,"",0,1))</f>
        <v/>
      </c>
      <c r="H1745" s="4" t="str">
        <f>IF($C1745="","",_xlfn.XLOOKUP($C1745,Order!$C:$C,Order!$H:$H,"",0,1))</f>
        <v/>
      </c>
      <c r="I1745" s="36" t="str">
        <f>IF($C1745="","",_xlfn.XLOOKUP($C1745,Order!$C:$C,Order!$N:$N,"",0,1))</f>
        <v/>
      </c>
      <c r="J1745" s="4" t="str">
        <f>IF(C1745="","",Order!$N$16)</f>
        <v/>
      </c>
      <c r="K1745" s="36" t="str">
        <f>IF($C1745="","",_xlfn.XLOOKUP($C1745,Order!$C:$C,Order!$P:$P,"",0,1))</f>
        <v/>
      </c>
      <c r="L1745" s="4" t="str">
        <f t="shared" si="27"/>
        <v/>
      </c>
    </row>
    <row r="1746" spans="2:12" ht="23.25" hidden="1" customHeight="1" x14ac:dyDescent="0.25">
      <c r="B1746" s="4">
        <v>1741</v>
      </c>
      <c r="C1746" s="36" t="str">
        <f>IF(Order!$C$32="","",Order!$C$32)</f>
        <v>TQ3/4 (Square tube 3/4 with 0.90 mm thickness)</v>
      </c>
      <c r="D1746" s="36" t="str">
        <f>IF($C1746="","",_xlfn.XLOOKUP($C1746,Order!$C:$C,Order!$D:$D,"",0,1))</f>
        <v>TQ34</v>
      </c>
      <c r="E1746" s="4" t="e" vm="252">
        <f>IF($C1746="","",_xlfn.XLOOKUP($C1746,Order!$C:$C,Order!$E:$E,"",0,1))</f>
        <v>#VALUE!</v>
      </c>
      <c r="F1746" s="4">
        <f>IF($C1746="","",_xlfn.XLOOKUP($C1746,Order!$C:$C,Order!$F:$F,"",0,1))</f>
        <v>6000</v>
      </c>
      <c r="G1746" s="4" t="str">
        <f>IF($C1746="","",_xlfn.XLOOKUP($C1746,Order!$C:$C,Order!$G:$G,"",0,1))</f>
        <v>6063T5</v>
      </c>
      <c r="H1746" s="4">
        <f>IF($C1746="","",_xlfn.XLOOKUP($C1746,Order!$C:$C,Order!$H:$H,"",0,1))</f>
        <v>0.17799999999999999</v>
      </c>
      <c r="I1746" s="36">
        <f>IF($C1746="","",_xlfn.XLOOKUP($C1746,Order!$C:$C,Order!$N:$N,"",0,1))</f>
        <v>0</v>
      </c>
      <c r="J1746" s="4" t="str">
        <f>IF(C1746="","",Order!$N$16)</f>
        <v>ELECT. CHAMPAGNE (FAYH02)</v>
      </c>
      <c r="K1746" s="36">
        <f>IF($C1746="","",_xlfn.XLOOKUP($C1746,Order!$C:$C,Order!$P:$P,"",0,1))</f>
        <v>0</v>
      </c>
      <c r="L1746" s="4">
        <f t="shared" si="27"/>
        <v>0</v>
      </c>
    </row>
    <row r="1747" spans="2:12" ht="23.25" hidden="1" customHeight="1" x14ac:dyDescent="0.25">
      <c r="B1747" s="4">
        <v>1742</v>
      </c>
      <c r="C1747" s="36" t="str">
        <f>IF(Order!$C$33="","",Order!$C$33)</f>
        <v>TQ1 (Squar tube 1" with 0.80 mm thickness)</v>
      </c>
      <c r="D1747" s="36" t="str">
        <f>IF($C1747="","",_xlfn.XLOOKUP($C1747,Order!$C:$C,Order!$D:$D,"",0,1))</f>
        <v>TQ1</v>
      </c>
      <c r="E1747" s="4" t="e" vm="252">
        <f>IF($C1747="","",_xlfn.XLOOKUP($C1747,Order!$C:$C,Order!$E:$E,"",0,1))</f>
        <v>#VALUE!</v>
      </c>
      <c r="F1747" s="4">
        <f>IF($C1747="","",_xlfn.XLOOKUP($C1747,Order!$C:$C,Order!$F:$F,"",0,1))</f>
        <v>6000</v>
      </c>
      <c r="G1747" s="4" t="str">
        <f>IF($C1747="","",_xlfn.XLOOKUP($C1747,Order!$C:$C,Order!$G:$G,"",0,1))</f>
        <v>6063T5</v>
      </c>
      <c r="H1747" s="4">
        <f>IF($C1747="","",_xlfn.XLOOKUP($C1747,Order!$C:$C,Order!$H:$H,"",0,1))</f>
        <v>0.215</v>
      </c>
      <c r="I1747" s="36">
        <f>IF($C1747="","",_xlfn.XLOOKUP($C1747,Order!$C:$C,Order!$N:$N,"",0,1))</f>
        <v>0</v>
      </c>
      <c r="J1747" s="4" t="str">
        <f>IF(C1747="","",Order!$N$16)</f>
        <v>ELECT. CHAMPAGNE (FAYH02)</v>
      </c>
      <c r="K1747" s="36">
        <f>IF($C1747="","",_xlfn.XLOOKUP($C1747,Order!$C:$C,Order!$P:$P,"",0,1))</f>
        <v>0</v>
      </c>
      <c r="L1747" s="4">
        <f t="shared" si="27"/>
        <v>0</v>
      </c>
    </row>
    <row r="1748" spans="2:12" ht="23.25" hidden="1" customHeight="1" x14ac:dyDescent="0.25">
      <c r="B1748" s="4">
        <v>1743</v>
      </c>
      <c r="C1748" s="36" t="str">
        <f>IF(Order!$C$34="","",Order!$C$34)</f>
        <v>TQ1.1/2A (Square tube 1.1/2" with 0.80 mm thickness)</v>
      </c>
      <c r="D1748" s="36" t="str">
        <f>IF($C1748="","",_xlfn.XLOOKUP($C1748,Order!$C:$C,Order!$D:$D,"",0,1))</f>
        <v>TQ1.12A</v>
      </c>
      <c r="E1748" s="4" t="e" vm="252">
        <f>IF($C1748="","",_xlfn.XLOOKUP($C1748,Order!$C:$C,Order!$E:$E,"",0,1))</f>
        <v>#VALUE!</v>
      </c>
      <c r="F1748" s="4">
        <f>IF($C1748="","",_xlfn.XLOOKUP($C1748,Order!$C:$C,Order!$F:$F,"",0,1))</f>
        <v>6000</v>
      </c>
      <c r="G1748" s="4" t="str">
        <f>IF($C1748="","",_xlfn.XLOOKUP($C1748,Order!$C:$C,Order!$G:$G,"",0,1))</f>
        <v>6063T5</v>
      </c>
      <c r="H1748" s="4">
        <f>IF($C1748="","",_xlfn.XLOOKUP($C1748,Order!$C:$C,Order!$H:$H,"",0,1))</f>
        <v>0.32600000000000001</v>
      </c>
      <c r="I1748" s="36">
        <f>IF($C1748="","",_xlfn.XLOOKUP($C1748,Order!$C:$C,Order!$N:$N,"",0,1))</f>
        <v>0</v>
      </c>
      <c r="J1748" s="4" t="str">
        <f>IF(C1748="","",Order!$N$16)</f>
        <v>ELECT. CHAMPAGNE (FAYH02)</v>
      </c>
      <c r="K1748" s="36">
        <f>IF($C1748="","",_xlfn.XLOOKUP($C1748,Order!$C:$C,Order!$P:$P,"",0,1))</f>
        <v>0</v>
      </c>
      <c r="L1748" s="4">
        <f t="shared" si="27"/>
        <v>0</v>
      </c>
    </row>
    <row r="1749" spans="2:12" ht="23.25" hidden="1" customHeight="1" x14ac:dyDescent="0.25">
      <c r="B1749" s="4">
        <v>1744</v>
      </c>
      <c r="C1749" s="36" t="str">
        <f>IF(Order!$C$35="","",Order!$C$35)</f>
        <v>TQ2L (Square tube 2" with 0.90 mm thickness)</v>
      </c>
      <c r="D1749" s="36" t="str">
        <f>IF($C1749="","",_xlfn.XLOOKUP($C1749,Order!$C:$C,Order!$D:$D,"",0,1))</f>
        <v>TQ2L</v>
      </c>
      <c r="E1749" s="4" t="e" vm="252">
        <f>IF($C1749="","",_xlfn.XLOOKUP($C1749,Order!$C:$C,Order!$E:$E,"",0,1))</f>
        <v>#VALUE!</v>
      </c>
      <c r="F1749" s="4">
        <f>IF($C1749="","",_xlfn.XLOOKUP($C1749,Order!$C:$C,Order!$F:$F,"",0,1))</f>
        <v>6000</v>
      </c>
      <c r="G1749" s="4" t="str">
        <f>IF($C1749="","",_xlfn.XLOOKUP($C1749,Order!$C:$C,Order!$G:$G,"",0,1))</f>
        <v>6063T5</v>
      </c>
      <c r="H1749" s="4">
        <f>IF($C1749="","",_xlfn.XLOOKUP($C1749,Order!$C:$C,Order!$H:$H,"",0,1))</f>
        <v>0.49</v>
      </c>
      <c r="I1749" s="36">
        <f>IF($C1749="","",_xlfn.XLOOKUP($C1749,Order!$C:$C,Order!$N:$N,"",0,1))</f>
        <v>0</v>
      </c>
      <c r="J1749" s="4" t="str">
        <f>IF(C1749="","",Order!$N$16)</f>
        <v>ELECT. CHAMPAGNE (FAYH02)</v>
      </c>
      <c r="K1749" s="36">
        <f>IF($C1749="","",_xlfn.XLOOKUP($C1749,Order!$C:$C,Order!$P:$P,"",0,1))</f>
        <v>0</v>
      </c>
      <c r="L1749" s="4">
        <f t="shared" si="27"/>
        <v>0</v>
      </c>
    </row>
    <row r="1750" spans="2:12" ht="23.25" hidden="1" customHeight="1" x14ac:dyDescent="0.25">
      <c r="B1750" s="4">
        <v>1745</v>
      </c>
      <c r="C1750" s="36" t="str">
        <f>IF(Order!$C$36="","",Order!$C$36)</f>
        <v>TQ2A (Square tube 2" with 0.95 mm thickness)</v>
      </c>
      <c r="D1750" s="36" t="str">
        <f>IF($C1750="","",_xlfn.XLOOKUP($C1750,Order!$C:$C,Order!$D:$D,"",0,1))</f>
        <v>TQ2A</v>
      </c>
      <c r="E1750" s="4" t="e" vm="252">
        <f>IF($C1750="","",_xlfn.XLOOKUP($C1750,Order!$C:$C,Order!$E:$E,"",0,1))</f>
        <v>#VALUE!</v>
      </c>
      <c r="F1750" s="4">
        <f>IF($C1750="","",_xlfn.XLOOKUP($C1750,Order!$C:$C,Order!$F:$F,"",0,1))</f>
        <v>6000</v>
      </c>
      <c r="G1750" s="4" t="str">
        <f>IF($C1750="","",_xlfn.XLOOKUP($C1750,Order!$C:$C,Order!$G:$G,"",0,1))</f>
        <v>6063T5</v>
      </c>
      <c r="H1750" s="4">
        <f>IF($C1750="","",_xlfn.XLOOKUP($C1750,Order!$C:$C,Order!$H:$H,"",0,1))</f>
        <v>0.51700000000000002</v>
      </c>
      <c r="I1750" s="36">
        <f>IF($C1750="","",_xlfn.XLOOKUP($C1750,Order!$C:$C,Order!$N:$N,"",0,1))</f>
        <v>0</v>
      </c>
      <c r="J1750" s="4" t="str">
        <f>IF(C1750="","",Order!$N$16)</f>
        <v>ELECT. CHAMPAGNE (FAYH02)</v>
      </c>
      <c r="K1750" s="36">
        <f>IF($C1750="","",_xlfn.XLOOKUP($C1750,Order!$C:$C,Order!$P:$P,"",0,1))</f>
        <v>0</v>
      </c>
      <c r="L1750" s="4">
        <f t="shared" si="27"/>
        <v>0</v>
      </c>
    </row>
    <row r="1751" spans="2:12" ht="23.25" hidden="1" customHeight="1" x14ac:dyDescent="0.25">
      <c r="B1751" s="4">
        <v>1746</v>
      </c>
      <c r="C1751" s="36" t="str">
        <f>IF(Order!$C$37="","",Order!$C$37)</f>
        <v>TQ2 (Square tube 2" with 1.10 mm thickness)</v>
      </c>
      <c r="D1751" s="36" t="str">
        <f>IF($C1751="","",_xlfn.XLOOKUP($C1751,Order!$C:$C,Order!$D:$D,"",0,1))</f>
        <v>TQ2</v>
      </c>
      <c r="E1751" s="4" t="e" vm="252">
        <f>IF($C1751="","",_xlfn.XLOOKUP($C1751,Order!$C:$C,Order!$E:$E,"",0,1))</f>
        <v>#VALUE!</v>
      </c>
      <c r="F1751" s="4">
        <f>IF($C1751="","",_xlfn.XLOOKUP($C1751,Order!$C:$C,Order!$F:$F,"",0,1))</f>
        <v>6000</v>
      </c>
      <c r="G1751" s="4" t="str">
        <f>IF($C1751="","",_xlfn.XLOOKUP($C1751,Order!$C:$C,Order!$G:$G,"",0,1))</f>
        <v>6063T5</v>
      </c>
      <c r="H1751" s="4">
        <f>IF($C1751="","",_xlfn.XLOOKUP($C1751,Order!$C:$C,Order!$H:$H,"",0,1))</f>
        <v>0.59699999999999998</v>
      </c>
      <c r="I1751" s="36">
        <f>IF($C1751="","",_xlfn.XLOOKUP($C1751,Order!$C:$C,Order!$N:$N,"",0,1))</f>
        <v>0</v>
      </c>
      <c r="J1751" s="4" t="str">
        <f>IF(C1751="","",Order!$N$16)</f>
        <v>ELECT. CHAMPAGNE (FAYH02)</v>
      </c>
      <c r="K1751" s="36">
        <f>IF($C1751="","",_xlfn.XLOOKUP($C1751,Order!$C:$C,Order!$P:$P,"",0,1))</f>
        <v>0</v>
      </c>
      <c r="L1751" s="4">
        <f t="shared" si="27"/>
        <v>0</v>
      </c>
    </row>
    <row r="1752" spans="2:12" ht="23.25" hidden="1" customHeight="1" x14ac:dyDescent="0.25">
      <c r="B1752" s="4">
        <v>1747</v>
      </c>
      <c r="C1752" s="36" t="str">
        <f>IF(Order!$C$38="","",Order!$C$38)</f>
        <v>TQ3 (Square tube 3" with 1.10 mm thickness)</v>
      </c>
      <c r="D1752" s="36" t="str">
        <f>IF($C1752="","",_xlfn.XLOOKUP($C1752,Order!$C:$C,Order!$D:$D,"",0,1))</f>
        <v>TQ3</v>
      </c>
      <c r="E1752" s="4" t="e" vm="252">
        <f>IF($C1752="","",_xlfn.XLOOKUP($C1752,Order!$C:$C,Order!$E:$E,"",0,1))</f>
        <v>#VALUE!</v>
      </c>
      <c r="F1752" s="4">
        <f>IF($C1752="","",_xlfn.XLOOKUP($C1752,Order!$C:$C,Order!$F:$F,"",0,1))</f>
        <v>6000</v>
      </c>
      <c r="G1752" s="4" t="str">
        <f>IF($C1752="","",_xlfn.XLOOKUP($C1752,Order!$C:$C,Order!$G:$G,"",0,1))</f>
        <v>6063T5</v>
      </c>
      <c r="H1752" s="4">
        <f>IF($C1752="","",_xlfn.XLOOKUP($C1752,Order!$C:$C,Order!$H:$H,"",0,1))</f>
        <v>0.90200000000000002</v>
      </c>
      <c r="I1752" s="36">
        <f>IF($C1752="","",_xlfn.XLOOKUP($C1752,Order!$C:$C,Order!$N:$N,"",0,1))</f>
        <v>0</v>
      </c>
      <c r="J1752" s="4" t="str">
        <f>IF(C1752="","",Order!$N$16)</f>
        <v>ELECT. CHAMPAGNE (FAYH02)</v>
      </c>
      <c r="K1752" s="36">
        <f>IF($C1752="","",_xlfn.XLOOKUP($C1752,Order!$C:$C,Order!$P:$P,"",0,1))</f>
        <v>0</v>
      </c>
      <c r="L1752" s="4">
        <f t="shared" si="27"/>
        <v>0</v>
      </c>
    </row>
    <row r="1753" spans="2:12" ht="23.25" hidden="1" customHeight="1" x14ac:dyDescent="0.25">
      <c r="B1753" s="4">
        <v>1748</v>
      </c>
      <c r="C1753" s="36" t="str">
        <f>IF(Order!$C$39="","",Order!$C$39)</f>
        <v>TQ4 (Square tube 4" with 1.30 mm thickness)</v>
      </c>
      <c r="D1753" s="36" t="str">
        <f>IF($C1753="","",_xlfn.XLOOKUP($C1753,Order!$C:$C,Order!$D:$D,"",0,1))</f>
        <v>TQ4</v>
      </c>
      <c r="E1753" s="4" t="e" vm="252">
        <f>IF($C1753="","",_xlfn.XLOOKUP($C1753,Order!$C:$C,Order!$E:$E,"",0,1))</f>
        <v>#VALUE!</v>
      </c>
      <c r="F1753" s="4">
        <f>IF($C1753="","",_xlfn.XLOOKUP($C1753,Order!$C:$C,Order!$F:$F,"",0,1))</f>
        <v>6000</v>
      </c>
      <c r="G1753" s="4" t="str">
        <f>IF($C1753="","",_xlfn.XLOOKUP($C1753,Order!$C:$C,Order!$G:$G,"",0,1))</f>
        <v>6063T5</v>
      </c>
      <c r="H1753" s="4">
        <f>IF($C1753="","",_xlfn.XLOOKUP($C1753,Order!$C:$C,Order!$H:$H,"",0,1))</f>
        <v>1.4239999999999999</v>
      </c>
      <c r="I1753" s="36">
        <f>IF($C1753="","",_xlfn.XLOOKUP($C1753,Order!$C:$C,Order!$N:$N,"",0,1))</f>
        <v>0</v>
      </c>
      <c r="J1753" s="4" t="str">
        <f>IF(C1753="","",Order!$N$16)</f>
        <v>ELECT. CHAMPAGNE (FAYH02)</v>
      </c>
      <c r="K1753" s="36">
        <f>IF($C1753="","",_xlfn.XLOOKUP($C1753,Order!$C:$C,Order!$P:$P,"",0,1))</f>
        <v>0</v>
      </c>
      <c r="L1753" s="4">
        <f t="shared" si="27"/>
        <v>0</v>
      </c>
    </row>
    <row r="1754" spans="2:12" ht="23.25" hidden="1" customHeight="1" x14ac:dyDescent="0.25">
      <c r="B1754" s="4">
        <v>1749</v>
      </c>
      <c r="C1754" s="36" t="str">
        <f>IF(Order!$C$40="","",Order!$C$40)</f>
        <v>TG1X1/2 (Rectangular tube 1" x 1/2  with 0.80 mm thickness)</v>
      </c>
      <c r="D1754" s="36" t="str">
        <f>IF($C1754="","",_xlfn.XLOOKUP($C1754,Order!$C:$C,Order!$D:$D,"",0,1))</f>
        <v>TG1X12</v>
      </c>
      <c r="E1754" s="4" t="e" vm="253">
        <f>IF($C1754="","",_xlfn.XLOOKUP($C1754,Order!$C:$C,Order!$E:$E,"",0,1))</f>
        <v>#VALUE!</v>
      </c>
      <c r="F1754" s="4">
        <f>IF($C1754="","",_xlfn.XLOOKUP($C1754,Order!$C:$C,Order!$F:$F,"",0,1))</f>
        <v>6000</v>
      </c>
      <c r="G1754" s="4" t="str">
        <f>IF($C1754="","",_xlfn.XLOOKUP($C1754,Order!$C:$C,Order!$G:$G,"",0,1))</f>
        <v>6063T5</v>
      </c>
      <c r="H1754" s="4">
        <f>IF($C1754="","",_xlfn.XLOOKUP($C1754,Order!$C:$C,Order!$H:$H,"",0,1))</f>
        <v>0.159</v>
      </c>
      <c r="I1754" s="36">
        <f>IF($C1754="","",_xlfn.XLOOKUP($C1754,Order!$C:$C,Order!$N:$N,"",0,1))</f>
        <v>0</v>
      </c>
      <c r="J1754" s="4" t="str">
        <f>IF(C1754="","",Order!$N$16)</f>
        <v>ELECT. CHAMPAGNE (FAYH02)</v>
      </c>
      <c r="K1754" s="36">
        <f>IF($C1754="","",_xlfn.XLOOKUP($C1754,Order!$C:$C,Order!$P:$P,"",0,1))</f>
        <v>0</v>
      </c>
      <c r="L1754" s="4">
        <f t="shared" si="27"/>
        <v>0</v>
      </c>
    </row>
    <row r="1755" spans="2:12" ht="23.25" hidden="1" customHeight="1" x14ac:dyDescent="0.25">
      <c r="B1755" s="4">
        <v>1750</v>
      </c>
      <c r="C1755" s="36" t="str">
        <f>IF(Order!$C$41="","",Order!$C$41)</f>
        <v>TG2X1/2A (Retangular tube 2 X 1/2 with 0.80 mm tickness)</v>
      </c>
      <c r="D1755" s="36" t="str">
        <f>IF($C1755="","",_xlfn.XLOOKUP($C1755,Order!$C:$C,Order!$D:$D,"",0,1))</f>
        <v>TG2X12A</v>
      </c>
      <c r="E1755" s="4" t="e" vm="254">
        <f>IF($C1755="","",_xlfn.XLOOKUP($C1755,Order!$C:$C,Order!$E:$E,"",0,1))</f>
        <v>#VALUE!</v>
      </c>
      <c r="F1755" s="4">
        <f>IF($C1755="","",_xlfn.XLOOKUP($C1755,Order!$C:$C,Order!$F:$F,"",0,1))</f>
        <v>6000</v>
      </c>
      <c r="G1755" s="4" t="str">
        <f>IF($C1755="","",_xlfn.XLOOKUP($C1755,Order!$C:$C,Order!$G:$G,"",0,1))</f>
        <v>6063T5</v>
      </c>
      <c r="H1755" s="4">
        <f>IF($C1755="","",_xlfn.XLOOKUP($C1755,Order!$C:$C,Order!$H:$H,"",0,1))</f>
        <v>0.27</v>
      </c>
      <c r="I1755" s="36">
        <f>IF($C1755="","",_xlfn.XLOOKUP($C1755,Order!$C:$C,Order!$N:$N,"",0,1))</f>
        <v>0</v>
      </c>
      <c r="J1755" s="4" t="str">
        <f>IF(C1755="","",Order!$N$16)</f>
        <v>ELECT. CHAMPAGNE (FAYH02)</v>
      </c>
      <c r="K1755" s="36">
        <f>IF($C1755="","",_xlfn.XLOOKUP($C1755,Order!$C:$C,Order!$P:$P,"",0,1))</f>
        <v>0</v>
      </c>
      <c r="L1755" s="4">
        <f t="shared" si="27"/>
        <v>0</v>
      </c>
    </row>
    <row r="1756" spans="2:12" ht="23.25" hidden="1" customHeight="1" x14ac:dyDescent="0.25">
      <c r="B1756" s="4">
        <v>1751</v>
      </c>
      <c r="C1756" s="36" t="str">
        <f>IF(Order!$C$42="","",Order!$C$42)</f>
        <v>TG2X1/2 (Retangular tube 2 X 1/2 with 0.90 mm tickness)</v>
      </c>
      <c r="D1756" s="36" t="str">
        <f>IF($C1756="","",_xlfn.XLOOKUP($C1756,Order!$C:$C,Order!$D:$D,"",0,1))</f>
        <v>TG2X12</v>
      </c>
      <c r="E1756" s="4" t="e" vm="254">
        <f>IF($C1756="","",_xlfn.XLOOKUP($C1756,Order!$C:$C,Order!$E:$E,"",0,1))</f>
        <v>#VALUE!</v>
      </c>
      <c r="F1756" s="4">
        <f>IF($C1756="","",_xlfn.XLOOKUP($C1756,Order!$C:$C,Order!$F:$F,"",0,1))</f>
        <v>6000</v>
      </c>
      <c r="G1756" s="4" t="str">
        <f>IF($C1756="","",_xlfn.XLOOKUP($C1756,Order!$C:$C,Order!$G:$G,"",0,1))</f>
        <v>6063T5</v>
      </c>
      <c r="H1756" s="4">
        <f>IF($C1756="","",_xlfn.XLOOKUP($C1756,Order!$C:$C,Order!$H:$H,"",0,1))</f>
        <v>0.30299999999999999</v>
      </c>
      <c r="I1756" s="36">
        <f>IF($C1756="","",_xlfn.XLOOKUP($C1756,Order!$C:$C,Order!$N:$N,"",0,1))</f>
        <v>0</v>
      </c>
      <c r="J1756" s="4" t="str">
        <f>IF(C1756="","",Order!$N$16)</f>
        <v>ELECT. CHAMPAGNE (FAYH02)</v>
      </c>
      <c r="K1756" s="36">
        <f>IF($C1756="","",_xlfn.XLOOKUP($C1756,Order!$C:$C,Order!$P:$P,"",0,1))</f>
        <v>0</v>
      </c>
      <c r="L1756" s="4">
        <f t="shared" si="27"/>
        <v>0</v>
      </c>
    </row>
    <row r="1757" spans="2:12" ht="23.25" hidden="1" customHeight="1" x14ac:dyDescent="0.25">
      <c r="B1757" s="4">
        <v>1752</v>
      </c>
      <c r="C1757" s="36" t="str">
        <f>IF(Order!$C$43="","",Order!$C$43)</f>
        <v>TG2X1 0.7 ( Retangular tube 2"X1" with 0.70 mm tickness)</v>
      </c>
      <c r="D1757" s="36" t="str">
        <f>IF($C1757="","",_xlfn.XLOOKUP($C1757,Order!$C:$C,Order!$D:$D,"",0,1))</f>
        <v>TG2X1 0.7</v>
      </c>
      <c r="E1757" s="4" t="e" vm="253">
        <f>IF($C1757="","",_xlfn.XLOOKUP($C1757,Order!$C:$C,Order!$E:$E,"",0,1))</f>
        <v>#VALUE!</v>
      </c>
      <c r="F1757" s="4">
        <f>IF($C1757="","",_xlfn.XLOOKUP($C1757,Order!$C:$C,Order!$F:$F,"",0,1))</f>
        <v>6000</v>
      </c>
      <c r="G1757" s="4" t="str">
        <f>IF($C1757="","",_xlfn.XLOOKUP($C1757,Order!$C:$C,Order!$G:$G,"",0,1))</f>
        <v>6063T5</v>
      </c>
      <c r="H1757" s="4">
        <f>IF($C1757="","",_xlfn.XLOOKUP($C1757,Order!$C:$C,Order!$H:$H,"",0,1))</f>
        <v>0.28599999999999998</v>
      </c>
      <c r="I1757" s="36">
        <f>IF($C1757="","",_xlfn.XLOOKUP($C1757,Order!$C:$C,Order!$N:$N,"",0,1))</f>
        <v>0</v>
      </c>
      <c r="J1757" s="4" t="str">
        <f>IF(C1757="","",Order!$N$16)</f>
        <v>ELECT. CHAMPAGNE (FAYH02)</v>
      </c>
      <c r="K1757" s="36">
        <f>IF($C1757="","",_xlfn.XLOOKUP($C1757,Order!$C:$C,Order!$P:$P,"",0,1))</f>
        <v>0</v>
      </c>
      <c r="L1757" s="4">
        <f t="shared" si="27"/>
        <v>0</v>
      </c>
    </row>
    <row r="1758" spans="2:12" ht="23.25" hidden="1" customHeight="1" x14ac:dyDescent="0.25">
      <c r="B1758" s="4">
        <v>1753</v>
      </c>
      <c r="C1758" s="36" t="str">
        <f>IF(Order!$C$44="","",Order!$C$44)</f>
        <v>TG2X1 ( Retangular tube 2"X1" with 0.80 mm tickness)</v>
      </c>
      <c r="D1758" s="36" t="str">
        <f>IF($C1758="","",_xlfn.XLOOKUP($C1758,Order!$C:$C,Order!$D:$D,"",0,1))</f>
        <v>TG2X1</v>
      </c>
      <c r="E1758" s="4" t="e" vm="253">
        <f>IF($C1758="","",_xlfn.XLOOKUP($C1758,Order!$C:$C,Order!$E:$E,"",0,1))</f>
        <v>#VALUE!</v>
      </c>
      <c r="F1758" s="4">
        <f>IF($C1758="","",_xlfn.XLOOKUP($C1758,Order!$C:$C,Order!$F:$F,"",0,1))</f>
        <v>6000</v>
      </c>
      <c r="G1758" s="4" t="str">
        <f>IF($C1758="","",_xlfn.XLOOKUP($C1758,Order!$C:$C,Order!$G:$G,"",0,1))</f>
        <v>6063T5</v>
      </c>
      <c r="H1758" s="4">
        <f>IF($C1758="","",_xlfn.XLOOKUP($C1758,Order!$C:$C,Order!$H:$H,"",0,1))</f>
        <v>0.32600000000000001</v>
      </c>
      <c r="I1758" s="36">
        <f>IF($C1758="","",_xlfn.XLOOKUP($C1758,Order!$C:$C,Order!$N:$N,"",0,1))</f>
        <v>0</v>
      </c>
      <c r="J1758" s="4" t="str">
        <f>IF(C1758="","",Order!$N$16)</f>
        <v>ELECT. CHAMPAGNE (FAYH02)</v>
      </c>
      <c r="K1758" s="36">
        <f>IF($C1758="","",_xlfn.XLOOKUP($C1758,Order!$C:$C,Order!$P:$P,"",0,1))</f>
        <v>0</v>
      </c>
      <c r="L1758" s="4">
        <f t="shared" si="27"/>
        <v>0</v>
      </c>
    </row>
    <row r="1759" spans="2:12" ht="23.25" hidden="1" customHeight="1" x14ac:dyDescent="0.25">
      <c r="B1759" s="4">
        <v>1754</v>
      </c>
      <c r="C1759" s="36" t="str">
        <f>IF(Order!$C$45="","",Order!$C$45)</f>
        <v>TG2X1.1/2 ( Retangular tube 2"x1.1 /2" with 0.90 mm tickness)</v>
      </c>
      <c r="D1759" s="36" t="str">
        <f>IF($C1759="","",_xlfn.XLOOKUP($C1759,Order!$C:$C,Order!$D:$D,"",0,1))</f>
        <v>TG2X1.12</v>
      </c>
      <c r="E1759" s="4" t="e" vm="255">
        <f>IF($C1759="","",_xlfn.XLOOKUP($C1759,Order!$C:$C,Order!$E:$E,"",0,1))</f>
        <v>#VALUE!</v>
      </c>
      <c r="F1759" s="4">
        <f>IF($C1759="","",_xlfn.XLOOKUP($C1759,Order!$C:$C,Order!$F:$F,"",0,1))</f>
        <v>6000</v>
      </c>
      <c r="G1759" s="4" t="str">
        <f>IF($C1759="","",_xlfn.XLOOKUP($C1759,Order!$C:$C,Order!$G:$G,"",0,1))</f>
        <v>6063T5</v>
      </c>
      <c r="H1759" s="4">
        <f>IF($C1759="","",_xlfn.XLOOKUP($C1759,Order!$C:$C,Order!$H:$H,"",0,1))</f>
        <v>0.42799999999999999</v>
      </c>
      <c r="I1759" s="36">
        <f>IF($C1759="","",_xlfn.XLOOKUP($C1759,Order!$C:$C,Order!$N:$N,"",0,1))</f>
        <v>0</v>
      </c>
      <c r="J1759" s="4" t="str">
        <f>IF(C1759="","",Order!$N$16)</f>
        <v>ELECT. CHAMPAGNE (FAYH02)</v>
      </c>
      <c r="K1759" s="36">
        <f>IF($C1759="","",_xlfn.XLOOKUP($C1759,Order!$C:$C,Order!$P:$P,"",0,1))</f>
        <v>0</v>
      </c>
      <c r="L1759" s="4">
        <f t="shared" si="27"/>
        <v>0</v>
      </c>
    </row>
    <row r="1760" spans="2:12" ht="23.25" hidden="1" customHeight="1" x14ac:dyDescent="0.25">
      <c r="B1760" s="4">
        <v>1755</v>
      </c>
      <c r="C1760" s="36" t="str">
        <f>IF(Order!$C$46="","",Order!$C$46)</f>
        <v>TG3X1.1/2 ( Retangular tube 3"x1.1 /2" with 1.00 mm tickness)</v>
      </c>
      <c r="D1760" s="36" t="str">
        <f>IF($C1760="","",_xlfn.XLOOKUP($C1760,Order!$C:$C,Order!$D:$D,"",0,1))</f>
        <v>TG3X1.12</v>
      </c>
      <c r="E1760" s="4" t="e" vm="253">
        <f>IF($C1760="","",_xlfn.XLOOKUP($C1760,Order!$C:$C,Order!$E:$E,"",0,1))</f>
        <v>#VALUE!</v>
      </c>
      <c r="F1760" s="4">
        <f>IF($C1760="","",_xlfn.XLOOKUP($C1760,Order!$C:$C,Order!$F:$F,"",0,1))</f>
        <v>6000</v>
      </c>
      <c r="G1760" s="4" t="str">
        <f>IF($C1760="","",_xlfn.XLOOKUP($C1760,Order!$C:$C,Order!$G:$G,"",0,1))</f>
        <v>6063T5</v>
      </c>
      <c r="H1760" s="4">
        <f>IF($C1760="","",_xlfn.XLOOKUP($C1760,Order!$C:$C,Order!$H:$H,"",0,1))</f>
        <v>0.61299999999999999</v>
      </c>
      <c r="I1760" s="36">
        <f>IF($C1760="","",_xlfn.XLOOKUP($C1760,Order!$C:$C,Order!$N:$N,"",0,1))</f>
        <v>0</v>
      </c>
      <c r="J1760" s="4" t="str">
        <f>IF(C1760="","",Order!$N$16)</f>
        <v>ELECT. CHAMPAGNE (FAYH02)</v>
      </c>
      <c r="K1760" s="36">
        <f>IF($C1760="","",_xlfn.XLOOKUP($C1760,Order!$C:$C,Order!$P:$P,"",0,1))</f>
        <v>0</v>
      </c>
      <c r="L1760" s="4">
        <f t="shared" si="27"/>
        <v>0</v>
      </c>
    </row>
    <row r="1761" spans="2:12" ht="23.25" hidden="1" customHeight="1" x14ac:dyDescent="0.25">
      <c r="B1761" s="4">
        <v>1756</v>
      </c>
      <c r="C1761" s="36" t="str">
        <f>IF(Order!$C$47="","",Order!$C$47)</f>
        <v>TG4X2 (Rectangular Tube 4" X 2" with 1.00 mm tickness)</v>
      </c>
      <c r="D1761" s="36" t="str">
        <f>IF($C1761="","",_xlfn.XLOOKUP($C1761,Order!$C:$C,Order!$D:$D,"",0,1))</f>
        <v>TG4X2</v>
      </c>
      <c r="E1761" s="4" t="e" vm="253">
        <f>IF($C1761="","",_xlfn.XLOOKUP($C1761,Order!$C:$C,Order!$E:$E,"",0,1))</f>
        <v>#VALUE!</v>
      </c>
      <c r="F1761" s="4">
        <f>IF($C1761="","",_xlfn.XLOOKUP($C1761,Order!$C:$C,Order!$F:$F,"",0,1))</f>
        <v>6000</v>
      </c>
      <c r="G1761" s="4" t="str">
        <f>IF($C1761="","",_xlfn.XLOOKUP($C1761,Order!$C:$C,Order!$G:$G,"",0,1))</f>
        <v>6063T5</v>
      </c>
      <c r="H1761" s="4">
        <f>IF($C1761="","",_xlfn.XLOOKUP($C1761,Order!$C:$C,Order!$H:$H,"",0,1))</f>
        <v>0.82099999999999995</v>
      </c>
      <c r="I1761" s="36">
        <f>IF($C1761="","",_xlfn.XLOOKUP($C1761,Order!$C:$C,Order!$N:$N,"",0,1))</f>
        <v>0</v>
      </c>
      <c r="J1761" s="4" t="str">
        <f>IF(C1761="","",Order!$N$16)</f>
        <v>ELECT. CHAMPAGNE (FAYH02)</v>
      </c>
      <c r="K1761" s="36">
        <f>IF($C1761="","",_xlfn.XLOOKUP($C1761,Order!$C:$C,Order!$P:$P,"",0,1))</f>
        <v>0</v>
      </c>
      <c r="L1761" s="4">
        <f t="shared" si="27"/>
        <v>0</v>
      </c>
    </row>
    <row r="1762" spans="2:12" ht="23.25" hidden="1" customHeight="1" x14ac:dyDescent="0.25">
      <c r="B1762" s="4">
        <v>1757</v>
      </c>
      <c r="C1762" s="36" t="str">
        <f>IF(Order!$C$48="","",Order!$C$48)</f>
        <v>PT008A (Perfil T de 1" com 0.80 mm tickness)</v>
      </c>
      <c r="D1762" s="36" t="str">
        <f>IF($C1762="","",_xlfn.XLOOKUP($C1762,Order!$C:$C,Order!$D:$D,"",0,1))</f>
        <v>PT008A</v>
      </c>
      <c r="E1762" s="4" t="e" vm="256">
        <f>IF($C1762="","",_xlfn.XLOOKUP($C1762,Order!$C:$C,Order!$E:$E,"",0,1))</f>
        <v>#VALUE!</v>
      </c>
      <c r="F1762" s="4">
        <f>IF($C1762="","",_xlfn.XLOOKUP($C1762,Order!$C:$C,Order!$F:$F,"",0,1))</f>
        <v>6000</v>
      </c>
      <c r="G1762" s="4" t="str">
        <f>IF($C1762="","",_xlfn.XLOOKUP($C1762,Order!$C:$C,Order!$G:$G,"",0,1))</f>
        <v>6063T5</v>
      </c>
      <c r="H1762" s="4">
        <f>IF($C1762="","",_xlfn.XLOOKUP($C1762,Order!$C:$C,Order!$H:$H,"",0,1))</f>
        <v>0.109</v>
      </c>
      <c r="I1762" s="36">
        <f>IF($C1762="","",_xlfn.XLOOKUP($C1762,Order!$C:$C,Order!$N:$N,"",0,1))</f>
        <v>0</v>
      </c>
      <c r="J1762" s="4" t="str">
        <f>IF(C1762="","",Order!$N$16)</f>
        <v>ELECT. CHAMPAGNE (FAYH02)</v>
      </c>
      <c r="K1762" s="36">
        <f>IF($C1762="","",_xlfn.XLOOKUP($C1762,Order!$C:$C,Order!$P:$P,"",0,1))</f>
        <v>0</v>
      </c>
      <c r="L1762" s="4">
        <f t="shared" si="27"/>
        <v>0</v>
      </c>
    </row>
    <row r="1763" spans="2:12" ht="23.25" hidden="1" customHeight="1" x14ac:dyDescent="0.25">
      <c r="B1763" s="4">
        <v>1758</v>
      </c>
      <c r="C1763" s="36" t="str">
        <f>IF(Order!$C$49="","",Order!$C$49)</f>
        <v>PT008 (Perfil T de 1" com 0.90 mm tickness)</v>
      </c>
      <c r="D1763" s="36" t="str">
        <f>IF($C1763="","",_xlfn.XLOOKUP($C1763,Order!$C:$C,Order!$D:$D,"",0,1))</f>
        <v>PT008</v>
      </c>
      <c r="E1763" s="4" t="e" vm="256">
        <f>IF($C1763="","",_xlfn.XLOOKUP($C1763,Order!$C:$C,Order!$E:$E,"",0,1))</f>
        <v>#VALUE!</v>
      </c>
      <c r="F1763" s="4">
        <f>IF($C1763="","",_xlfn.XLOOKUP($C1763,Order!$C:$C,Order!$F:$F,"",0,1))</f>
        <v>6000</v>
      </c>
      <c r="G1763" s="4" t="str">
        <f>IF($C1763="","",_xlfn.XLOOKUP($C1763,Order!$C:$C,Order!$G:$G,"",0,1))</f>
        <v>6063T5</v>
      </c>
      <c r="H1763" s="4">
        <f>IF($C1763="","",_xlfn.XLOOKUP($C1763,Order!$C:$C,Order!$H:$H,"",0,1))</f>
        <v>0.123</v>
      </c>
      <c r="I1763" s="36">
        <f>IF($C1763="","",_xlfn.XLOOKUP($C1763,Order!$C:$C,Order!$N:$N,"",0,1))</f>
        <v>0</v>
      </c>
      <c r="J1763" s="4" t="str">
        <f>IF(C1763="","",Order!$N$16)</f>
        <v>ELECT. CHAMPAGNE (FAYH02)</v>
      </c>
      <c r="K1763" s="36">
        <f>IF($C1763="","",_xlfn.XLOOKUP($C1763,Order!$C:$C,Order!$P:$P,"",0,1))</f>
        <v>0</v>
      </c>
      <c r="L1763" s="4">
        <f t="shared" si="27"/>
        <v>0</v>
      </c>
    </row>
    <row r="1764" spans="2:12" ht="23.25" hidden="1" customHeight="1" x14ac:dyDescent="0.25">
      <c r="B1764" s="4">
        <v>1759</v>
      </c>
      <c r="C1764" s="36" t="str">
        <f>IF(Order!$C$50="","",Order!$C$50)</f>
        <v>AF052U (U13MM)</v>
      </c>
      <c r="D1764" s="36" t="str">
        <f>IF($C1764="","",_xlfn.XLOOKUP($C1764,Order!$C:$C,Order!$D:$D,"",0,1))</f>
        <v>AF052U</v>
      </c>
      <c r="E1764" s="4" t="e" vm="257">
        <f>IF($C1764="","",_xlfn.XLOOKUP($C1764,Order!$C:$C,Order!$E:$E,"",0,1))</f>
        <v>#VALUE!</v>
      </c>
      <c r="F1764" s="4">
        <f>IF($C1764="","",_xlfn.XLOOKUP($C1764,Order!$C:$C,Order!$F:$F,"",0,1))</f>
        <v>6000</v>
      </c>
      <c r="G1764" s="4" t="str">
        <f>IF($C1764="","",_xlfn.XLOOKUP($C1764,Order!$C:$C,Order!$G:$G,"",0,1))</f>
        <v>6063T5</v>
      </c>
      <c r="H1764" s="4">
        <f>IF($C1764="","",_xlfn.XLOOKUP($C1764,Order!$C:$C,Order!$H:$H,"",0,1))</f>
        <v>0.129</v>
      </c>
      <c r="I1764" s="36">
        <f>IF($C1764="","",_xlfn.XLOOKUP($C1764,Order!$C:$C,Order!$N:$N,"",0,1))</f>
        <v>0</v>
      </c>
      <c r="J1764" s="4" t="str">
        <f>IF(C1764="","",Order!$N$16)</f>
        <v>ELECT. CHAMPAGNE (FAYH02)</v>
      </c>
      <c r="K1764" s="36">
        <f>IF($C1764="","",_xlfn.XLOOKUP($C1764,Order!$C:$C,Order!$P:$P,"",0,1))</f>
        <v>0</v>
      </c>
      <c r="L1764" s="4">
        <f t="shared" si="27"/>
        <v>0</v>
      </c>
    </row>
    <row r="1765" spans="2:12" ht="23.25" hidden="1" customHeight="1" x14ac:dyDescent="0.25">
      <c r="B1765" s="4">
        <v>1760</v>
      </c>
      <c r="C1765" s="36" t="str">
        <f>IF(Order!$C$51="","",Order!$C$51)</f>
        <v>PU639A</v>
      </c>
      <c r="D1765" s="36" t="str">
        <f>IF($C1765="","",_xlfn.XLOOKUP($C1765,Order!$C:$C,Order!$D:$D,"",0,1))</f>
        <v>PU639A</v>
      </c>
      <c r="E1765" s="4" t="e" vm="258">
        <f>IF($C1765="","",_xlfn.XLOOKUP($C1765,Order!$C:$C,Order!$E:$E,"",0,1))</f>
        <v>#VALUE!</v>
      </c>
      <c r="F1765" s="4">
        <f>IF($C1765="","",_xlfn.XLOOKUP($C1765,Order!$C:$C,Order!$F:$F,"",0,1))</f>
        <v>6000</v>
      </c>
      <c r="G1765" s="4" t="str">
        <f>IF($C1765="","",_xlfn.XLOOKUP($C1765,Order!$C:$C,Order!$G:$G,"",0,1))</f>
        <v>6063T5</v>
      </c>
      <c r="H1765" s="4">
        <f>IF($C1765="","",_xlfn.XLOOKUP($C1765,Order!$C:$C,Order!$H:$H,"",0,1))</f>
        <v>0.254</v>
      </c>
      <c r="I1765" s="36">
        <f>IF($C1765="","",_xlfn.XLOOKUP($C1765,Order!$C:$C,Order!$N:$N,"",0,1))</f>
        <v>0</v>
      </c>
      <c r="J1765" s="4" t="str">
        <f>IF(C1765="","",Order!$N$16)</f>
        <v>ELECT. CHAMPAGNE (FAYH02)</v>
      </c>
      <c r="K1765" s="36">
        <f>IF($C1765="","",_xlfn.XLOOKUP($C1765,Order!$C:$C,Order!$P:$P,"",0,1))</f>
        <v>0</v>
      </c>
      <c r="L1765" s="4">
        <f t="shared" si="27"/>
        <v>0</v>
      </c>
    </row>
    <row r="1766" spans="2:12" ht="23.25" hidden="1" customHeight="1" x14ac:dyDescent="0.25">
      <c r="B1766" s="4">
        <v>1761</v>
      </c>
      <c r="C1766" s="36" t="str">
        <f>IF(Order!$C$52="","",Order!$C$52)</f>
        <v>PU639</v>
      </c>
      <c r="D1766" s="36" t="str">
        <f>IF($C1766="","",_xlfn.XLOOKUP($C1766,Order!$C:$C,Order!$D:$D,"",0,1))</f>
        <v>PU639</v>
      </c>
      <c r="E1766" s="4" t="e" vm="258">
        <f>IF($C1766="","",_xlfn.XLOOKUP($C1766,Order!$C:$C,Order!$E:$E,"",0,1))</f>
        <v>#VALUE!</v>
      </c>
      <c r="F1766" s="4">
        <f>IF($C1766="","",_xlfn.XLOOKUP($C1766,Order!$C:$C,Order!$F:$F,"",0,1))</f>
        <v>6000</v>
      </c>
      <c r="G1766" s="4" t="str">
        <f>IF($C1766="","",_xlfn.XLOOKUP($C1766,Order!$C:$C,Order!$G:$G,"",0,1))</f>
        <v>6063T5</v>
      </c>
      <c r="H1766" s="4">
        <f>IF($C1766="","",_xlfn.XLOOKUP($C1766,Order!$C:$C,Order!$H:$H,"",0,1))</f>
        <v>0.34499999999999997</v>
      </c>
      <c r="I1766" s="36">
        <f>IF($C1766="","",_xlfn.XLOOKUP($C1766,Order!$C:$C,Order!$N:$N,"",0,1))</f>
        <v>0</v>
      </c>
      <c r="J1766" s="4" t="str">
        <f>IF(C1766="","",Order!$N$16)</f>
        <v>ELECT. CHAMPAGNE (FAYH02)</v>
      </c>
      <c r="K1766" s="36">
        <f>IF($C1766="","",_xlfn.XLOOKUP($C1766,Order!$C:$C,Order!$P:$P,"",0,1))</f>
        <v>0</v>
      </c>
      <c r="L1766" s="4">
        <f t="shared" si="27"/>
        <v>0</v>
      </c>
    </row>
    <row r="1767" spans="2:12" ht="23.25" hidden="1" customHeight="1" x14ac:dyDescent="0.25">
      <c r="B1767" s="4">
        <v>1762</v>
      </c>
      <c r="C1767" s="36" t="str">
        <f>IF(Order!$C$53="","",Order!$C$53)</f>
        <v>L1/2 (Angle L 1/2" with 0.90 mm tickness)</v>
      </c>
      <c r="D1767" s="36" t="str">
        <f>IF($C1767="","",_xlfn.XLOOKUP($C1767,Order!$C:$C,Order!$D:$D,"",0,1))</f>
        <v>L12</v>
      </c>
      <c r="E1767" s="4" t="e" vm="259">
        <f>IF($C1767="","",_xlfn.XLOOKUP($C1767,Order!$C:$C,Order!$E:$E,"",0,1))</f>
        <v>#VALUE!</v>
      </c>
      <c r="F1767" s="4">
        <f>IF($C1767="","",_xlfn.XLOOKUP($C1767,Order!$C:$C,Order!$F:$F,"",0,1))</f>
        <v>6000</v>
      </c>
      <c r="G1767" s="4" t="str">
        <f>IF($C1767="","",_xlfn.XLOOKUP($C1767,Order!$C:$C,Order!$G:$G,"",0,1))</f>
        <v>6063T5</v>
      </c>
      <c r="H1767" s="4">
        <f>IF($C1767="","",_xlfn.XLOOKUP($C1767,Order!$C:$C,Order!$H:$H,"",0,1))</f>
        <v>0.06</v>
      </c>
      <c r="I1767" s="36">
        <f>IF($C1767="","",_xlfn.XLOOKUP($C1767,Order!$C:$C,Order!$N:$N,"",0,1))</f>
        <v>0</v>
      </c>
      <c r="J1767" s="4" t="str">
        <f>IF(C1767="","",Order!$N$16)</f>
        <v>ELECT. CHAMPAGNE (FAYH02)</v>
      </c>
      <c r="K1767" s="36">
        <f>IF($C1767="","",_xlfn.XLOOKUP($C1767,Order!$C:$C,Order!$P:$P,"",0,1))</f>
        <v>0</v>
      </c>
      <c r="L1767" s="4">
        <f t="shared" si="27"/>
        <v>0</v>
      </c>
    </row>
    <row r="1768" spans="2:12" ht="23.25" hidden="1" customHeight="1" x14ac:dyDescent="0.25">
      <c r="B1768" s="4">
        <v>1763</v>
      </c>
      <c r="C1768" s="36" t="str">
        <f>IF(Order!$C$54="","",Order!$C$54)</f>
        <v>L5/8 (Angle L 5/8" with 0.90 mm tickness)</v>
      </c>
      <c r="D1768" s="36" t="str">
        <f>IF($C1768="","",_xlfn.XLOOKUP($C1768,Order!$C:$C,Order!$D:$D,"",0,1))</f>
        <v>L5-8</v>
      </c>
      <c r="E1768" s="4" t="e" vm="259">
        <f>IF($C1768="","",_xlfn.XLOOKUP($C1768,Order!$C:$C,Order!$E:$E,"",0,1))</f>
        <v>#VALUE!</v>
      </c>
      <c r="F1768" s="4">
        <f>IF($C1768="","",_xlfn.XLOOKUP($C1768,Order!$C:$C,Order!$F:$F,"",0,1))</f>
        <v>6000</v>
      </c>
      <c r="G1768" s="4" t="str">
        <f>IF($C1768="","",_xlfn.XLOOKUP($C1768,Order!$C:$C,Order!$G:$G,"",0,1))</f>
        <v>6063T5</v>
      </c>
      <c r="H1768" s="4">
        <f>IF($C1768="","",_xlfn.XLOOKUP($C1768,Order!$C:$C,Order!$H:$H,"",0,1))</f>
        <v>7.5999999999999998E-2</v>
      </c>
      <c r="I1768" s="36">
        <f>IF($C1768="","",_xlfn.XLOOKUP($C1768,Order!$C:$C,Order!$N:$N,"",0,1))</f>
        <v>0</v>
      </c>
      <c r="J1768" s="4" t="str">
        <f>IF(C1768="","",Order!$N$16)</f>
        <v>ELECT. CHAMPAGNE (FAYH02)</v>
      </c>
      <c r="K1768" s="36">
        <f>IF($C1768="","",_xlfn.XLOOKUP($C1768,Order!$C:$C,Order!$P:$P,"",0,1))</f>
        <v>0</v>
      </c>
      <c r="L1768" s="4">
        <f t="shared" si="27"/>
        <v>0</v>
      </c>
    </row>
    <row r="1769" spans="2:12" ht="23.25" hidden="1" customHeight="1" x14ac:dyDescent="0.25">
      <c r="B1769" s="4">
        <v>1764</v>
      </c>
      <c r="C1769" s="36" t="str">
        <f>IF(Order!$C$55="","",Order!$C$55)</f>
        <v>L3/4 (Angle L 3/4" with 0.80 mm tickness)</v>
      </c>
      <c r="D1769" s="36" t="str">
        <f>IF($C1769="","",_xlfn.XLOOKUP($C1769,Order!$C:$C,Order!$D:$D,"",0,1))</f>
        <v>L34</v>
      </c>
      <c r="E1769" s="4" t="e" vm="259">
        <f>IF($C1769="","",_xlfn.XLOOKUP($C1769,Order!$C:$C,Order!$E:$E,"",0,1))</f>
        <v>#VALUE!</v>
      </c>
      <c r="F1769" s="4">
        <f>IF($C1769="","",_xlfn.XLOOKUP($C1769,Order!$C:$C,Order!$F:$F,"",0,1))</f>
        <v>6000</v>
      </c>
      <c r="G1769" s="4" t="str">
        <f>IF($C1769="","",_xlfn.XLOOKUP($C1769,Order!$C:$C,Order!$G:$G,"",0,1))</f>
        <v>6063T5</v>
      </c>
      <c r="H1769" s="4">
        <f>IF($C1769="","",_xlfn.XLOOKUP($C1769,Order!$C:$C,Order!$H:$H,"",0,1))</f>
        <v>8.1000000000000003E-2</v>
      </c>
      <c r="I1769" s="36">
        <f>IF($C1769="","",_xlfn.XLOOKUP($C1769,Order!$C:$C,Order!$N:$N,"",0,1))</f>
        <v>0</v>
      </c>
      <c r="J1769" s="4" t="str">
        <f>IF(C1769="","",Order!$N$16)</f>
        <v>ELECT. CHAMPAGNE (FAYH02)</v>
      </c>
      <c r="K1769" s="36">
        <f>IF($C1769="","",_xlfn.XLOOKUP($C1769,Order!$C:$C,Order!$P:$P,"",0,1))</f>
        <v>0</v>
      </c>
      <c r="L1769" s="4">
        <f t="shared" si="27"/>
        <v>0</v>
      </c>
    </row>
    <row r="1770" spans="2:12" ht="23.25" hidden="1" customHeight="1" x14ac:dyDescent="0.25">
      <c r="B1770" s="4">
        <v>1765</v>
      </c>
      <c r="C1770" s="36" t="str">
        <f>IF(Order!$C$56="","",Order!$C$56)</f>
        <v>L1 (Angle L 1" with 0.90 mm thickness)</v>
      </c>
      <c r="D1770" s="36" t="str">
        <f>IF($C1770="","",_xlfn.XLOOKUP($C1770,Order!$C:$C,Order!$D:$D,"",0,1))</f>
        <v>L1</v>
      </c>
      <c r="E1770" s="4" t="e" vm="259">
        <f>IF($C1770="","",_xlfn.XLOOKUP($C1770,Order!$C:$C,Order!$E:$E,"",0,1))</f>
        <v>#VALUE!</v>
      </c>
      <c r="F1770" s="4">
        <f>IF($C1770="","",_xlfn.XLOOKUP($C1770,Order!$C:$C,Order!$F:$F,"",0,1))</f>
        <v>6000</v>
      </c>
      <c r="G1770" s="4" t="str">
        <f>IF($C1770="","",_xlfn.XLOOKUP($C1770,Order!$C:$C,Order!$G:$G,"",0,1))</f>
        <v>6063T5</v>
      </c>
      <c r="H1770" s="4">
        <f>IF($C1770="","",_xlfn.XLOOKUP($C1770,Order!$C:$C,Order!$H:$H,"",0,1))</f>
        <v>0.122</v>
      </c>
      <c r="I1770" s="36">
        <f>IF($C1770="","",_xlfn.XLOOKUP($C1770,Order!$C:$C,Order!$N:$N,"",0,1))</f>
        <v>0</v>
      </c>
      <c r="J1770" s="4" t="str">
        <f>IF(C1770="","",Order!$N$16)</f>
        <v>ELECT. CHAMPAGNE (FAYH02)</v>
      </c>
      <c r="K1770" s="36">
        <f>IF($C1770="","",_xlfn.XLOOKUP($C1770,Order!$C:$C,Order!$P:$P,"",0,1))</f>
        <v>0</v>
      </c>
      <c r="L1770" s="4">
        <f t="shared" si="27"/>
        <v>0</v>
      </c>
    </row>
    <row r="1771" spans="2:12" ht="23.25" hidden="1" customHeight="1" x14ac:dyDescent="0.25">
      <c r="B1771" s="4">
        <v>1766</v>
      </c>
      <c r="C1771" s="36" t="str">
        <f>IF(Order!$C$57="","",Order!$C$57)</f>
        <v>L1X1/16 (Angle L1 x 1/16")</v>
      </c>
      <c r="D1771" s="36" t="str">
        <f>IF($C1771="","",_xlfn.XLOOKUP($C1771,Order!$C:$C,Order!$D:$D,"",0,1))</f>
        <v>L1X1/16</v>
      </c>
      <c r="E1771" s="4" t="e" vm="259">
        <f>IF($C1771="","",_xlfn.XLOOKUP($C1771,Order!$C:$C,Order!$E:$E,"",0,1))</f>
        <v>#VALUE!</v>
      </c>
      <c r="F1771" s="4">
        <f>IF($C1771="","",_xlfn.XLOOKUP($C1771,Order!$C:$C,Order!$F:$F,"",0,1))</f>
        <v>6000</v>
      </c>
      <c r="G1771" s="4" t="str">
        <f>IF($C1771="","",_xlfn.XLOOKUP($C1771,Order!$C:$C,Order!$G:$G,"",0,1))</f>
        <v>6063T5</v>
      </c>
      <c r="H1771" s="4">
        <f>IF($C1771="","",_xlfn.XLOOKUP($C1771,Order!$C:$C,Order!$H:$H,"",0,1))</f>
        <v>0.21299999999999999</v>
      </c>
      <c r="I1771" s="36">
        <f>IF($C1771="","",_xlfn.XLOOKUP($C1771,Order!$C:$C,Order!$N:$N,"",0,1))</f>
        <v>0</v>
      </c>
      <c r="J1771" s="4" t="str">
        <f>IF(C1771="","",Order!$N$16)</f>
        <v>ELECT. CHAMPAGNE (FAYH02)</v>
      </c>
      <c r="K1771" s="36">
        <f>IF($C1771="","",_xlfn.XLOOKUP($C1771,Order!$C:$C,Order!$P:$P,"",0,1))</f>
        <v>0</v>
      </c>
      <c r="L1771" s="4">
        <f t="shared" si="27"/>
        <v>0</v>
      </c>
    </row>
    <row r="1772" spans="2:12" ht="23.25" hidden="1" customHeight="1" x14ac:dyDescent="0.25">
      <c r="B1772" s="4">
        <v>1767</v>
      </c>
      <c r="C1772" s="36" t="str">
        <f>IF(Order!$C$58="","",Order!$C$58)</f>
        <v>L1X1/8 (Angle L1 x 1/8" )</v>
      </c>
      <c r="D1772" s="36" t="str">
        <f>IF($C1772="","",_xlfn.XLOOKUP($C1772,Order!$C:$C,Order!$D:$D,"",0,1))</f>
        <v>L1X1/8</v>
      </c>
      <c r="E1772" s="4" t="e" vm="259">
        <f>IF($C1772="","",_xlfn.XLOOKUP($C1772,Order!$C:$C,Order!$E:$E,"",0,1))</f>
        <v>#VALUE!</v>
      </c>
      <c r="F1772" s="4">
        <f>IF($C1772="","",_xlfn.XLOOKUP($C1772,Order!$C:$C,Order!$F:$F,"",0,1))</f>
        <v>6000</v>
      </c>
      <c r="G1772" s="4" t="str">
        <f>IF($C1772="","",_xlfn.XLOOKUP($C1772,Order!$C:$C,Order!$G:$G,"",0,1))</f>
        <v>6063T5</v>
      </c>
      <c r="H1772" s="4">
        <f>IF($C1772="","",_xlfn.XLOOKUP($C1772,Order!$C:$C,Order!$H:$H,"",0,1))</f>
        <v>0.41299999999999998</v>
      </c>
      <c r="I1772" s="36">
        <f>IF($C1772="","",_xlfn.XLOOKUP($C1772,Order!$C:$C,Order!$N:$N,"",0,1))</f>
        <v>0</v>
      </c>
      <c r="J1772" s="4" t="str">
        <f>IF(C1772="","",Order!$N$16)</f>
        <v>ELECT. CHAMPAGNE (FAYH02)</v>
      </c>
      <c r="K1772" s="36">
        <f>IF($C1772="","",_xlfn.XLOOKUP($C1772,Order!$C:$C,Order!$P:$P,"",0,1))</f>
        <v>0</v>
      </c>
      <c r="L1772" s="4">
        <f t="shared" si="27"/>
        <v>0</v>
      </c>
    </row>
    <row r="1773" spans="2:12" ht="23.25" hidden="1" customHeight="1" x14ac:dyDescent="0.25">
      <c r="B1773" s="4">
        <v>1768</v>
      </c>
      <c r="C1773" s="36" t="str">
        <f>IF(Order!$C$59="","",Order!$C$59)</f>
        <v xml:space="preserve">L1.1/2X1/16 (Angle L 1.1/2x1/16" )　 </v>
      </c>
      <c r="D1773" s="36" t="str">
        <f>IF($C1773="","",_xlfn.XLOOKUP($C1773,Order!$C:$C,Order!$D:$D,"",0,1))</f>
        <v>L1.1/2X1/16</v>
      </c>
      <c r="E1773" s="4" t="e" vm="259">
        <f>IF($C1773="","",_xlfn.XLOOKUP($C1773,Order!$C:$C,Order!$E:$E,"",0,1))</f>
        <v>#VALUE!</v>
      </c>
      <c r="F1773" s="4">
        <f>IF($C1773="","",_xlfn.XLOOKUP($C1773,Order!$C:$C,Order!$F:$F,"",0,1))</f>
        <v>6000</v>
      </c>
      <c r="G1773" s="4" t="str">
        <f>IF($C1773="","",_xlfn.XLOOKUP($C1773,Order!$C:$C,Order!$G:$G,"",0,1))</f>
        <v>6063T5</v>
      </c>
      <c r="H1773" s="4">
        <f>IF($C1773="","",_xlfn.XLOOKUP($C1773,Order!$C:$C,Order!$H:$H,"",0,1))</f>
        <v>0.32400000000000001</v>
      </c>
      <c r="I1773" s="36">
        <f>IF($C1773="","",_xlfn.XLOOKUP($C1773,Order!$C:$C,Order!$N:$N,"",0,1))</f>
        <v>0</v>
      </c>
      <c r="J1773" s="4" t="str">
        <f>IF(C1773="","",Order!$N$16)</f>
        <v>ELECT. CHAMPAGNE (FAYH02)</v>
      </c>
      <c r="K1773" s="36">
        <f>IF($C1773="","",_xlfn.XLOOKUP($C1773,Order!$C:$C,Order!$P:$P,"",0,1))</f>
        <v>0</v>
      </c>
      <c r="L1773" s="4">
        <f t="shared" si="27"/>
        <v>0</v>
      </c>
    </row>
    <row r="1774" spans="2:12" ht="23.25" hidden="1" customHeight="1" x14ac:dyDescent="0.25">
      <c r="B1774" s="4">
        <v>1769</v>
      </c>
      <c r="C1774" s="36" t="str">
        <f>IF(Order!$C$60="","",Order!$C$60)</f>
        <v xml:space="preserve">L1.1/2X1/8 (Angle L 1.1/2x1/8") 　 </v>
      </c>
      <c r="D1774" s="36" t="str">
        <f>IF($C1774="","",_xlfn.XLOOKUP($C1774,Order!$C:$C,Order!$D:$D,"",0,1))</f>
        <v>L1.1/2X1/8</v>
      </c>
      <c r="E1774" s="4" t="e" vm="259">
        <f>IF($C1774="","",_xlfn.XLOOKUP($C1774,Order!$C:$C,Order!$E:$E,"",0,1))</f>
        <v>#VALUE!</v>
      </c>
      <c r="F1774" s="4">
        <f>IF($C1774="","",_xlfn.XLOOKUP($C1774,Order!$C:$C,Order!$F:$F,"",0,1))</f>
        <v>6000</v>
      </c>
      <c r="G1774" s="4" t="str">
        <f>IF($C1774="","",_xlfn.XLOOKUP($C1774,Order!$C:$C,Order!$G:$G,"",0,1))</f>
        <v>6063T5</v>
      </c>
      <c r="H1774" s="4">
        <f>IF($C1774="","",_xlfn.XLOOKUP($C1774,Order!$C:$C,Order!$H:$H,"",0,1))</f>
        <v>0.63400000000000001</v>
      </c>
      <c r="I1774" s="36">
        <f>IF($C1774="","",_xlfn.XLOOKUP($C1774,Order!$C:$C,Order!$N:$N,"",0,1))</f>
        <v>0</v>
      </c>
      <c r="J1774" s="4" t="str">
        <f>IF(C1774="","",Order!$N$16)</f>
        <v>ELECT. CHAMPAGNE (FAYH02)</v>
      </c>
      <c r="K1774" s="36">
        <f>IF($C1774="","",_xlfn.XLOOKUP($C1774,Order!$C:$C,Order!$P:$P,"",0,1))</f>
        <v>0</v>
      </c>
      <c r="L1774" s="4">
        <f t="shared" si="27"/>
        <v>0</v>
      </c>
    </row>
    <row r="1775" spans="2:12" ht="23.25" hidden="1" customHeight="1" x14ac:dyDescent="0.25">
      <c r="B1775" s="4">
        <v>1770</v>
      </c>
      <c r="C1775" s="36" t="str">
        <f>IF(Order!$C$61="","",Order!$C$61)</f>
        <v>L2X1/16 (Angle L 2 x 1/16")</v>
      </c>
      <c r="D1775" s="36" t="str">
        <f>IF($C1775="","",_xlfn.XLOOKUP($C1775,Order!$C:$C,Order!$D:$D,"",0,1))</f>
        <v>L2X1/16</v>
      </c>
      <c r="E1775" s="4" t="e" vm="259">
        <f>IF($C1775="","",_xlfn.XLOOKUP($C1775,Order!$C:$C,Order!$E:$E,"",0,1))</f>
        <v>#VALUE!</v>
      </c>
      <c r="F1775" s="4">
        <f>IF($C1775="","",_xlfn.XLOOKUP($C1775,Order!$C:$C,Order!$F:$F,"",0,1))</f>
        <v>6000</v>
      </c>
      <c r="G1775" s="4" t="str">
        <f>IF($C1775="","",_xlfn.XLOOKUP($C1775,Order!$C:$C,Order!$G:$G,"",0,1))</f>
        <v>6063T5</v>
      </c>
      <c r="H1775" s="4">
        <f>IF($C1775="","",_xlfn.XLOOKUP($C1775,Order!$C:$C,Order!$H:$H,"",0,1))</f>
        <v>0.434</v>
      </c>
      <c r="I1775" s="36">
        <f>IF($C1775="","",_xlfn.XLOOKUP($C1775,Order!$C:$C,Order!$N:$N,"",0,1))</f>
        <v>0</v>
      </c>
      <c r="J1775" s="4" t="str">
        <f>IF(C1775="","",Order!$N$16)</f>
        <v>ELECT. CHAMPAGNE (FAYH02)</v>
      </c>
      <c r="K1775" s="36">
        <f>IF($C1775="","",_xlfn.XLOOKUP($C1775,Order!$C:$C,Order!$P:$P,"",0,1))</f>
        <v>0</v>
      </c>
      <c r="L1775" s="4">
        <f t="shared" si="27"/>
        <v>0</v>
      </c>
    </row>
    <row r="1776" spans="2:12" ht="23.25" hidden="1" customHeight="1" x14ac:dyDescent="0.25">
      <c r="B1776" s="4">
        <v>1771</v>
      </c>
      <c r="C1776" s="36" t="str">
        <f>IF(Order!$C$62="","",Order!$C$62)</f>
        <v>L2 x 1/8  (Angle L 2 x 1/8")</v>
      </c>
      <c r="D1776" s="36" t="str">
        <f>IF($C1776="","",_xlfn.XLOOKUP($C1776,Order!$C:$C,Order!$D:$D,"",0,1))</f>
        <v>L2x1/8</v>
      </c>
      <c r="E1776" s="4" t="e" vm="259">
        <f>IF($C1776="","",_xlfn.XLOOKUP($C1776,Order!$C:$C,Order!$E:$E,"",0,1))</f>
        <v>#VALUE!</v>
      </c>
      <c r="F1776" s="4">
        <f>IF($C1776="","",_xlfn.XLOOKUP($C1776,Order!$C:$C,Order!$F:$F,"",0,1))</f>
        <v>6000</v>
      </c>
      <c r="G1776" s="4" t="str">
        <f>IF($C1776="","",_xlfn.XLOOKUP($C1776,Order!$C:$C,Order!$G:$G,"",0,1))</f>
        <v>6063T5</v>
      </c>
      <c r="H1776" s="4">
        <f>IF($C1776="","",_xlfn.XLOOKUP($C1776,Order!$C:$C,Order!$H:$H,"",0,1))</f>
        <v>0.85399999999999998</v>
      </c>
      <c r="I1776" s="36">
        <f>IF($C1776="","",_xlfn.XLOOKUP($C1776,Order!$C:$C,Order!$N:$N,"",0,1))</f>
        <v>0</v>
      </c>
      <c r="J1776" s="4" t="str">
        <f>IF(C1776="","",Order!$N$16)</f>
        <v>ELECT. CHAMPAGNE (FAYH02)</v>
      </c>
      <c r="K1776" s="36">
        <f>IF($C1776="","",_xlfn.XLOOKUP($C1776,Order!$C:$C,Order!$P:$P,"",0,1))</f>
        <v>0</v>
      </c>
      <c r="L1776" s="4">
        <f t="shared" si="27"/>
        <v>0</v>
      </c>
    </row>
    <row r="1777" spans="2:12" ht="23.25" hidden="1" customHeight="1" x14ac:dyDescent="0.25">
      <c r="B1777" s="4">
        <v>1772</v>
      </c>
      <c r="C1777" s="36" t="str">
        <f>IF(Order!$C$63="","",Order!$C$63)</f>
        <v>TRS3/16 (Round  solid 3/16")</v>
      </c>
      <c r="D1777" s="36" t="str">
        <f>IF($C1777="","",_xlfn.XLOOKUP($C1777,Order!$C:$C,Order!$D:$D,"",0,1))</f>
        <v>TRS3/16</v>
      </c>
      <c r="E1777" s="4" t="e" vm="260">
        <f>IF($C1777="","",_xlfn.XLOOKUP($C1777,Order!$C:$C,Order!$E:$E,"",0,1))</f>
        <v>#VALUE!</v>
      </c>
      <c r="F1777" s="4">
        <f>IF($C1777="","",_xlfn.XLOOKUP($C1777,Order!$C:$C,Order!$F:$F,"",0,1))</f>
        <v>6000</v>
      </c>
      <c r="G1777" s="4" t="str">
        <f>IF($C1777="","",_xlfn.XLOOKUP($C1777,Order!$C:$C,Order!$G:$G,"",0,1))</f>
        <v>6063T5</v>
      </c>
      <c r="H1777" s="4">
        <f>IF($C1777="","",_xlfn.XLOOKUP($C1777,Order!$C:$C,Order!$H:$H,"",0,1))</f>
        <v>4.7E-2</v>
      </c>
      <c r="I1777" s="36">
        <f>IF($C1777="","",_xlfn.XLOOKUP($C1777,Order!$C:$C,Order!$N:$N,"",0,1))</f>
        <v>0</v>
      </c>
      <c r="J1777" s="4" t="str">
        <f>IF(C1777="","",Order!$N$16)</f>
        <v>ELECT. CHAMPAGNE (FAYH02)</v>
      </c>
      <c r="K1777" s="36">
        <f>IF($C1777="","",_xlfn.XLOOKUP($C1777,Order!$C:$C,Order!$P:$P,"",0,1))</f>
        <v>0</v>
      </c>
      <c r="L1777" s="4">
        <f t="shared" si="27"/>
        <v>0</v>
      </c>
    </row>
    <row r="1778" spans="2:12" ht="23.25" hidden="1" customHeight="1" x14ac:dyDescent="0.25">
      <c r="B1778" s="4">
        <v>1773</v>
      </c>
      <c r="C1778" s="36" t="str">
        <f>IF(Order!$C$64="","",Order!$C$64)</f>
        <v>TRS1/4 (Round  solid 1/4")</v>
      </c>
      <c r="D1778" s="36" t="str">
        <f>IF($C1778="","",_xlfn.XLOOKUP($C1778,Order!$C:$C,Order!$D:$D,"",0,1))</f>
        <v>TRS1/4</v>
      </c>
      <c r="E1778" s="4" t="e" vm="260">
        <f>IF($C1778="","",_xlfn.XLOOKUP($C1778,Order!$C:$C,Order!$E:$E,"",0,1))</f>
        <v>#VALUE!</v>
      </c>
      <c r="F1778" s="4">
        <f>IF($C1778="","",_xlfn.XLOOKUP($C1778,Order!$C:$C,Order!$F:$F,"",0,1))</f>
        <v>6000</v>
      </c>
      <c r="G1778" s="4" t="str">
        <f>IF($C1778="","",_xlfn.XLOOKUP($C1778,Order!$C:$C,Order!$G:$G,"",0,1))</f>
        <v>6063T5</v>
      </c>
      <c r="H1778" s="4">
        <f>IF($C1778="","",_xlfn.XLOOKUP($C1778,Order!$C:$C,Order!$H:$H,"",0,1))</f>
        <v>8.5999999999999993E-2</v>
      </c>
      <c r="I1778" s="36">
        <f>IF($C1778="","",_xlfn.XLOOKUP($C1778,Order!$C:$C,Order!$N:$N,"",0,1))</f>
        <v>0</v>
      </c>
      <c r="J1778" s="4" t="str">
        <f>IF(C1778="","",Order!$N$16)</f>
        <v>ELECT. CHAMPAGNE (FAYH02)</v>
      </c>
      <c r="K1778" s="36">
        <f>IF($C1778="","",_xlfn.XLOOKUP($C1778,Order!$C:$C,Order!$P:$P,"",0,1))</f>
        <v>0</v>
      </c>
      <c r="L1778" s="4">
        <f t="shared" si="27"/>
        <v>0</v>
      </c>
    </row>
    <row r="1779" spans="2:12" ht="23.25" hidden="1" customHeight="1" x14ac:dyDescent="0.25">
      <c r="B1779" s="4">
        <v>1774</v>
      </c>
      <c r="C1779" s="36" t="str">
        <f>IF(Order!$C$65="","",Order!$C$65)</f>
        <v>TQS1/4 (Square solid 1/4")</v>
      </c>
      <c r="D1779" s="36" t="str">
        <f>IF($C1779="","",_xlfn.XLOOKUP($C1779,Order!$C:$C,Order!$D:$D,"",0,1))</f>
        <v>TQS1/4</v>
      </c>
      <c r="E1779" s="4" t="e" vm="261">
        <f>IF($C1779="","",_xlfn.XLOOKUP($C1779,Order!$C:$C,Order!$E:$E,"",0,1))</f>
        <v>#VALUE!</v>
      </c>
      <c r="F1779" s="4">
        <f>IF($C1779="","",_xlfn.XLOOKUP($C1779,Order!$C:$C,Order!$F:$F,"",0,1))</f>
        <v>6000</v>
      </c>
      <c r="G1779" s="4" t="str">
        <f>IF($C1779="","",_xlfn.XLOOKUP($C1779,Order!$C:$C,Order!$G:$G,"",0,1))</f>
        <v>6063T5</v>
      </c>
      <c r="H1779" s="4">
        <f>IF($C1779="","",_xlfn.XLOOKUP($C1779,Order!$C:$C,Order!$H:$H,"",0,1))</f>
        <v>0.11</v>
      </c>
      <c r="I1779" s="36">
        <f>IF($C1779="","",_xlfn.XLOOKUP($C1779,Order!$C:$C,Order!$N:$N,"",0,1))</f>
        <v>0</v>
      </c>
      <c r="J1779" s="4" t="str">
        <f>IF(C1779="","",Order!$N$16)</f>
        <v>ELECT. CHAMPAGNE (FAYH02)</v>
      </c>
      <c r="K1779" s="36">
        <f>IF($C1779="","",_xlfn.XLOOKUP($C1779,Order!$C:$C,Order!$P:$P,"",0,1))</f>
        <v>0</v>
      </c>
      <c r="L1779" s="4">
        <f t="shared" si="27"/>
        <v>0</v>
      </c>
    </row>
    <row r="1780" spans="2:12" ht="23.25" hidden="1" customHeight="1" x14ac:dyDescent="0.25">
      <c r="B1780" s="4">
        <v>1775</v>
      </c>
      <c r="C1780" s="36" t="str">
        <f>IF(Order!$C$66="","",Order!$C$66)</f>
        <v/>
      </c>
      <c r="D1780" s="36" t="str">
        <f>IF($C1780="","",_xlfn.XLOOKUP($C1780,Order!$C:$C,Order!$D:$D,"",0,1))</f>
        <v/>
      </c>
      <c r="E1780" s="4" t="str">
        <f>IF($C1780="","",_xlfn.XLOOKUP($C1780,Order!$C:$C,Order!$E:$E,"",0,1))</f>
        <v/>
      </c>
      <c r="F1780" s="4" t="str">
        <f>IF($C1780="","",_xlfn.XLOOKUP($C1780,Order!$C:$C,Order!$F:$F,"",0,1))</f>
        <v/>
      </c>
      <c r="G1780" s="4" t="str">
        <f>IF($C1780="","",_xlfn.XLOOKUP($C1780,Order!$C:$C,Order!$G:$G,"",0,1))</f>
        <v/>
      </c>
      <c r="H1780" s="4" t="str">
        <f>IF($C1780="","",_xlfn.XLOOKUP($C1780,Order!$C:$C,Order!$H:$H,"",0,1))</f>
        <v/>
      </c>
      <c r="I1780" s="36" t="str">
        <f>IF($C1780="","",_xlfn.XLOOKUP($C1780,Order!$C:$C,Order!$N:$N,"",0,1))</f>
        <v/>
      </c>
      <c r="J1780" s="4" t="str">
        <f>IF(C1780="","",Order!$N$16)</f>
        <v/>
      </c>
      <c r="K1780" s="36" t="str">
        <f>IF($C1780="","",_xlfn.XLOOKUP($C1780,Order!$C:$C,Order!$P:$P,"",0,1))</f>
        <v/>
      </c>
      <c r="L1780" s="4" t="str">
        <f t="shared" si="27"/>
        <v/>
      </c>
    </row>
    <row r="1781" spans="2:12" ht="23.25" hidden="1" customHeight="1" x14ac:dyDescent="0.25">
      <c r="B1781" s="4">
        <v>1776</v>
      </c>
      <c r="C1781" s="36" t="str">
        <f>IF(Order!$C$67="","",Order!$C$67)</f>
        <v/>
      </c>
      <c r="D1781" s="36" t="str">
        <f>IF($C1781="","",_xlfn.XLOOKUP($C1781,Order!$C:$C,Order!$D:$D,"",0,1))</f>
        <v/>
      </c>
      <c r="E1781" s="4" t="str">
        <f>IF($C1781="","",_xlfn.XLOOKUP($C1781,Order!$C:$C,Order!$E:$E,"",0,1))</f>
        <v/>
      </c>
      <c r="F1781" s="4" t="str">
        <f>IF($C1781="","",_xlfn.XLOOKUP($C1781,Order!$C:$C,Order!$F:$F,"",0,1))</f>
        <v/>
      </c>
      <c r="G1781" s="4" t="str">
        <f>IF($C1781="","",_xlfn.XLOOKUP($C1781,Order!$C:$C,Order!$G:$G,"",0,1))</f>
        <v/>
      </c>
      <c r="H1781" s="4" t="str">
        <f>IF($C1781="","",_xlfn.XLOOKUP($C1781,Order!$C:$C,Order!$H:$H,"",0,1))</f>
        <v/>
      </c>
      <c r="I1781" s="36" t="str">
        <f>IF($C1781="","",_xlfn.XLOOKUP($C1781,Order!$C:$C,Order!$N:$N,"",0,1))</f>
        <v/>
      </c>
      <c r="J1781" s="4" t="str">
        <f>IF(C1781="","",Order!$N$16)</f>
        <v/>
      </c>
      <c r="K1781" s="36" t="str">
        <f>IF($C1781="","",_xlfn.XLOOKUP($C1781,Order!$C:$C,Order!$P:$P,"",0,1))</f>
        <v/>
      </c>
      <c r="L1781" s="4" t="str">
        <f t="shared" si="27"/>
        <v/>
      </c>
    </row>
    <row r="1782" spans="2:12" ht="23.25" hidden="1" customHeight="1" x14ac:dyDescent="0.25">
      <c r="B1782" s="4">
        <v>1777</v>
      </c>
      <c r="C1782" s="36" t="str">
        <f>IF(Order!$C$68="","",Order!$C$68)</f>
        <v/>
      </c>
      <c r="D1782" s="36" t="str">
        <f>IF($C1782="","",_xlfn.XLOOKUP($C1782,Order!$C:$C,Order!$D:$D,"",0,1))</f>
        <v/>
      </c>
      <c r="E1782" s="4" t="str">
        <f>IF($C1782="","",_xlfn.XLOOKUP($C1782,Order!$C:$C,Order!$E:$E,"",0,1))</f>
        <v/>
      </c>
      <c r="F1782" s="4" t="str">
        <f>IF($C1782="","",_xlfn.XLOOKUP($C1782,Order!$C:$C,Order!$F:$F,"",0,1))</f>
        <v/>
      </c>
      <c r="G1782" s="4" t="str">
        <f>IF($C1782="","",_xlfn.XLOOKUP($C1782,Order!$C:$C,Order!$G:$G,"",0,1))</f>
        <v/>
      </c>
      <c r="H1782" s="4" t="str">
        <f>IF($C1782="","",_xlfn.XLOOKUP($C1782,Order!$C:$C,Order!$H:$H,"",0,1))</f>
        <v/>
      </c>
      <c r="I1782" s="36" t="str">
        <f>IF($C1782="","",_xlfn.XLOOKUP($C1782,Order!$C:$C,Order!$N:$N,"",0,1))</f>
        <v/>
      </c>
      <c r="J1782" s="4" t="str">
        <f>IF(C1782="","",Order!$N$16)</f>
        <v/>
      </c>
      <c r="K1782" s="36" t="str">
        <f>IF($C1782="","",_xlfn.XLOOKUP($C1782,Order!$C:$C,Order!$P:$P,"",0,1))</f>
        <v/>
      </c>
      <c r="L1782" s="4" t="str">
        <f t="shared" si="27"/>
        <v/>
      </c>
    </row>
    <row r="1783" spans="2:12" ht="23.25" hidden="1" customHeight="1" x14ac:dyDescent="0.25">
      <c r="B1783" s="4">
        <v>1778</v>
      </c>
      <c r="C1783" s="36" t="str">
        <f>IF(Order!$C$69="","",Order!$C$69)</f>
        <v/>
      </c>
      <c r="D1783" s="36" t="str">
        <f>IF($C1783="","",_xlfn.XLOOKUP($C1783,Order!$C:$C,Order!$D:$D,"",0,1))</f>
        <v/>
      </c>
      <c r="E1783" s="4" t="str">
        <f>IF($C1783="","",_xlfn.XLOOKUP($C1783,Order!$C:$C,Order!$E:$E,"",0,1))</f>
        <v/>
      </c>
      <c r="F1783" s="4" t="str">
        <f>IF($C1783="","",_xlfn.XLOOKUP($C1783,Order!$C:$C,Order!$F:$F,"",0,1))</f>
        <v/>
      </c>
      <c r="G1783" s="4" t="str">
        <f>IF($C1783="","",_xlfn.XLOOKUP($C1783,Order!$C:$C,Order!$G:$G,"",0,1))</f>
        <v/>
      </c>
      <c r="H1783" s="4" t="str">
        <f>IF($C1783="","",_xlfn.XLOOKUP($C1783,Order!$C:$C,Order!$H:$H,"",0,1))</f>
        <v/>
      </c>
      <c r="I1783" s="36" t="str">
        <f>IF($C1783="","",_xlfn.XLOOKUP($C1783,Order!$C:$C,Order!$N:$N,"",0,1))</f>
        <v/>
      </c>
      <c r="J1783" s="4" t="str">
        <f>IF(C1783="","",Order!$N$16)</f>
        <v/>
      </c>
      <c r="K1783" s="36" t="str">
        <f>IF($C1783="","",_xlfn.XLOOKUP($C1783,Order!$C:$C,Order!$P:$P,"",0,1))</f>
        <v/>
      </c>
      <c r="L1783" s="4" t="str">
        <f t="shared" si="27"/>
        <v/>
      </c>
    </row>
    <row r="1784" spans="2:12" ht="23.25" hidden="1" customHeight="1" x14ac:dyDescent="0.25">
      <c r="B1784" s="4">
        <v>1779</v>
      </c>
      <c r="C1784" s="36" t="str">
        <f>IF(Order!$C$70="","",Order!$C$70)</f>
        <v/>
      </c>
      <c r="D1784" s="36" t="str">
        <f>IF($C1784="","",_xlfn.XLOOKUP($C1784,Order!$C:$C,Order!$D:$D,"",0,1))</f>
        <v/>
      </c>
      <c r="E1784" s="4" t="str">
        <f>IF($C1784="","",_xlfn.XLOOKUP($C1784,Order!$C:$C,Order!$E:$E,"",0,1))</f>
        <v/>
      </c>
      <c r="F1784" s="4" t="str">
        <f>IF($C1784="","",_xlfn.XLOOKUP($C1784,Order!$C:$C,Order!$F:$F,"",0,1))</f>
        <v/>
      </c>
      <c r="G1784" s="4" t="str">
        <f>IF($C1784="","",_xlfn.XLOOKUP($C1784,Order!$C:$C,Order!$G:$G,"",0,1))</f>
        <v/>
      </c>
      <c r="H1784" s="4" t="str">
        <f>IF($C1784="","",_xlfn.XLOOKUP($C1784,Order!$C:$C,Order!$H:$H,"",0,1))</f>
        <v/>
      </c>
      <c r="I1784" s="36" t="str">
        <f>IF($C1784="","",_xlfn.XLOOKUP($C1784,Order!$C:$C,Order!$N:$N,"",0,1))</f>
        <v/>
      </c>
      <c r="J1784" s="4" t="str">
        <f>IF(C1784="","",Order!$N$16)</f>
        <v/>
      </c>
      <c r="K1784" s="36" t="str">
        <f>IF($C1784="","",_xlfn.XLOOKUP($C1784,Order!$C:$C,Order!$P:$P,"",0,1))</f>
        <v/>
      </c>
      <c r="L1784" s="4" t="str">
        <f t="shared" si="27"/>
        <v/>
      </c>
    </row>
    <row r="1785" spans="2:12" ht="23.25" hidden="1" customHeight="1" x14ac:dyDescent="0.25">
      <c r="B1785" s="4">
        <v>1780</v>
      </c>
      <c r="C1785" s="36" t="str">
        <f>IF(Order!$C$71="","",Order!$C$71)</f>
        <v/>
      </c>
      <c r="D1785" s="36" t="str">
        <f>IF($C1785="","",_xlfn.XLOOKUP($C1785,Order!$C:$C,Order!$D:$D,"",0,1))</f>
        <v/>
      </c>
      <c r="E1785" s="4" t="str">
        <f>IF($C1785="","",_xlfn.XLOOKUP($C1785,Order!$C:$C,Order!$E:$E,"",0,1))</f>
        <v/>
      </c>
      <c r="F1785" s="4" t="str">
        <f>IF($C1785="","",_xlfn.XLOOKUP($C1785,Order!$C:$C,Order!$F:$F,"",0,1))</f>
        <v/>
      </c>
      <c r="G1785" s="4" t="str">
        <f>IF($C1785="","",_xlfn.XLOOKUP($C1785,Order!$C:$C,Order!$G:$G,"",0,1))</f>
        <v/>
      </c>
      <c r="H1785" s="4" t="str">
        <f>IF($C1785="","",_xlfn.XLOOKUP($C1785,Order!$C:$C,Order!$H:$H,"",0,1))</f>
        <v/>
      </c>
      <c r="I1785" s="36" t="str">
        <f>IF($C1785="","",_xlfn.XLOOKUP($C1785,Order!$C:$C,Order!$N:$N,"",0,1))</f>
        <v/>
      </c>
      <c r="J1785" s="4" t="str">
        <f>IF(C1785="","",Order!$N$16)</f>
        <v/>
      </c>
      <c r="K1785" s="36" t="str">
        <f>IF($C1785="","",_xlfn.XLOOKUP($C1785,Order!$C:$C,Order!$P:$P,"",0,1))</f>
        <v/>
      </c>
      <c r="L1785" s="4" t="str">
        <f t="shared" si="27"/>
        <v/>
      </c>
    </row>
    <row r="1786" spans="2:12" ht="23.25" hidden="1" customHeight="1" x14ac:dyDescent="0.25">
      <c r="B1786" s="4">
        <v>1781</v>
      </c>
      <c r="C1786" s="36" t="str">
        <f>IF(Order!$C$72="","",Order!$C$72)</f>
        <v/>
      </c>
      <c r="D1786" s="36" t="str">
        <f>IF($C1786="","",_xlfn.XLOOKUP($C1786,Order!$C:$C,Order!$D:$D,"",0,1))</f>
        <v/>
      </c>
      <c r="E1786" s="4" t="str">
        <f>IF($C1786="","",_xlfn.XLOOKUP($C1786,Order!$C:$C,Order!$E:$E,"",0,1))</f>
        <v/>
      </c>
      <c r="F1786" s="4" t="str">
        <f>IF($C1786="","",_xlfn.XLOOKUP($C1786,Order!$C:$C,Order!$F:$F,"",0,1))</f>
        <v/>
      </c>
      <c r="G1786" s="4" t="str">
        <f>IF($C1786="","",_xlfn.XLOOKUP($C1786,Order!$C:$C,Order!$G:$G,"",0,1))</f>
        <v/>
      </c>
      <c r="H1786" s="4" t="str">
        <f>IF($C1786="","",_xlfn.XLOOKUP($C1786,Order!$C:$C,Order!$H:$H,"",0,1))</f>
        <v/>
      </c>
      <c r="I1786" s="36" t="str">
        <f>IF($C1786="","",_xlfn.XLOOKUP($C1786,Order!$C:$C,Order!$N:$N,"",0,1))</f>
        <v/>
      </c>
      <c r="J1786" s="4" t="str">
        <f>IF(C1786="","",Order!$N$16)</f>
        <v/>
      </c>
      <c r="K1786" s="36" t="str">
        <f>IF($C1786="","",_xlfn.XLOOKUP($C1786,Order!$C:$C,Order!$P:$P,"",0,1))</f>
        <v/>
      </c>
      <c r="L1786" s="4" t="str">
        <f t="shared" si="27"/>
        <v/>
      </c>
    </row>
    <row r="1787" spans="2:12" ht="23.25" hidden="1" customHeight="1" x14ac:dyDescent="0.25">
      <c r="B1787" s="4">
        <v>1782</v>
      </c>
      <c r="C1787" s="36" t="str">
        <f>IF(Order!$C$73="","",Order!$C$73)</f>
        <v/>
      </c>
      <c r="D1787" s="36" t="str">
        <f>IF($C1787="","",_xlfn.XLOOKUP($C1787,Order!$C:$C,Order!$D:$D,"",0,1))</f>
        <v/>
      </c>
      <c r="E1787" s="4" t="str">
        <f>IF($C1787="","",_xlfn.XLOOKUP($C1787,Order!$C:$C,Order!$E:$E,"",0,1))</f>
        <v/>
      </c>
      <c r="F1787" s="4" t="str">
        <f>IF($C1787="","",_xlfn.XLOOKUP($C1787,Order!$C:$C,Order!$F:$F,"",0,1))</f>
        <v/>
      </c>
      <c r="G1787" s="4" t="str">
        <f>IF($C1787="","",_xlfn.XLOOKUP($C1787,Order!$C:$C,Order!$G:$G,"",0,1))</f>
        <v/>
      </c>
      <c r="H1787" s="4" t="str">
        <f>IF($C1787="","",_xlfn.XLOOKUP($C1787,Order!$C:$C,Order!$H:$H,"",0,1))</f>
        <v/>
      </c>
      <c r="I1787" s="36" t="str">
        <f>IF($C1787="","",_xlfn.XLOOKUP($C1787,Order!$C:$C,Order!$N:$N,"",0,1))</f>
        <v/>
      </c>
      <c r="J1787" s="4" t="str">
        <f>IF(C1787="","",Order!$N$16)</f>
        <v/>
      </c>
      <c r="K1787" s="36" t="str">
        <f>IF($C1787="","",_xlfn.XLOOKUP($C1787,Order!$C:$C,Order!$P:$P,"",0,1))</f>
        <v/>
      </c>
      <c r="L1787" s="4" t="str">
        <f t="shared" si="27"/>
        <v/>
      </c>
    </row>
    <row r="1788" spans="2:12" ht="23.25" hidden="1" customHeight="1" x14ac:dyDescent="0.25">
      <c r="B1788" s="4">
        <v>1783</v>
      </c>
      <c r="C1788" s="36" t="str">
        <f>IF(Order!$C$74="","",Order!$C$74)</f>
        <v>CM200</v>
      </c>
      <c r="D1788" s="36" t="str">
        <f>IF($C1788="","",_xlfn.XLOOKUP($C1788,Order!$C:$C,Order!$D:$D,"",0,1))</f>
        <v>CM200</v>
      </c>
      <c r="E1788" s="4" t="e" vm="262">
        <f>IF($C1788="","",_xlfn.XLOOKUP($C1788,Order!$C:$C,Order!$E:$E,"",0,1))</f>
        <v>#VALUE!</v>
      </c>
      <c r="F1788" s="4">
        <f>IF($C1788="","",_xlfn.XLOOKUP($C1788,Order!$C:$C,Order!$F:$F,"",0,1))</f>
        <v>6000</v>
      </c>
      <c r="G1788" s="4" t="str">
        <f>IF($C1788="","",_xlfn.XLOOKUP($C1788,Order!$C:$C,Order!$G:$G,"",0,1))</f>
        <v>6063T5</v>
      </c>
      <c r="H1788" s="4">
        <f>IF($C1788="","",_xlfn.XLOOKUP($C1788,Order!$C:$C,Order!$H:$H,"",0,1))</f>
        <v>0.128</v>
      </c>
      <c r="I1788" s="36">
        <f>IF($C1788="","",_xlfn.XLOOKUP($C1788,Order!$C:$C,Order!$N:$N,"",0,1))</f>
        <v>0</v>
      </c>
      <c r="J1788" s="4" t="str">
        <f>IF(C1788="","",Order!$N$16)</f>
        <v>ELECT. CHAMPAGNE (FAYH02)</v>
      </c>
      <c r="K1788" s="36">
        <f>IF($C1788="","",_xlfn.XLOOKUP($C1788,Order!$C:$C,Order!$P:$P,"",0,1))</f>
        <v>0</v>
      </c>
      <c r="L1788" s="4">
        <f t="shared" si="27"/>
        <v>0</v>
      </c>
    </row>
    <row r="1789" spans="2:12" ht="23.25" hidden="1" customHeight="1" x14ac:dyDescent="0.25">
      <c r="B1789" s="4">
        <v>1784</v>
      </c>
      <c r="C1789" s="36" t="str">
        <f>IF(Order!$C$75="","",Order!$C$75)</f>
        <v>CL006</v>
      </c>
      <c r="D1789" s="36" t="str">
        <f>IF($C1789="","",_xlfn.XLOOKUP($C1789,Order!$C:$C,Order!$D:$D,"",0,1))</f>
        <v>CL006</v>
      </c>
      <c r="E1789" s="4" t="e" vm="263">
        <f>IF($C1789="","",_xlfn.XLOOKUP($C1789,Order!$C:$C,Order!$E:$E,"",0,1))</f>
        <v>#VALUE!</v>
      </c>
      <c r="F1789" s="4">
        <f>IF($C1789="","",_xlfn.XLOOKUP($C1789,Order!$C:$C,Order!$F:$F,"",0,1))</f>
        <v>6000</v>
      </c>
      <c r="G1789" s="4" t="str">
        <f>IF($C1789="","",_xlfn.XLOOKUP($C1789,Order!$C:$C,Order!$G:$G,"",0,1))</f>
        <v>6063T5</v>
      </c>
      <c r="H1789" s="4">
        <f>IF($C1789="","",_xlfn.XLOOKUP($C1789,Order!$C:$C,Order!$H:$H,"",0,1))</f>
        <v>1.115</v>
      </c>
      <c r="I1789" s="36">
        <f>IF($C1789="","",_xlfn.XLOOKUP($C1789,Order!$C:$C,Order!$N:$N,"",0,1))</f>
        <v>0</v>
      </c>
      <c r="J1789" s="4" t="str">
        <f>IF(C1789="","",Order!$N$16)</f>
        <v>ELECT. CHAMPAGNE (FAYH02)</v>
      </c>
      <c r="K1789" s="36">
        <f>IF($C1789="","",_xlfn.XLOOKUP($C1789,Order!$C:$C,Order!$P:$P,"",0,1))</f>
        <v>0</v>
      </c>
      <c r="L1789" s="4">
        <f t="shared" si="27"/>
        <v>0</v>
      </c>
    </row>
    <row r="1790" spans="2:12" ht="23.25" hidden="1" customHeight="1" x14ac:dyDescent="0.25">
      <c r="B1790" s="4">
        <v>1785</v>
      </c>
      <c r="C1790" s="36" t="str">
        <f>IF(Order!$C$76="","",Order!$C$76)</f>
        <v>CL011</v>
      </c>
      <c r="D1790" s="36" t="str">
        <f>IF($C1790="","",_xlfn.XLOOKUP($C1790,Order!$C:$C,Order!$D:$D,"",0,1))</f>
        <v>CL011</v>
      </c>
      <c r="E1790" s="4" t="e" vm="264">
        <f>IF($C1790="","",_xlfn.XLOOKUP($C1790,Order!$C:$C,Order!$E:$E,"",0,1))</f>
        <v>#VALUE!</v>
      </c>
      <c r="F1790" s="4">
        <f>IF($C1790="","",_xlfn.XLOOKUP($C1790,Order!$C:$C,Order!$F:$F,"",0,1))</f>
        <v>6000</v>
      </c>
      <c r="G1790" s="4" t="str">
        <f>IF($C1790="","",_xlfn.XLOOKUP($C1790,Order!$C:$C,Order!$G:$G,"",0,1))</f>
        <v>6063T5</v>
      </c>
      <c r="H1790" s="4">
        <f>IF($C1790="","",_xlfn.XLOOKUP($C1790,Order!$C:$C,Order!$H:$H,"",0,1))</f>
        <v>0.311</v>
      </c>
      <c r="I1790" s="36">
        <f>IF($C1790="","",_xlfn.XLOOKUP($C1790,Order!$C:$C,Order!$N:$N,"",0,1))</f>
        <v>0</v>
      </c>
      <c r="J1790" s="4" t="str">
        <f>IF(C1790="","",Order!$N$16)</f>
        <v>ELECT. CHAMPAGNE (FAYH02)</v>
      </c>
      <c r="K1790" s="36">
        <f>IF($C1790="","",_xlfn.XLOOKUP($C1790,Order!$C:$C,Order!$P:$P,"",0,1))</f>
        <v>0</v>
      </c>
      <c r="L1790" s="4">
        <f t="shared" si="27"/>
        <v>0</v>
      </c>
    </row>
    <row r="1791" spans="2:12" ht="23.25" hidden="1" customHeight="1" x14ac:dyDescent="0.25">
      <c r="B1791" s="4">
        <v>1786</v>
      </c>
      <c r="C1791" s="36" t="str">
        <f>IF(Order!$C$77="","",Order!$C$77)</f>
        <v>BX810</v>
      </c>
      <c r="D1791" s="36" t="str">
        <f>IF($C1791="","",_xlfn.XLOOKUP($C1791,Order!$C:$C,Order!$D:$D,"",0,1))</f>
        <v>BX810</v>
      </c>
      <c r="E1791" s="4" t="e" vm="265">
        <f>IF($C1791="","",_xlfn.XLOOKUP($C1791,Order!$C:$C,Order!$E:$E,"",0,1))</f>
        <v>#VALUE!</v>
      </c>
      <c r="F1791" s="4">
        <f>IF($C1791="","",_xlfn.XLOOKUP($C1791,Order!$C:$C,Order!$F:$F,"",0,1))</f>
        <v>6000</v>
      </c>
      <c r="G1791" s="4" t="str">
        <f>IF($C1791="","",_xlfn.XLOOKUP($C1791,Order!$C:$C,Order!$G:$G,"",0,1))</f>
        <v>6063T5</v>
      </c>
      <c r="H1791" s="4">
        <f>IF($C1791="","",_xlfn.XLOOKUP($C1791,Order!$C:$C,Order!$H:$H,"",0,1))</f>
        <v>0.53600000000000003</v>
      </c>
      <c r="I1791" s="36">
        <f>IF($C1791="","",_xlfn.XLOOKUP($C1791,Order!$C:$C,Order!$N:$N,"",0,1))</f>
        <v>0</v>
      </c>
      <c r="J1791" s="4" t="str">
        <f>IF(C1791="","",Order!$N$16)</f>
        <v>ELECT. CHAMPAGNE (FAYH02)</v>
      </c>
      <c r="K1791" s="36">
        <f>IF($C1791="","",_xlfn.XLOOKUP($C1791,Order!$C:$C,Order!$P:$P,"",0,1))</f>
        <v>0</v>
      </c>
      <c r="L1791" s="4">
        <f t="shared" si="27"/>
        <v>0</v>
      </c>
    </row>
    <row r="1792" spans="2:12" ht="23.25" hidden="1" customHeight="1" x14ac:dyDescent="0.25">
      <c r="B1792" s="4">
        <v>1787</v>
      </c>
      <c r="C1792" s="36" t="str">
        <f>IF(Order!$C$78="","",Order!$C$78)</f>
        <v>BX811</v>
      </c>
      <c r="D1792" s="36" t="str">
        <f>IF($C1792="","",_xlfn.XLOOKUP($C1792,Order!$C:$C,Order!$D:$D,"",0,1))</f>
        <v>BX811</v>
      </c>
      <c r="E1792" s="4" t="e" vm="266">
        <f>IF($C1792="","",_xlfn.XLOOKUP($C1792,Order!$C:$C,Order!$E:$E,"",0,1))</f>
        <v>#VALUE!</v>
      </c>
      <c r="F1792" s="4">
        <f>IF($C1792="","",_xlfn.XLOOKUP($C1792,Order!$C:$C,Order!$F:$F,"",0,1))</f>
        <v>6000</v>
      </c>
      <c r="G1792" s="4" t="str">
        <f>IF($C1792="","",_xlfn.XLOOKUP($C1792,Order!$C:$C,Order!$G:$G,"",0,1))</f>
        <v>6063T5</v>
      </c>
      <c r="H1792" s="4">
        <f>IF($C1792="","",_xlfn.XLOOKUP($C1792,Order!$C:$C,Order!$H:$H,"",0,1))</f>
        <v>0.35799999999999998</v>
      </c>
      <c r="I1792" s="36">
        <f>IF($C1792="","",_xlfn.XLOOKUP($C1792,Order!$C:$C,Order!$N:$N,"",0,1))</f>
        <v>0</v>
      </c>
      <c r="J1792" s="4" t="str">
        <f>IF(C1792="","",Order!$N$16)</f>
        <v>ELECT. CHAMPAGNE (FAYH02)</v>
      </c>
      <c r="K1792" s="36">
        <f>IF($C1792="","",_xlfn.XLOOKUP($C1792,Order!$C:$C,Order!$P:$P,"",0,1))</f>
        <v>0</v>
      </c>
      <c r="L1792" s="4">
        <f t="shared" si="27"/>
        <v>0</v>
      </c>
    </row>
    <row r="1793" spans="2:12" ht="23.25" hidden="1" customHeight="1" x14ac:dyDescent="0.25">
      <c r="B1793" s="4">
        <v>1788</v>
      </c>
      <c r="C1793" s="36" t="str">
        <f>IF(Order!$C$79="","",Order!$C$79)</f>
        <v>BX856</v>
      </c>
      <c r="D1793" s="36" t="str">
        <f>IF($C1793="","",_xlfn.XLOOKUP($C1793,Order!$C:$C,Order!$D:$D,"",0,1))</f>
        <v>BX856</v>
      </c>
      <c r="E1793" s="4" t="e" vm="267">
        <f>IF($C1793="","",_xlfn.XLOOKUP($C1793,Order!$C:$C,Order!$E:$E,"",0,1))</f>
        <v>#VALUE!</v>
      </c>
      <c r="F1793" s="4">
        <f>IF($C1793="","",_xlfn.XLOOKUP($C1793,Order!$C:$C,Order!$F:$F,"",0,1))</f>
        <v>6000</v>
      </c>
      <c r="G1793" s="4" t="str">
        <f>IF($C1793="","",_xlfn.XLOOKUP($C1793,Order!$C:$C,Order!$G:$G,"",0,1))</f>
        <v>6063T5</v>
      </c>
      <c r="H1793" s="4">
        <f>IF($C1793="","",_xlfn.XLOOKUP($C1793,Order!$C:$C,Order!$H:$H,"",0,1))</f>
        <v>0.22600000000000001</v>
      </c>
      <c r="I1793" s="36">
        <f>IF($C1793="","",_xlfn.XLOOKUP($C1793,Order!$C:$C,Order!$N:$N,"",0,1))</f>
        <v>0</v>
      </c>
      <c r="J1793" s="4" t="str">
        <f>IF(C1793="","",Order!$N$16)</f>
        <v>ELECT. CHAMPAGNE (FAYH02)</v>
      </c>
      <c r="K1793" s="36">
        <f>IF($C1793="","",_xlfn.XLOOKUP($C1793,Order!$C:$C,Order!$P:$P,"",0,1))</f>
        <v>0</v>
      </c>
      <c r="L1793" s="4">
        <f t="shared" si="27"/>
        <v>0</v>
      </c>
    </row>
    <row r="1794" spans="2:12" ht="23.25" hidden="1" customHeight="1" x14ac:dyDescent="0.25">
      <c r="B1794" s="4">
        <v>1789</v>
      </c>
      <c r="C1794" s="36" t="str">
        <f>IF(Order!$C$80="","",Order!$C$80)</f>
        <v>AF051</v>
      </c>
      <c r="D1794" s="36" t="str">
        <f>IF($C1794="","",_xlfn.XLOOKUP($C1794,Order!$C:$C,Order!$D:$D,"",0,1))</f>
        <v>AF051</v>
      </c>
      <c r="E1794" s="4" t="e" vm="268">
        <f>IF($C1794="","",_xlfn.XLOOKUP($C1794,Order!$C:$C,Order!$E:$E,"",0,1))</f>
        <v>#VALUE!</v>
      </c>
      <c r="F1794" s="4">
        <f>IF($C1794="","",_xlfn.XLOOKUP($C1794,Order!$C:$C,Order!$F:$F,"",0,1))</f>
        <v>6000</v>
      </c>
      <c r="G1794" s="4" t="str">
        <f>IF($C1794="","",_xlfn.XLOOKUP($C1794,Order!$C:$C,Order!$G:$G,"",0,1))</f>
        <v>6063T5</v>
      </c>
      <c r="H1794" s="4">
        <f>IF($C1794="","",_xlfn.XLOOKUP($C1794,Order!$C:$C,Order!$H:$H,"",0,1))</f>
        <v>0.2</v>
      </c>
      <c r="I1794" s="36">
        <f>IF($C1794="","",_xlfn.XLOOKUP($C1794,Order!$C:$C,Order!$N:$N,"",0,1))</f>
        <v>0</v>
      </c>
      <c r="J1794" s="4" t="str">
        <f>IF(C1794="","",Order!$N$16)</f>
        <v>ELECT. CHAMPAGNE (FAYH02)</v>
      </c>
      <c r="K1794" s="36">
        <f>IF($C1794="","",_xlfn.XLOOKUP($C1794,Order!$C:$C,Order!$P:$P,"",0,1))</f>
        <v>0</v>
      </c>
      <c r="L1794" s="4">
        <f t="shared" si="27"/>
        <v>0</v>
      </c>
    </row>
    <row r="1795" spans="2:12" ht="23.25" hidden="1" customHeight="1" x14ac:dyDescent="0.25">
      <c r="B1795" s="4">
        <v>1790</v>
      </c>
      <c r="C1795" s="36" t="str">
        <f>IF(Order!$C$81="","",Order!$C$81)</f>
        <v>AF053</v>
      </c>
      <c r="D1795" s="36" t="str">
        <f>IF($C1795="","",_xlfn.XLOOKUP($C1795,Order!$C:$C,Order!$D:$D,"",0,1))</f>
        <v>AF053</v>
      </c>
      <c r="E1795" s="4" t="e" vm="269">
        <f>IF($C1795="","",_xlfn.XLOOKUP($C1795,Order!$C:$C,Order!$E:$E,"",0,1))</f>
        <v>#VALUE!</v>
      </c>
      <c r="F1795" s="4">
        <f>IF($C1795="","",_xlfn.XLOOKUP($C1795,Order!$C:$C,Order!$F:$F,"",0,1))</f>
        <v>6000</v>
      </c>
      <c r="G1795" s="4" t="str">
        <f>IF($C1795="","",_xlfn.XLOOKUP($C1795,Order!$C:$C,Order!$G:$G,"",0,1))</f>
        <v>6063T5</v>
      </c>
      <c r="H1795" s="4">
        <f>IF($C1795="","",_xlfn.XLOOKUP($C1795,Order!$C:$C,Order!$H:$H,"",0,1))</f>
        <v>0.32500000000000001</v>
      </c>
      <c r="I1795" s="36">
        <f>IF($C1795="","",_xlfn.XLOOKUP($C1795,Order!$C:$C,Order!$N:$N,"",0,1))</f>
        <v>0</v>
      </c>
      <c r="J1795" s="4" t="str">
        <f>IF(C1795="","",Order!$N$16)</f>
        <v>ELECT. CHAMPAGNE (FAYH02)</v>
      </c>
      <c r="K1795" s="36">
        <f>IF($C1795="","",_xlfn.XLOOKUP($C1795,Order!$C:$C,Order!$P:$P,"",0,1))</f>
        <v>0</v>
      </c>
      <c r="L1795" s="4">
        <f t="shared" si="27"/>
        <v>0</v>
      </c>
    </row>
    <row r="1796" spans="2:12" ht="23.25" hidden="1" customHeight="1" x14ac:dyDescent="0.25">
      <c r="B1796" s="4">
        <v>1791</v>
      </c>
      <c r="C1796" s="36" t="str">
        <f>IF(Order!$C$82="","",Order!$C$82)</f>
        <v>AF055</v>
      </c>
      <c r="D1796" s="36" t="str">
        <f>IF($C1796="","",_xlfn.XLOOKUP($C1796,Order!$C:$C,Order!$D:$D,"",0,1))</f>
        <v>AF055</v>
      </c>
      <c r="E1796" s="4" t="e" vm="270">
        <f>IF($C1796="","",_xlfn.XLOOKUP($C1796,Order!$C:$C,Order!$E:$E,"",0,1))</f>
        <v>#VALUE!</v>
      </c>
      <c r="F1796" s="4">
        <f>IF($C1796="","",_xlfn.XLOOKUP($C1796,Order!$C:$C,Order!$F:$F,"",0,1))</f>
        <v>6000</v>
      </c>
      <c r="G1796" s="4" t="str">
        <f>IF($C1796="","",_xlfn.XLOOKUP($C1796,Order!$C:$C,Order!$G:$G,"",0,1))</f>
        <v>6063T5</v>
      </c>
      <c r="H1796" s="4">
        <f>IF($C1796="","",_xlfn.XLOOKUP($C1796,Order!$C:$C,Order!$H:$H,"",0,1))</f>
        <v>0.26400000000000001</v>
      </c>
      <c r="I1796" s="36">
        <f>IF($C1796="","",_xlfn.XLOOKUP($C1796,Order!$C:$C,Order!$N:$N,"",0,1))</f>
        <v>0</v>
      </c>
      <c r="J1796" s="4" t="str">
        <f>IF(C1796="","",Order!$N$16)</f>
        <v>ELECT. CHAMPAGNE (FAYH02)</v>
      </c>
      <c r="K1796" s="36">
        <f>IF($C1796="","",_xlfn.XLOOKUP($C1796,Order!$C:$C,Order!$P:$P,"",0,1))</f>
        <v>0</v>
      </c>
      <c r="L1796" s="4">
        <f t="shared" si="27"/>
        <v>0</v>
      </c>
    </row>
    <row r="1797" spans="2:12" ht="23.25" hidden="1" customHeight="1" x14ac:dyDescent="0.25">
      <c r="B1797" s="4">
        <v>1792</v>
      </c>
      <c r="C1797" s="36" t="str">
        <f>IF(Order!$C$83="","",Order!$C$83)</f>
        <v>AF056</v>
      </c>
      <c r="D1797" s="36" t="str">
        <f>IF($C1797="","",_xlfn.XLOOKUP($C1797,Order!$C:$C,Order!$D:$D,"",0,1))</f>
        <v>AF056</v>
      </c>
      <c r="E1797" s="4" t="e" vm="271">
        <f>IF($C1797="","",_xlfn.XLOOKUP($C1797,Order!$C:$C,Order!$E:$E,"",0,1))</f>
        <v>#VALUE!</v>
      </c>
      <c r="F1797" s="4">
        <f>IF($C1797="","",_xlfn.XLOOKUP($C1797,Order!$C:$C,Order!$F:$F,"",0,1))</f>
        <v>6000</v>
      </c>
      <c r="G1797" s="4" t="str">
        <f>IF($C1797="","",_xlfn.XLOOKUP($C1797,Order!$C:$C,Order!$G:$G,"",0,1))</f>
        <v>6063T5</v>
      </c>
      <c r="H1797" s="4">
        <f>IF($C1797="","",_xlfn.XLOOKUP($C1797,Order!$C:$C,Order!$H:$H,"",0,1))</f>
        <v>0</v>
      </c>
      <c r="I1797" s="36">
        <f>IF($C1797="","",_xlfn.XLOOKUP($C1797,Order!$C:$C,Order!$N:$N,"",0,1))</f>
        <v>0</v>
      </c>
      <c r="J1797" s="4" t="str">
        <f>IF(C1797="","",Order!$N$16)</f>
        <v>ELECT. CHAMPAGNE (FAYH02)</v>
      </c>
      <c r="K1797" s="36">
        <f>IF($C1797="","",_xlfn.XLOOKUP($C1797,Order!$C:$C,Order!$P:$P,"",0,1))</f>
        <v>0</v>
      </c>
      <c r="L1797" s="4">
        <f t="shared" si="27"/>
        <v>0</v>
      </c>
    </row>
    <row r="1798" spans="2:12" ht="23.25" hidden="1" customHeight="1" x14ac:dyDescent="0.25">
      <c r="B1798" s="4">
        <v>1793</v>
      </c>
      <c r="C1798" s="36" t="str">
        <f>IF(Order!$C$84="","",Order!$C$84)</f>
        <v>AF057</v>
      </c>
      <c r="D1798" s="36" t="str">
        <f>IF($C1798="","",_xlfn.XLOOKUP($C1798,Order!$C:$C,Order!$D:$D,"",0,1))</f>
        <v>AF057</v>
      </c>
      <c r="E1798" s="4" t="e" vm="272">
        <f>IF($C1798="","",_xlfn.XLOOKUP($C1798,Order!$C:$C,Order!$E:$E,"",0,1))</f>
        <v>#VALUE!</v>
      </c>
      <c r="F1798" s="4">
        <f>IF($C1798="","",_xlfn.XLOOKUP($C1798,Order!$C:$C,Order!$F:$F,"",0,1))</f>
        <v>6000</v>
      </c>
      <c r="G1798" s="4" t="str">
        <f>IF($C1798="","",_xlfn.XLOOKUP($C1798,Order!$C:$C,Order!$G:$G,"",0,1))</f>
        <v>6063T5</v>
      </c>
      <c r="H1798" s="4">
        <f>IF($C1798="","",_xlfn.XLOOKUP($C1798,Order!$C:$C,Order!$H:$H,"",0,1))</f>
        <v>0.39100000000000001</v>
      </c>
      <c r="I1798" s="36">
        <f>IF($C1798="","",_xlfn.XLOOKUP($C1798,Order!$C:$C,Order!$N:$N,"",0,1))</f>
        <v>0</v>
      </c>
      <c r="J1798" s="4" t="str">
        <f>IF(C1798="","",Order!$N$16)</f>
        <v>ELECT. CHAMPAGNE (FAYH02)</v>
      </c>
      <c r="K1798" s="36">
        <f>IF($C1798="","",_xlfn.XLOOKUP($C1798,Order!$C:$C,Order!$P:$P,"",0,1))</f>
        <v>0</v>
      </c>
      <c r="L1798" s="4">
        <f t="shared" si="27"/>
        <v>0</v>
      </c>
    </row>
    <row r="1799" spans="2:12" ht="23.25" hidden="1" customHeight="1" x14ac:dyDescent="0.25">
      <c r="B1799" s="4">
        <v>1794</v>
      </c>
      <c r="C1799" s="36" t="str">
        <f>IF(Order!$C$85="","",Order!$C$85)</f>
        <v>AF059</v>
      </c>
      <c r="D1799" s="36" t="str">
        <f>IF($C1799="","",_xlfn.XLOOKUP($C1799,Order!$C:$C,Order!$D:$D,"",0,1))</f>
        <v>AF059</v>
      </c>
      <c r="E1799" s="4" t="e" vm="273">
        <f>IF($C1799="","",_xlfn.XLOOKUP($C1799,Order!$C:$C,Order!$E:$E,"",0,1))</f>
        <v>#VALUE!</v>
      </c>
      <c r="F1799" s="4">
        <f>IF($C1799="","",_xlfn.XLOOKUP($C1799,Order!$C:$C,Order!$F:$F,"",0,1))</f>
        <v>6000</v>
      </c>
      <c r="G1799" s="4" t="str">
        <f>IF($C1799="","",_xlfn.XLOOKUP($C1799,Order!$C:$C,Order!$G:$G,"",0,1))</f>
        <v>6063T5</v>
      </c>
      <c r="H1799" s="4">
        <f>IF($C1799="","",_xlfn.XLOOKUP($C1799,Order!$C:$C,Order!$H:$H,"",0,1))</f>
        <v>0.443</v>
      </c>
      <c r="I1799" s="36">
        <f>IF($C1799="","",_xlfn.XLOOKUP($C1799,Order!$C:$C,Order!$N:$N,"",0,1))</f>
        <v>0</v>
      </c>
      <c r="J1799" s="4" t="str">
        <f>IF(C1799="","",Order!$N$16)</f>
        <v>ELECT. CHAMPAGNE (FAYH02)</v>
      </c>
      <c r="K1799" s="36">
        <f>IF($C1799="","",_xlfn.XLOOKUP($C1799,Order!$C:$C,Order!$P:$P,"",0,1))</f>
        <v>0</v>
      </c>
      <c r="L1799" s="4">
        <f t="shared" ref="L1799:L1862" si="28">IF(C1799="","",F1799/1000*H1799*I1799)</f>
        <v>0</v>
      </c>
    </row>
    <row r="1800" spans="2:12" ht="23.25" hidden="1" customHeight="1" x14ac:dyDescent="0.25">
      <c r="B1800" s="4">
        <v>1795</v>
      </c>
      <c r="C1800" s="36" t="str">
        <f>IF(Order!$C$86="","",Order!$C$86)</f>
        <v>AF060</v>
      </c>
      <c r="D1800" s="36" t="str">
        <f>IF($C1800="","",_xlfn.XLOOKUP($C1800,Order!$C:$C,Order!$D:$D,"",0,1))</f>
        <v>AF060</v>
      </c>
      <c r="E1800" s="4" t="e" vm="274">
        <f>IF($C1800="","",_xlfn.XLOOKUP($C1800,Order!$C:$C,Order!$E:$E,"",0,1))</f>
        <v>#VALUE!</v>
      </c>
      <c r="F1800" s="4">
        <f>IF($C1800="","",_xlfn.XLOOKUP($C1800,Order!$C:$C,Order!$F:$F,"",0,1))</f>
        <v>6000</v>
      </c>
      <c r="G1800" s="4" t="str">
        <f>IF($C1800="","",_xlfn.XLOOKUP($C1800,Order!$C:$C,Order!$G:$G,"",0,1))</f>
        <v>6063T5</v>
      </c>
      <c r="H1800" s="4">
        <f>IF($C1800="","",_xlfn.XLOOKUP($C1800,Order!$C:$C,Order!$H:$H,"",0,1))</f>
        <v>0.45200000000000001</v>
      </c>
      <c r="I1800" s="36">
        <f>IF($C1800="","",_xlfn.XLOOKUP($C1800,Order!$C:$C,Order!$N:$N,"",0,1))</f>
        <v>0</v>
      </c>
      <c r="J1800" s="4" t="str">
        <f>IF(C1800="","",Order!$N$16)</f>
        <v>ELECT. CHAMPAGNE (FAYH02)</v>
      </c>
      <c r="K1800" s="36">
        <f>IF($C1800="","",_xlfn.XLOOKUP($C1800,Order!$C:$C,Order!$P:$P,"",0,1))</f>
        <v>0</v>
      </c>
      <c r="L1800" s="4">
        <f t="shared" si="28"/>
        <v>0</v>
      </c>
    </row>
    <row r="1801" spans="2:12" ht="23.25" hidden="1" customHeight="1" x14ac:dyDescent="0.25">
      <c r="B1801" s="4">
        <v>1796</v>
      </c>
      <c r="C1801" s="36" t="str">
        <f>IF(Order!$C$87="","",Order!$C$87)</f>
        <v>AF061 15E</v>
      </c>
      <c r="D1801" s="36" t="str">
        <f>IF($C1801="","",_xlfn.XLOOKUP($C1801,Order!$C:$C,Order!$D:$D,"",0,1))</f>
        <v>AF 061 15E</v>
      </c>
      <c r="E1801" s="4" t="e" vm="275">
        <f>IF($C1801="","",_xlfn.XLOOKUP($C1801,Order!$C:$C,Order!$E:$E,"",0,1))</f>
        <v>#VALUE!</v>
      </c>
      <c r="F1801" s="4">
        <f>IF($C1801="","",_xlfn.XLOOKUP($C1801,Order!$C:$C,Order!$F:$F,"",0,1))</f>
        <v>6000</v>
      </c>
      <c r="G1801" s="4" t="str">
        <f>IF($C1801="","",_xlfn.XLOOKUP($C1801,Order!$C:$C,Order!$G:$G,"",0,1))</f>
        <v>6063T5</v>
      </c>
      <c r="H1801" s="4">
        <f>IF($C1801="","",_xlfn.XLOOKUP($C1801,Order!$C:$C,Order!$H:$H,"",0,1))</f>
        <v>0.20200000000000001</v>
      </c>
      <c r="I1801" s="36">
        <f>IF($C1801="","",_xlfn.XLOOKUP($C1801,Order!$C:$C,Order!$N:$N,"",0,1))</f>
        <v>0</v>
      </c>
      <c r="J1801" s="4" t="str">
        <f>IF(C1801="","",Order!$N$16)</f>
        <v>ELECT. CHAMPAGNE (FAYH02)</v>
      </c>
      <c r="K1801" s="36">
        <f>IF($C1801="","",_xlfn.XLOOKUP($C1801,Order!$C:$C,Order!$P:$P,"",0,1))</f>
        <v>0</v>
      </c>
      <c r="L1801" s="4">
        <f t="shared" si="28"/>
        <v>0</v>
      </c>
    </row>
    <row r="1802" spans="2:12" ht="23.25" hidden="1" customHeight="1" x14ac:dyDescent="0.25">
      <c r="B1802" s="4">
        <v>1797</v>
      </c>
      <c r="C1802" s="36" t="str">
        <f>IF(Order!$C$88="","",Order!$C$88)</f>
        <v>AF061 15</v>
      </c>
      <c r="D1802" s="36" t="str">
        <f>IF($C1802="","",_xlfn.XLOOKUP($C1802,Order!$C:$C,Order!$D:$D,"",0,1))</f>
        <v>AF061 15</v>
      </c>
      <c r="E1802" s="4" t="e" vm="276">
        <f>IF($C1802="","",_xlfn.XLOOKUP($C1802,Order!$C:$C,Order!$E:$E,"",0,1))</f>
        <v>#VALUE!</v>
      </c>
      <c r="F1802" s="4">
        <f>IF($C1802="","",_xlfn.XLOOKUP($C1802,Order!$C:$C,Order!$F:$F,"",0,1))</f>
        <v>6000</v>
      </c>
      <c r="G1802" s="4" t="str">
        <f>IF($C1802="","",_xlfn.XLOOKUP($C1802,Order!$C:$C,Order!$G:$G,"",0,1))</f>
        <v>6063T5</v>
      </c>
      <c r="H1802" s="4">
        <f>IF($C1802="","",_xlfn.XLOOKUP($C1802,Order!$C:$C,Order!$H:$H,"",0,1))</f>
        <v>0.36399999999999999</v>
      </c>
      <c r="I1802" s="36">
        <f>IF($C1802="","",_xlfn.XLOOKUP($C1802,Order!$C:$C,Order!$N:$N,"",0,1))</f>
        <v>0</v>
      </c>
      <c r="J1802" s="4" t="str">
        <f>IF(C1802="","",Order!$N$16)</f>
        <v>ELECT. CHAMPAGNE (FAYH02)</v>
      </c>
      <c r="K1802" s="36">
        <f>IF($C1802="","",_xlfn.XLOOKUP($C1802,Order!$C:$C,Order!$P:$P,"",0,1))</f>
        <v>0</v>
      </c>
      <c r="L1802" s="4">
        <f t="shared" si="28"/>
        <v>0</v>
      </c>
    </row>
    <row r="1803" spans="2:12" ht="23.25" hidden="1" customHeight="1" x14ac:dyDescent="0.25">
      <c r="B1803" s="4">
        <v>1798</v>
      </c>
      <c r="C1803" s="36" t="str">
        <f>IF(Order!$C$89="","",Order!$C$89)</f>
        <v>AF061 18</v>
      </c>
      <c r="D1803" s="36" t="str">
        <f>IF($C1803="","",_xlfn.XLOOKUP($C1803,Order!$C:$C,Order!$D:$D,"",0,1))</f>
        <v>AF061 18</v>
      </c>
      <c r="E1803" s="4" t="e" vm="277">
        <f>IF($C1803="","",_xlfn.XLOOKUP($C1803,Order!$C:$C,Order!$E:$E,"",0,1))</f>
        <v>#VALUE!</v>
      </c>
      <c r="F1803" s="4">
        <f>IF($C1803="","",_xlfn.XLOOKUP($C1803,Order!$C:$C,Order!$F:$F,"",0,1))</f>
        <v>6000</v>
      </c>
      <c r="G1803" s="4" t="str">
        <f>IF($C1803="","",_xlfn.XLOOKUP($C1803,Order!$C:$C,Order!$G:$G,"",0,1))</f>
        <v>6063T5</v>
      </c>
      <c r="H1803" s="4">
        <f>IF($C1803="","",_xlfn.XLOOKUP($C1803,Order!$C:$C,Order!$H:$H,"",0,1))</f>
        <v>0</v>
      </c>
      <c r="I1803" s="36">
        <f>IF($C1803="","",_xlfn.XLOOKUP($C1803,Order!$C:$C,Order!$N:$N,"",0,1))</f>
        <v>0</v>
      </c>
      <c r="J1803" s="4" t="str">
        <f>IF(C1803="","",Order!$N$16)</f>
        <v>ELECT. CHAMPAGNE (FAYH02)</v>
      </c>
      <c r="K1803" s="36">
        <f>IF($C1803="","",_xlfn.XLOOKUP($C1803,Order!$C:$C,Order!$P:$P,"",0,1))</f>
        <v>0</v>
      </c>
      <c r="L1803" s="4">
        <f t="shared" si="28"/>
        <v>0</v>
      </c>
    </row>
    <row r="1804" spans="2:12" ht="23.25" hidden="1" customHeight="1" x14ac:dyDescent="0.25">
      <c r="B1804" s="4">
        <v>1799</v>
      </c>
      <c r="C1804" s="36" t="str">
        <f>IF(Order!$C$90="","",Order!$C$90)</f>
        <v>AF066</v>
      </c>
      <c r="D1804" s="36" t="str">
        <f>IF($C1804="","",_xlfn.XLOOKUP($C1804,Order!$C:$C,Order!$D:$D,"",0,1))</f>
        <v>AF066</v>
      </c>
      <c r="E1804" s="4" t="e" vm="278">
        <f>IF($C1804="","",_xlfn.XLOOKUP($C1804,Order!$C:$C,Order!$E:$E,"",0,1))</f>
        <v>#VALUE!</v>
      </c>
      <c r="F1804" s="4">
        <f>IF($C1804="","",_xlfn.XLOOKUP($C1804,Order!$C:$C,Order!$F:$F,"",0,1))</f>
        <v>6000</v>
      </c>
      <c r="G1804" s="4" t="str">
        <f>IF($C1804="","",_xlfn.XLOOKUP($C1804,Order!$C:$C,Order!$G:$G,"",0,1))</f>
        <v>6063T5</v>
      </c>
      <c r="H1804" s="4">
        <f>IF($C1804="","",_xlfn.XLOOKUP($C1804,Order!$C:$C,Order!$H:$H,"",0,1))</f>
        <v>0</v>
      </c>
      <c r="I1804" s="36">
        <f>IF($C1804="","",_xlfn.XLOOKUP($C1804,Order!$C:$C,Order!$N:$N,"",0,1))</f>
        <v>0</v>
      </c>
      <c r="J1804" s="4" t="str">
        <f>IF(C1804="","",Order!$N$16)</f>
        <v>ELECT. CHAMPAGNE (FAYH02)</v>
      </c>
      <c r="K1804" s="36">
        <f>IF($C1804="","",_xlfn.XLOOKUP($C1804,Order!$C:$C,Order!$P:$P,"",0,1))</f>
        <v>0</v>
      </c>
      <c r="L1804" s="4">
        <f t="shared" si="28"/>
        <v>0</v>
      </c>
    </row>
    <row r="1805" spans="2:12" ht="23.25" hidden="1" customHeight="1" x14ac:dyDescent="0.25">
      <c r="B1805" s="4">
        <v>1800</v>
      </c>
      <c r="C1805" s="36" t="str">
        <f>IF(Order!$C$91="","",Order!$C$91)</f>
        <v>AFY-15</v>
      </c>
      <c r="D1805" s="36" t="str">
        <f>IF($C1805="","",_xlfn.XLOOKUP($C1805,Order!$C:$C,Order!$D:$D,"",0,1))</f>
        <v>AFY-15</v>
      </c>
      <c r="E1805" s="4" t="e" vm="279">
        <f>IF($C1805="","",_xlfn.XLOOKUP($C1805,Order!$C:$C,Order!$E:$E,"",0,1))</f>
        <v>#VALUE!</v>
      </c>
      <c r="F1805" s="4">
        <f>IF($C1805="","",_xlfn.XLOOKUP($C1805,Order!$C:$C,Order!$F:$F,"",0,1))</f>
        <v>6000</v>
      </c>
      <c r="G1805" s="4" t="str">
        <f>IF($C1805="","",_xlfn.XLOOKUP($C1805,Order!$C:$C,Order!$G:$G,"",0,1))</f>
        <v>6063T5</v>
      </c>
      <c r="H1805" s="4">
        <f>IF($C1805="","",_xlfn.XLOOKUP($C1805,Order!$C:$C,Order!$H:$H,"",0,1))</f>
        <v>0.308</v>
      </c>
      <c r="I1805" s="36">
        <f>IF($C1805="","",_xlfn.XLOOKUP($C1805,Order!$C:$C,Order!$N:$N,"",0,1))</f>
        <v>0</v>
      </c>
      <c r="J1805" s="4" t="str">
        <f>IF(C1805="","",Order!$N$16)</f>
        <v>ELECT. CHAMPAGNE (FAYH02)</v>
      </c>
      <c r="K1805" s="36">
        <f>IF($C1805="","",_xlfn.XLOOKUP($C1805,Order!$C:$C,Order!$P:$P,"",0,1))</f>
        <v>0</v>
      </c>
      <c r="L1805" s="4">
        <f t="shared" si="28"/>
        <v>0</v>
      </c>
    </row>
    <row r="1806" spans="2:12" ht="23.25" hidden="1" customHeight="1" x14ac:dyDescent="0.25">
      <c r="B1806" s="4">
        <v>1801</v>
      </c>
      <c r="C1806" s="36" t="str">
        <f>IF(Order!$C$92="","",Order!$C$92)</f>
        <v>BX275</v>
      </c>
      <c r="D1806" s="36" t="str">
        <f>IF($C1806="","",_xlfn.XLOOKUP($C1806,Order!$C:$C,Order!$D:$D,"",0,1))</f>
        <v>BX275</v>
      </c>
      <c r="E1806" s="4" t="e" vm="280">
        <f>IF($C1806="","",_xlfn.XLOOKUP($C1806,Order!$C:$C,Order!$E:$E,"",0,1))</f>
        <v>#VALUE!</v>
      </c>
      <c r="F1806" s="4">
        <f>IF($C1806="","",_xlfn.XLOOKUP($C1806,Order!$C:$C,Order!$F:$F,"",0,1))</f>
        <v>6000</v>
      </c>
      <c r="G1806" s="4" t="str">
        <f>IF($C1806="","",_xlfn.XLOOKUP($C1806,Order!$C:$C,Order!$G:$G,"",0,1))</f>
        <v>6063T5</v>
      </c>
      <c r="H1806" s="4">
        <f>IF($C1806="","",_xlfn.XLOOKUP($C1806,Order!$C:$C,Order!$H:$H,"",0,1))</f>
        <v>0.72299999999999998</v>
      </c>
      <c r="I1806" s="36">
        <f>IF($C1806="","",_xlfn.XLOOKUP($C1806,Order!$C:$C,Order!$N:$N,"",0,1))</f>
        <v>0</v>
      </c>
      <c r="J1806" s="4" t="str">
        <f>IF(C1806="","",Order!$N$16)</f>
        <v>ELECT. CHAMPAGNE (FAYH02)</v>
      </c>
      <c r="K1806" s="36">
        <f>IF($C1806="","",_xlfn.XLOOKUP($C1806,Order!$C:$C,Order!$P:$P,"",0,1))</f>
        <v>0</v>
      </c>
      <c r="L1806" s="4">
        <f t="shared" si="28"/>
        <v>0</v>
      </c>
    </row>
    <row r="1807" spans="2:12" ht="23.25" hidden="1" customHeight="1" x14ac:dyDescent="0.25">
      <c r="B1807" s="4">
        <v>1802</v>
      </c>
      <c r="C1807" s="36" t="str">
        <f>IF(Order!$C$93="","",Order!$C$93)</f>
        <v>DV021</v>
      </c>
      <c r="D1807" s="36" t="str">
        <f>IF($C1807="","",_xlfn.XLOOKUP($C1807,Order!$C:$C,Order!$D:$D,"",0,1))</f>
        <v>DV021</v>
      </c>
      <c r="E1807" s="4" t="e" vm="281">
        <f>IF($C1807="","",_xlfn.XLOOKUP($C1807,Order!$C:$C,Order!$E:$E,"",0,1))</f>
        <v>#VALUE!</v>
      </c>
      <c r="F1807" s="4">
        <f>IF($C1807="","",_xlfn.XLOOKUP($C1807,Order!$C:$C,Order!$F:$F,"",0,1))</f>
        <v>6000</v>
      </c>
      <c r="G1807" s="4" t="str">
        <f>IF($C1807="","",_xlfn.XLOOKUP($C1807,Order!$C:$C,Order!$G:$G,"",0,1))</f>
        <v>6063T5</v>
      </c>
      <c r="H1807" s="4">
        <f>IF($C1807="","",_xlfn.XLOOKUP($C1807,Order!$C:$C,Order!$H:$H,"",0,1))</f>
        <v>0.32800000000000001</v>
      </c>
      <c r="I1807" s="36">
        <f>IF($C1807="","",_xlfn.XLOOKUP($C1807,Order!$C:$C,Order!$N:$N,"",0,1))</f>
        <v>0</v>
      </c>
      <c r="J1807" s="4" t="str">
        <f>IF(C1807="","",Order!$N$16)</f>
        <v>ELECT. CHAMPAGNE (FAYH02)</v>
      </c>
      <c r="K1807" s="36">
        <f>IF($C1807="","",_xlfn.XLOOKUP($C1807,Order!$C:$C,Order!$P:$P,"",0,1))</f>
        <v>0</v>
      </c>
      <c r="L1807" s="4">
        <f t="shared" si="28"/>
        <v>0</v>
      </c>
    </row>
    <row r="1808" spans="2:12" ht="23.25" hidden="1" customHeight="1" x14ac:dyDescent="0.25">
      <c r="B1808" s="4">
        <v>1803</v>
      </c>
      <c r="C1808" s="36" t="str">
        <f>IF(Order!$C$94="","",Order!$C$94)</f>
        <v>DV021A</v>
      </c>
      <c r="D1808" s="36" t="str">
        <f>IF($C1808="","",_xlfn.XLOOKUP($C1808,Order!$C:$C,Order!$D:$D,"",0,1))</f>
        <v>DV021A</v>
      </c>
      <c r="E1808" s="4" t="e" vm="282">
        <f>IF($C1808="","",_xlfn.XLOOKUP($C1808,Order!$C:$C,Order!$E:$E,"",0,1))</f>
        <v>#VALUE!</v>
      </c>
      <c r="F1808" s="4">
        <f>IF($C1808="","",_xlfn.XLOOKUP($C1808,Order!$C:$C,Order!$F:$F,"",0,1))</f>
        <v>6000</v>
      </c>
      <c r="G1808" s="4" t="str">
        <f>IF($C1808="","",_xlfn.XLOOKUP($C1808,Order!$C:$C,Order!$G:$G,"",0,1))</f>
        <v>6063T5</v>
      </c>
      <c r="H1808" s="4">
        <f>IF($C1808="","",_xlfn.XLOOKUP($C1808,Order!$C:$C,Order!$H:$H,"",0,1))</f>
        <v>0.317</v>
      </c>
      <c r="I1808" s="36">
        <f>IF($C1808="","",_xlfn.XLOOKUP($C1808,Order!$C:$C,Order!$N:$N,"",0,1))</f>
        <v>0</v>
      </c>
      <c r="J1808" s="4" t="str">
        <f>IF(C1808="","",Order!$N$16)</f>
        <v>ELECT. CHAMPAGNE (FAYH02)</v>
      </c>
      <c r="K1808" s="36">
        <f>IF($C1808="","",_xlfn.XLOOKUP($C1808,Order!$C:$C,Order!$P:$P,"",0,1))</f>
        <v>0</v>
      </c>
      <c r="L1808" s="4">
        <f t="shared" si="28"/>
        <v>0</v>
      </c>
    </row>
    <row r="1809" spans="2:12" ht="23.25" hidden="1" customHeight="1" x14ac:dyDescent="0.25">
      <c r="B1809" s="4">
        <v>1804</v>
      </c>
      <c r="C1809" s="36" t="str">
        <f>IF(Order!$C$95="","",Order!$C$95)</f>
        <v>DV022</v>
      </c>
      <c r="D1809" s="36" t="str">
        <f>IF($C1809="","",_xlfn.XLOOKUP($C1809,Order!$C:$C,Order!$D:$D,"",0,1))</f>
        <v>DV022</v>
      </c>
      <c r="E1809" s="4" t="e" vm="283">
        <f>IF($C1809="","",_xlfn.XLOOKUP($C1809,Order!$C:$C,Order!$E:$E,"",0,1))</f>
        <v>#VALUE!</v>
      </c>
      <c r="F1809" s="4">
        <f>IF($C1809="","",_xlfn.XLOOKUP($C1809,Order!$C:$C,Order!$F:$F,"",0,1))</f>
        <v>6000</v>
      </c>
      <c r="G1809" s="4" t="str">
        <f>IF($C1809="","",_xlfn.XLOOKUP($C1809,Order!$C:$C,Order!$G:$G,"",0,1))</f>
        <v>6063T5</v>
      </c>
      <c r="H1809" s="4">
        <f>IF($C1809="","",_xlfn.XLOOKUP($C1809,Order!$C:$C,Order!$H:$H,"",0,1))</f>
        <v>0.32400000000000001</v>
      </c>
      <c r="I1809" s="36">
        <f>IF($C1809="","",_xlfn.XLOOKUP($C1809,Order!$C:$C,Order!$N:$N,"",0,1))</f>
        <v>0</v>
      </c>
      <c r="J1809" s="4" t="str">
        <f>IF(C1809="","",Order!$N$16)</f>
        <v>ELECT. CHAMPAGNE (FAYH02)</v>
      </c>
      <c r="K1809" s="36">
        <f>IF($C1809="","",_xlfn.XLOOKUP($C1809,Order!$C:$C,Order!$P:$P,"",0,1))</f>
        <v>0</v>
      </c>
      <c r="L1809" s="4">
        <f t="shared" si="28"/>
        <v>0</v>
      </c>
    </row>
    <row r="1810" spans="2:12" ht="23.25" hidden="1" customHeight="1" x14ac:dyDescent="0.25">
      <c r="B1810" s="4">
        <v>1805</v>
      </c>
      <c r="C1810" s="36" t="str">
        <f>IF(Order!$C$96="","",Order!$C$96)</f>
        <v>DV185</v>
      </c>
      <c r="D1810" s="36" t="str">
        <f>IF($C1810="","",_xlfn.XLOOKUP($C1810,Order!$C:$C,Order!$D:$D,"",0,1))</f>
        <v>DV185</v>
      </c>
      <c r="E1810" s="4" t="e" vm="284">
        <f>IF($C1810="","",_xlfn.XLOOKUP($C1810,Order!$C:$C,Order!$E:$E,"",0,1))</f>
        <v>#VALUE!</v>
      </c>
      <c r="F1810" s="4">
        <f>IF($C1810="","",_xlfn.XLOOKUP($C1810,Order!$C:$C,Order!$F:$F,"",0,1))</f>
        <v>6000</v>
      </c>
      <c r="G1810" s="4" t="str">
        <f>IF($C1810="","",_xlfn.XLOOKUP($C1810,Order!$C:$C,Order!$G:$G,"",0,1))</f>
        <v>6063T5</v>
      </c>
      <c r="H1810" s="4">
        <f>IF($C1810="","",_xlfn.XLOOKUP($C1810,Order!$C:$C,Order!$H:$H,"",0,1))</f>
        <v>0.34499999999999997</v>
      </c>
      <c r="I1810" s="36">
        <f>IF($C1810="","",_xlfn.XLOOKUP($C1810,Order!$C:$C,Order!$N:$N,"",0,1))</f>
        <v>0</v>
      </c>
      <c r="J1810" s="4" t="str">
        <f>IF(C1810="","",Order!$N$16)</f>
        <v>ELECT. CHAMPAGNE (FAYH02)</v>
      </c>
      <c r="K1810" s="36">
        <f>IF($C1810="","",_xlfn.XLOOKUP($C1810,Order!$C:$C,Order!$P:$P,"",0,1))</f>
        <v>0</v>
      </c>
      <c r="L1810" s="4">
        <f t="shared" si="28"/>
        <v>0</v>
      </c>
    </row>
    <row r="1811" spans="2:12" ht="23.25" hidden="1" customHeight="1" x14ac:dyDescent="0.25">
      <c r="B1811" s="4">
        <v>1806</v>
      </c>
      <c r="C1811" s="36" t="str">
        <f>IF(Order!$C$97="","",Order!$C$97)</f>
        <v>DV389</v>
      </c>
      <c r="D1811" s="36" t="str">
        <f>IF($C1811="","",_xlfn.XLOOKUP($C1811,Order!$C:$C,Order!$D:$D,"",0,1))</f>
        <v>DV389</v>
      </c>
      <c r="E1811" s="4" t="e" vm="285">
        <f>IF($C1811="","",_xlfn.XLOOKUP($C1811,Order!$C:$C,Order!$E:$E,"",0,1))</f>
        <v>#VALUE!</v>
      </c>
      <c r="F1811" s="4">
        <f>IF($C1811="","",_xlfn.XLOOKUP($C1811,Order!$C:$C,Order!$F:$F,"",0,1))</f>
        <v>6000</v>
      </c>
      <c r="G1811" s="4" t="str">
        <f>IF($C1811="","",_xlfn.XLOOKUP($C1811,Order!$C:$C,Order!$G:$G,"",0,1))</f>
        <v>6063T5</v>
      </c>
      <c r="H1811" s="4">
        <f>IF($C1811="","",_xlfn.XLOOKUP($C1811,Order!$C:$C,Order!$H:$H,"",0,1))</f>
        <v>0.79700000000000004</v>
      </c>
      <c r="I1811" s="36">
        <f>IF($C1811="","",_xlfn.XLOOKUP($C1811,Order!$C:$C,Order!$N:$N,"",0,1))</f>
        <v>0</v>
      </c>
      <c r="J1811" s="4" t="str">
        <f>IF(C1811="","",Order!$N$16)</f>
        <v>ELECT. CHAMPAGNE (FAYH02)</v>
      </c>
      <c r="K1811" s="36">
        <f>IF($C1811="","",_xlfn.XLOOKUP($C1811,Order!$C:$C,Order!$P:$P,"",0,1))</f>
        <v>0</v>
      </c>
      <c r="L1811" s="4">
        <f t="shared" si="28"/>
        <v>0</v>
      </c>
    </row>
    <row r="1812" spans="2:12" ht="23.25" hidden="1" customHeight="1" x14ac:dyDescent="0.25">
      <c r="B1812" s="4">
        <v>1807</v>
      </c>
      <c r="C1812" s="36" t="str">
        <f>IF(Order!$C$98="","",Order!$C$98)</f>
        <v>BX628</v>
      </c>
      <c r="D1812" s="36" t="str">
        <f>IF($C1812="","",_xlfn.XLOOKUP($C1812,Order!$C:$C,Order!$D:$D,"",0,1))</f>
        <v>BX628</v>
      </c>
      <c r="E1812" s="4" t="e" vm="286">
        <f>IF($C1812="","",_xlfn.XLOOKUP($C1812,Order!$C:$C,Order!$E:$E,"",0,1))</f>
        <v>#VALUE!</v>
      </c>
      <c r="F1812" s="4">
        <f>IF($C1812="","",_xlfn.XLOOKUP($C1812,Order!$C:$C,Order!$F:$F,"",0,1))</f>
        <v>6000</v>
      </c>
      <c r="G1812" s="4" t="str">
        <f>IF($C1812="","",_xlfn.XLOOKUP($C1812,Order!$C:$C,Order!$G:$G,"",0,1))</f>
        <v>6063T5</v>
      </c>
      <c r="H1812" s="4">
        <f>IF($C1812="","",_xlfn.XLOOKUP($C1812,Order!$C:$C,Order!$H:$H,"",0,1))</f>
        <v>0.42199999999999999</v>
      </c>
      <c r="I1812" s="36">
        <f>IF($C1812="","",_xlfn.XLOOKUP($C1812,Order!$C:$C,Order!$N:$N,"",0,1))</f>
        <v>0</v>
      </c>
      <c r="J1812" s="4" t="str">
        <f>IF(C1812="","",Order!$N$16)</f>
        <v>ELECT. CHAMPAGNE (FAYH02)</v>
      </c>
      <c r="K1812" s="36">
        <f>IF($C1812="","",_xlfn.XLOOKUP($C1812,Order!$C:$C,Order!$P:$P,"",0,1))</f>
        <v>0</v>
      </c>
      <c r="L1812" s="4">
        <f t="shared" si="28"/>
        <v>0</v>
      </c>
    </row>
    <row r="1813" spans="2:12" ht="23.25" hidden="1" customHeight="1" x14ac:dyDescent="0.25">
      <c r="B1813" s="4">
        <v>1808</v>
      </c>
      <c r="C1813" s="36" t="str">
        <f>IF(Order!$C$99="","",Order!$C$99)</f>
        <v>BX705</v>
      </c>
      <c r="D1813" s="36" t="str">
        <f>IF($C1813="","",_xlfn.XLOOKUP($C1813,Order!$C:$C,Order!$D:$D,"",0,1))</f>
        <v>BX705</v>
      </c>
      <c r="E1813" s="4" t="e" vm="287">
        <f>IF($C1813="","",_xlfn.XLOOKUP($C1813,Order!$C:$C,Order!$E:$E,"",0,1))</f>
        <v>#VALUE!</v>
      </c>
      <c r="F1813" s="4">
        <f>IF($C1813="","",_xlfn.XLOOKUP($C1813,Order!$C:$C,Order!$F:$F,"",0,1))</f>
        <v>6000</v>
      </c>
      <c r="G1813" s="4" t="str">
        <f>IF($C1813="","",_xlfn.XLOOKUP($C1813,Order!$C:$C,Order!$G:$G,"",0,1))</f>
        <v>6063T5</v>
      </c>
      <c r="H1813" s="4">
        <f>IF($C1813="","",_xlfn.XLOOKUP($C1813,Order!$C:$C,Order!$H:$H,"",0,1))</f>
        <v>0.21199999999999999</v>
      </c>
      <c r="I1813" s="36">
        <f>IF($C1813="","",_xlfn.XLOOKUP($C1813,Order!$C:$C,Order!$N:$N,"",0,1))</f>
        <v>0</v>
      </c>
      <c r="J1813" s="4" t="str">
        <f>IF(C1813="","",Order!$N$16)</f>
        <v>ELECT. CHAMPAGNE (FAYH02)</v>
      </c>
      <c r="K1813" s="36">
        <f>IF($C1813="","",_xlfn.XLOOKUP($C1813,Order!$C:$C,Order!$P:$P,"",0,1))</f>
        <v>0</v>
      </c>
      <c r="L1813" s="4">
        <f t="shared" si="28"/>
        <v>0</v>
      </c>
    </row>
    <row r="1814" spans="2:12" ht="23.25" hidden="1" customHeight="1" x14ac:dyDescent="0.25">
      <c r="B1814" s="4">
        <v>1809</v>
      </c>
      <c r="C1814" s="36" t="str">
        <f>IF(Order!$C$100="","",Order!$C$100)</f>
        <v>BX818</v>
      </c>
      <c r="D1814" s="36" t="str">
        <f>IF($C1814="","",_xlfn.XLOOKUP($C1814,Order!$C:$C,Order!$D:$D,"",0,1))</f>
        <v>BX818</v>
      </c>
      <c r="E1814" s="4" t="e" vm="288">
        <f>IF($C1814="","",_xlfn.XLOOKUP($C1814,Order!$C:$C,Order!$E:$E,"",0,1))</f>
        <v>#VALUE!</v>
      </c>
      <c r="F1814" s="4">
        <f>IF($C1814="","",_xlfn.XLOOKUP($C1814,Order!$C:$C,Order!$F:$F,"",0,1))</f>
        <v>6000</v>
      </c>
      <c r="G1814" s="4" t="str">
        <f>IF($C1814="","",_xlfn.XLOOKUP($C1814,Order!$C:$C,Order!$G:$G,"",0,1))</f>
        <v>6063T5</v>
      </c>
      <c r="H1814" s="4">
        <f>IF($C1814="","",_xlfn.XLOOKUP($C1814,Order!$C:$C,Order!$H:$H,"",0,1))</f>
        <v>0</v>
      </c>
      <c r="I1814" s="36">
        <f>IF($C1814="","",_xlfn.XLOOKUP($C1814,Order!$C:$C,Order!$N:$N,"",0,1))</f>
        <v>0</v>
      </c>
      <c r="J1814" s="4" t="str">
        <f>IF(C1814="","",Order!$N$16)</f>
        <v>ELECT. CHAMPAGNE (FAYH02)</v>
      </c>
      <c r="K1814" s="36">
        <f>IF($C1814="","",_xlfn.XLOOKUP($C1814,Order!$C:$C,Order!$P:$P,"",0,1))</f>
        <v>0</v>
      </c>
      <c r="L1814" s="4">
        <f t="shared" si="28"/>
        <v>0</v>
      </c>
    </row>
    <row r="1815" spans="2:12" ht="23.25" hidden="1" customHeight="1" x14ac:dyDescent="0.25">
      <c r="B1815" s="4">
        <v>1810</v>
      </c>
      <c r="C1815" s="36" t="str">
        <f>IF(Order!$C$101="","",Order!$C$101)</f>
        <v>BX819</v>
      </c>
      <c r="D1815" s="36" t="str">
        <f>IF($C1815="","",_xlfn.XLOOKUP($C1815,Order!$C:$C,Order!$D:$D,"",0,1))</f>
        <v>BX819</v>
      </c>
      <c r="E1815" s="4" t="e" vm="289">
        <f>IF($C1815="","",_xlfn.XLOOKUP($C1815,Order!$C:$C,Order!$E:$E,"",0,1))</f>
        <v>#VALUE!</v>
      </c>
      <c r="F1815" s="4">
        <f>IF($C1815="","",_xlfn.XLOOKUP($C1815,Order!$C:$C,Order!$F:$F,"",0,1))</f>
        <v>6000</v>
      </c>
      <c r="G1815" s="4" t="str">
        <f>IF($C1815="","",_xlfn.XLOOKUP($C1815,Order!$C:$C,Order!$G:$G,"",0,1))</f>
        <v>6063T5</v>
      </c>
      <c r="H1815" s="4">
        <f>IF($C1815="","",_xlfn.XLOOKUP($C1815,Order!$C:$C,Order!$H:$H,"",0,1))</f>
        <v>0.216</v>
      </c>
      <c r="I1815" s="36">
        <f>IF($C1815="","",_xlfn.XLOOKUP($C1815,Order!$C:$C,Order!$N:$N,"",0,1))</f>
        <v>0</v>
      </c>
      <c r="J1815" s="4" t="str">
        <f>IF(C1815="","",Order!$N$16)</f>
        <v>ELECT. CHAMPAGNE (FAYH02)</v>
      </c>
      <c r="K1815" s="36">
        <f>IF($C1815="","",_xlfn.XLOOKUP($C1815,Order!$C:$C,Order!$P:$P,"",0,1))</f>
        <v>0</v>
      </c>
      <c r="L1815" s="4">
        <f t="shared" si="28"/>
        <v>0</v>
      </c>
    </row>
    <row r="1816" spans="2:12" ht="23.25" hidden="1" customHeight="1" x14ac:dyDescent="0.25">
      <c r="B1816" s="4">
        <v>1811</v>
      </c>
      <c r="C1816" s="36" t="str">
        <f>IF(Order!$C$102="","",Order!$C$102)</f>
        <v>BX820</v>
      </c>
      <c r="D1816" s="36" t="str">
        <f>IF($C1816="","",_xlfn.XLOOKUP($C1816,Order!$C:$C,Order!$D:$D,"",0,1))</f>
        <v>BX820</v>
      </c>
      <c r="E1816" s="4" t="e" vm="290">
        <f>IF($C1816="","",_xlfn.XLOOKUP($C1816,Order!$C:$C,Order!$E:$E,"",0,1))</f>
        <v>#VALUE!</v>
      </c>
      <c r="F1816" s="4">
        <f>IF($C1816="","",_xlfn.XLOOKUP($C1816,Order!$C:$C,Order!$F:$F,"",0,1))</f>
        <v>6000</v>
      </c>
      <c r="G1816" s="4" t="str">
        <f>IF($C1816="","",_xlfn.XLOOKUP($C1816,Order!$C:$C,Order!$G:$G,"",0,1))</f>
        <v>6063T5</v>
      </c>
      <c r="H1816" s="4">
        <f>IF($C1816="","",_xlfn.XLOOKUP($C1816,Order!$C:$C,Order!$H:$H,"",0,1))</f>
        <v>0.74299999999999999</v>
      </c>
      <c r="I1816" s="36">
        <f>IF($C1816="","",_xlfn.XLOOKUP($C1816,Order!$C:$C,Order!$N:$N,"",0,1))</f>
        <v>0</v>
      </c>
      <c r="J1816" s="4" t="str">
        <f>IF(C1816="","",Order!$N$16)</f>
        <v>ELECT. CHAMPAGNE (FAYH02)</v>
      </c>
      <c r="K1816" s="36">
        <f>IF($C1816="","",_xlfn.XLOOKUP($C1816,Order!$C:$C,Order!$P:$P,"",0,1))</f>
        <v>0</v>
      </c>
      <c r="L1816" s="4">
        <f t="shared" si="28"/>
        <v>0</v>
      </c>
    </row>
    <row r="1817" spans="2:12" ht="23.25" hidden="1" customHeight="1" x14ac:dyDescent="0.25">
      <c r="B1817" s="4">
        <v>1812</v>
      </c>
      <c r="C1817" s="36" t="str">
        <f>IF(Order!$C$103="","",Order!$C$103)</f>
        <v>BX838</v>
      </c>
      <c r="D1817" s="36" t="str">
        <f>IF($C1817="","",_xlfn.XLOOKUP($C1817,Order!$C:$C,Order!$D:$D,"",0,1))</f>
        <v>BX838</v>
      </c>
      <c r="E1817" s="4" t="e" vm="291">
        <f>IF($C1817="","",_xlfn.XLOOKUP($C1817,Order!$C:$C,Order!$E:$E,"",0,1))</f>
        <v>#VALUE!</v>
      </c>
      <c r="F1817" s="4">
        <f>IF($C1817="","",_xlfn.XLOOKUP($C1817,Order!$C:$C,Order!$F:$F,"",0,1))</f>
        <v>6000</v>
      </c>
      <c r="G1817" s="4" t="str">
        <f>IF($C1817="","",_xlfn.XLOOKUP($C1817,Order!$C:$C,Order!$G:$G,"",0,1))</f>
        <v>6063T5</v>
      </c>
      <c r="H1817" s="4">
        <f>IF($C1817="","",_xlfn.XLOOKUP($C1817,Order!$C:$C,Order!$H:$H,"",0,1))</f>
        <v>0.26800000000000002</v>
      </c>
      <c r="I1817" s="36">
        <f>IF($C1817="","",_xlfn.XLOOKUP($C1817,Order!$C:$C,Order!$N:$N,"",0,1))</f>
        <v>0</v>
      </c>
      <c r="J1817" s="4" t="str">
        <f>IF(C1817="","",Order!$N$16)</f>
        <v>ELECT. CHAMPAGNE (FAYH02)</v>
      </c>
      <c r="K1817" s="36">
        <f>IF($C1817="","",_xlfn.XLOOKUP($C1817,Order!$C:$C,Order!$P:$P,"",0,1))</f>
        <v>0</v>
      </c>
      <c r="L1817" s="4">
        <f t="shared" si="28"/>
        <v>0</v>
      </c>
    </row>
    <row r="1818" spans="2:12" ht="23.25" hidden="1" customHeight="1" x14ac:dyDescent="0.25">
      <c r="B1818" s="4">
        <v>1813</v>
      </c>
      <c r="C1818" s="36" t="str">
        <f>IF(Order!$C$104="","",Order!$C$104)</f>
        <v>BX855</v>
      </c>
      <c r="D1818" s="36" t="str">
        <f>IF($C1818="","",_xlfn.XLOOKUP($C1818,Order!$C:$C,Order!$D:$D,"",0,1))</f>
        <v>BX855</v>
      </c>
      <c r="E1818" s="4" t="e" vm="292">
        <f>IF($C1818="","",_xlfn.XLOOKUP($C1818,Order!$C:$C,Order!$E:$E,"",0,1))</f>
        <v>#VALUE!</v>
      </c>
      <c r="F1818" s="4">
        <f>IF($C1818="","",_xlfn.XLOOKUP($C1818,Order!$C:$C,Order!$F:$F,"",0,1))</f>
        <v>6000</v>
      </c>
      <c r="G1818" s="4" t="str">
        <f>IF($C1818="","",_xlfn.XLOOKUP($C1818,Order!$C:$C,Order!$G:$G,"",0,1))</f>
        <v>6063T5</v>
      </c>
      <c r="H1818" s="4">
        <f>IF($C1818="","",_xlfn.XLOOKUP($C1818,Order!$C:$C,Order!$H:$H,"",0,1))</f>
        <v>0.34599999999999997</v>
      </c>
      <c r="I1818" s="36">
        <f>IF($C1818="","",_xlfn.XLOOKUP($C1818,Order!$C:$C,Order!$N:$N,"",0,1))</f>
        <v>0</v>
      </c>
      <c r="J1818" s="4" t="str">
        <f>IF(C1818="","",Order!$N$16)</f>
        <v>ELECT. CHAMPAGNE (FAYH02)</v>
      </c>
      <c r="K1818" s="36">
        <f>IF($C1818="","",_xlfn.XLOOKUP($C1818,Order!$C:$C,Order!$P:$P,"",0,1))</f>
        <v>0</v>
      </c>
      <c r="L1818" s="4">
        <f t="shared" si="28"/>
        <v>0</v>
      </c>
    </row>
    <row r="1819" spans="2:12" ht="23.25" hidden="1" customHeight="1" x14ac:dyDescent="0.25">
      <c r="B1819" s="4">
        <v>1814</v>
      </c>
      <c r="C1819" s="36" t="str">
        <f>IF(Order!$C$105="","",Order!$C$105)</f>
        <v>BX952</v>
      </c>
      <c r="D1819" s="36" t="str">
        <f>IF($C1819="","",_xlfn.XLOOKUP($C1819,Order!$C:$C,Order!$D:$D,"",0,1))</f>
        <v>BX952</v>
      </c>
      <c r="E1819" s="4" t="e" vm="293">
        <f>IF($C1819="","",_xlfn.XLOOKUP($C1819,Order!$C:$C,Order!$E:$E,"",0,1))</f>
        <v>#VALUE!</v>
      </c>
      <c r="F1819" s="4">
        <f>IF($C1819="","",_xlfn.XLOOKUP($C1819,Order!$C:$C,Order!$F:$F,"",0,1))</f>
        <v>6000</v>
      </c>
      <c r="G1819" s="4" t="str">
        <f>IF($C1819="","",_xlfn.XLOOKUP($C1819,Order!$C:$C,Order!$G:$G,"",0,1))</f>
        <v>6063T5</v>
      </c>
      <c r="H1819" s="4">
        <f>IF($C1819="","",_xlfn.XLOOKUP($C1819,Order!$C:$C,Order!$H:$H,"",0,1))</f>
        <v>0.22900000000000001</v>
      </c>
      <c r="I1819" s="36">
        <f>IF($C1819="","",_xlfn.XLOOKUP($C1819,Order!$C:$C,Order!$N:$N,"",0,1))</f>
        <v>0</v>
      </c>
      <c r="J1819" s="4" t="str">
        <f>IF(C1819="","",Order!$N$16)</f>
        <v>ELECT. CHAMPAGNE (FAYH02)</v>
      </c>
      <c r="K1819" s="36">
        <f>IF($C1819="","",_xlfn.XLOOKUP($C1819,Order!$C:$C,Order!$P:$P,"",0,1))</f>
        <v>0</v>
      </c>
      <c r="L1819" s="4">
        <f t="shared" si="28"/>
        <v>0</v>
      </c>
    </row>
    <row r="1820" spans="2:12" ht="23.25" hidden="1" customHeight="1" x14ac:dyDescent="0.25">
      <c r="B1820" s="4">
        <v>1815</v>
      </c>
      <c r="C1820" s="36" t="str">
        <f>IF(Order!$C$106="","",Order!$C$106)</f>
        <v>BX954</v>
      </c>
      <c r="D1820" s="36" t="str">
        <f>IF($C1820="","",_xlfn.XLOOKUP($C1820,Order!$C:$C,Order!$D:$D,"",0,1))</f>
        <v>BX954</v>
      </c>
      <c r="E1820" s="4" t="e" vm="294">
        <f>IF($C1820="","",_xlfn.XLOOKUP($C1820,Order!$C:$C,Order!$E:$E,"",0,1))</f>
        <v>#VALUE!</v>
      </c>
      <c r="F1820" s="4">
        <f>IF($C1820="","",_xlfn.XLOOKUP($C1820,Order!$C:$C,Order!$F:$F,"",0,1))</f>
        <v>6000</v>
      </c>
      <c r="G1820" s="4" t="str">
        <f>IF($C1820="","",_xlfn.XLOOKUP($C1820,Order!$C:$C,Order!$G:$G,"",0,1))</f>
        <v>6063T5</v>
      </c>
      <c r="H1820" s="4">
        <f>IF($C1820="","",_xlfn.XLOOKUP($C1820,Order!$C:$C,Order!$H:$H,"",0,1))</f>
        <v>0.47199999999999998</v>
      </c>
      <c r="I1820" s="36">
        <f>IF($C1820="","",_xlfn.XLOOKUP($C1820,Order!$C:$C,Order!$N:$N,"",0,1))</f>
        <v>0</v>
      </c>
      <c r="J1820" s="4" t="str">
        <f>IF(C1820="","",Order!$N$16)</f>
        <v>ELECT. CHAMPAGNE (FAYH02)</v>
      </c>
      <c r="K1820" s="36">
        <f>IF($C1820="","",_xlfn.XLOOKUP($C1820,Order!$C:$C,Order!$P:$P,"",0,1))</f>
        <v>0</v>
      </c>
      <c r="L1820" s="4">
        <f t="shared" si="28"/>
        <v>0</v>
      </c>
    </row>
    <row r="1821" spans="2:12" ht="23.25" hidden="1" customHeight="1" x14ac:dyDescent="0.25">
      <c r="B1821" s="4">
        <v>1816</v>
      </c>
      <c r="C1821" s="36" t="str">
        <f>IF(Order!$C$107="","",Order!$C$107)</f>
        <v>BX955</v>
      </c>
      <c r="D1821" s="36" t="str">
        <f>IF($C1821="","",_xlfn.XLOOKUP($C1821,Order!$C:$C,Order!$D:$D,"",0,1))</f>
        <v>BX955</v>
      </c>
      <c r="E1821" s="4" t="e" vm="295">
        <f>IF($C1821="","",_xlfn.XLOOKUP($C1821,Order!$C:$C,Order!$E:$E,"",0,1))</f>
        <v>#VALUE!</v>
      </c>
      <c r="F1821" s="4">
        <f>IF($C1821="","",_xlfn.XLOOKUP($C1821,Order!$C:$C,Order!$F:$F,"",0,1))</f>
        <v>6000</v>
      </c>
      <c r="G1821" s="4" t="str">
        <f>IF($C1821="","",_xlfn.XLOOKUP($C1821,Order!$C:$C,Order!$G:$G,"",0,1))</f>
        <v>6063T5</v>
      </c>
      <c r="H1821" s="4">
        <f>IF($C1821="","",_xlfn.XLOOKUP($C1821,Order!$C:$C,Order!$H:$H,"",0,1))</f>
        <v>0.18</v>
      </c>
      <c r="I1821" s="36">
        <f>IF($C1821="","",_xlfn.XLOOKUP($C1821,Order!$C:$C,Order!$N:$N,"",0,1))</f>
        <v>0</v>
      </c>
      <c r="J1821" s="4" t="str">
        <f>IF(C1821="","",Order!$N$16)</f>
        <v>ELECT. CHAMPAGNE (FAYH02)</v>
      </c>
      <c r="K1821" s="36">
        <f>IF($C1821="","",_xlfn.XLOOKUP($C1821,Order!$C:$C,Order!$P:$P,"",0,1))</f>
        <v>0</v>
      </c>
      <c r="L1821" s="4">
        <f t="shared" si="28"/>
        <v>0</v>
      </c>
    </row>
    <row r="1822" spans="2:12" ht="23.25" hidden="1" customHeight="1" x14ac:dyDescent="0.25">
      <c r="B1822" s="4">
        <v>1817</v>
      </c>
      <c r="C1822" s="36" t="str">
        <f>IF(Order!$C$108="","",Order!$C$108)</f>
        <v>BG011</v>
      </c>
      <c r="D1822" s="36" t="str">
        <f>IF($C1822="","",_xlfn.XLOOKUP($C1822,Order!$C:$C,Order!$D:$D,"",0,1))</f>
        <v>BG011</v>
      </c>
      <c r="E1822" s="4" t="e" vm="296">
        <f>IF($C1822="","",_xlfn.XLOOKUP($C1822,Order!$C:$C,Order!$E:$E,"",0,1))</f>
        <v>#VALUE!</v>
      </c>
      <c r="F1822" s="4">
        <f>IF($C1822="","",_xlfn.XLOOKUP($C1822,Order!$C:$C,Order!$F:$F,"",0,1))</f>
        <v>6000</v>
      </c>
      <c r="G1822" s="4" t="str">
        <f>IF($C1822="","",_xlfn.XLOOKUP($C1822,Order!$C:$C,Order!$G:$G,"",0,1))</f>
        <v>6063T5</v>
      </c>
      <c r="H1822" s="4">
        <f>IF($C1822="","",_xlfn.XLOOKUP($C1822,Order!$C:$C,Order!$H:$H,"",0,1))</f>
        <v>8.4000000000000005E-2</v>
      </c>
      <c r="I1822" s="36">
        <f>IF($C1822="","",_xlfn.XLOOKUP($C1822,Order!$C:$C,Order!$N:$N,"",0,1))</f>
        <v>0</v>
      </c>
      <c r="J1822" s="4" t="str">
        <f>IF(C1822="","",Order!$N$16)</f>
        <v>ELECT. CHAMPAGNE (FAYH02)</v>
      </c>
      <c r="K1822" s="36">
        <f>IF($C1822="","",_xlfn.XLOOKUP($C1822,Order!$C:$C,Order!$P:$P,"",0,1))</f>
        <v>0</v>
      </c>
      <c r="L1822" s="4">
        <f t="shared" si="28"/>
        <v>0</v>
      </c>
    </row>
    <row r="1823" spans="2:12" ht="23.25" hidden="1" customHeight="1" x14ac:dyDescent="0.25">
      <c r="B1823" s="4">
        <v>1818</v>
      </c>
      <c r="C1823" s="36" t="str">
        <f>IF(Order!$C$109="","",Order!$C$109)</f>
        <v>DV110</v>
      </c>
      <c r="D1823" s="36" t="str">
        <f>IF($C1823="","",_xlfn.XLOOKUP($C1823,Order!$C:$C,Order!$D:$D,"",0,1))</f>
        <v>DV110</v>
      </c>
      <c r="E1823" s="4" t="e" vm="297">
        <f>IF($C1823="","",_xlfn.XLOOKUP($C1823,Order!$C:$C,Order!$E:$E,"",0,1))</f>
        <v>#VALUE!</v>
      </c>
      <c r="F1823" s="4">
        <f>IF($C1823="","",_xlfn.XLOOKUP($C1823,Order!$C:$C,Order!$F:$F,"",0,1))</f>
        <v>6000</v>
      </c>
      <c r="G1823" s="4" t="str">
        <f>IF($C1823="","",_xlfn.XLOOKUP($C1823,Order!$C:$C,Order!$G:$G,"",0,1))</f>
        <v>6063T5</v>
      </c>
      <c r="H1823" s="4">
        <f>IF($C1823="","",_xlfn.XLOOKUP($C1823,Order!$C:$C,Order!$H:$H,"",0,1))</f>
        <v>0.28299999999999997</v>
      </c>
      <c r="I1823" s="36">
        <f>IF($C1823="","",_xlfn.XLOOKUP($C1823,Order!$C:$C,Order!$N:$N,"",0,1))</f>
        <v>0</v>
      </c>
      <c r="J1823" s="4" t="str">
        <f>IF(C1823="","",Order!$N$16)</f>
        <v>ELECT. CHAMPAGNE (FAYH02)</v>
      </c>
      <c r="K1823" s="36">
        <f>IF($C1823="","",_xlfn.XLOOKUP($C1823,Order!$C:$C,Order!$P:$P,"",0,1))</f>
        <v>0</v>
      </c>
      <c r="L1823" s="4">
        <f t="shared" si="28"/>
        <v>0</v>
      </c>
    </row>
    <row r="1824" spans="2:12" ht="23.25" hidden="1" customHeight="1" x14ac:dyDescent="0.25">
      <c r="B1824" s="4">
        <v>1819</v>
      </c>
      <c r="C1824" s="36" t="str">
        <f>IF(Order!$C$110="","",Order!$C$110)</f>
        <v>DV111</v>
      </c>
      <c r="D1824" s="36" t="str">
        <f>IF($C1824="","",_xlfn.XLOOKUP($C1824,Order!$C:$C,Order!$D:$D,"",0,1))</f>
        <v>DV111</v>
      </c>
      <c r="E1824" s="4" t="e" vm="298">
        <f>IF($C1824="","",_xlfn.XLOOKUP($C1824,Order!$C:$C,Order!$E:$E,"",0,1))</f>
        <v>#VALUE!</v>
      </c>
      <c r="F1824" s="4">
        <f>IF($C1824="","",_xlfn.XLOOKUP($C1824,Order!$C:$C,Order!$F:$F,"",0,1))</f>
        <v>6000</v>
      </c>
      <c r="G1824" s="4" t="str">
        <f>IF($C1824="","",_xlfn.XLOOKUP($C1824,Order!$C:$C,Order!$G:$G,"",0,1))</f>
        <v>6063T5</v>
      </c>
      <c r="H1824" s="4">
        <f>IF($C1824="","",_xlfn.XLOOKUP($C1824,Order!$C:$C,Order!$H:$H,"",0,1))</f>
        <v>0.188</v>
      </c>
      <c r="I1824" s="36">
        <f>IF($C1824="","",_xlfn.XLOOKUP($C1824,Order!$C:$C,Order!$N:$N,"",0,1))</f>
        <v>0</v>
      </c>
      <c r="J1824" s="4" t="str">
        <f>IF(C1824="","",Order!$N$16)</f>
        <v>ELECT. CHAMPAGNE (FAYH02)</v>
      </c>
      <c r="K1824" s="36">
        <f>IF($C1824="","",_xlfn.XLOOKUP($C1824,Order!$C:$C,Order!$P:$P,"",0,1))</f>
        <v>0</v>
      </c>
      <c r="L1824" s="4">
        <f t="shared" si="28"/>
        <v>0</v>
      </c>
    </row>
    <row r="1825" spans="2:12" ht="23.25" hidden="1" customHeight="1" x14ac:dyDescent="0.25">
      <c r="B1825" s="4">
        <v>1820</v>
      </c>
      <c r="C1825" s="36" t="str">
        <f>IF(Order!$C$111="","",Order!$C$111)</f>
        <v>DV112</v>
      </c>
      <c r="D1825" s="36" t="str">
        <f>IF($C1825="","",_xlfn.XLOOKUP($C1825,Order!$C:$C,Order!$D:$D,"",0,1))</f>
        <v>DV112</v>
      </c>
      <c r="E1825" s="4" t="e" vm="299">
        <f>IF($C1825="","",_xlfn.XLOOKUP($C1825,Order!$C:$C,Order!$E:$E,"",0,1))</f>
        <v>#VALUE!</v>
      </c>
      <c r="F1825" s="4">
        <f>IF($C1825="","",_xlfn.XLOOKUP($C1825,Order!$C:$C,Order!$F:$F,"",0,1))</f>
        <v>6000</v>
      </c>
      <c r="G1825" s="4" t="str">
        <f>IF($C1825="","",_xlfn.XLOOKUP($C1825,Order!$C:$C,Order!$G:$G,"",0,1))</f>
        <v>6063T5</v>
      </c>
      <c r="H1825" s="4">
        <f>IF($C1825="","",_xlfn.XLOOKUP($C1825,Order!$C:$C,Order!$H:$H,"",0,1))</f>
        <v>0.23200000000000001</v>
      </c>
      <c r="I1825" s="36">
        <f>IF($C1825="","",_xlfn.XLOOKUP($C1825,Order!$C:$C,Order!$N:$N,"",0,1))</f>
        <v>0</v>
      </c>
      <c r="J1825" s="4" t="str">
        <f>IF(C1825="","",Order!$N$16)</f>
        <v>ELECT. CHAMPAGNE (FAYH02)</v>
      </c>
      <c r="K1825" s="36">
        <f>IF($C1825="","",_xlfn.XLOOKUP($C1825,Order!$C:$C,Order!$P:$P,"",0,1))</f>
        <v>0</v>
      </c>
      <c r="L1825" s="4">
        <f t="shared" si="28"/>
        <v>0</v>
      </c>
    </row>
    <row r="1826" spans="2:12" ht="23.25" hidden="1" customHeight="1" x14ac:dyDescent="0.25">
      <c r="B1826" s="4">
        <v>1821</v>
      </c>
      <c r="C1826" s="36" t="str">
        <f>IF(Order!$C$112="","",Order!$C$112)</f>
        <v>DV132</v>
      </c>
      <c r="D1826" s="36" t="str">
        <f>IF($C1826="","",_xlfn.XLOOKUP($C1826,Order!$C:$C,Order!$D:$D,"",0,1))</f>
        <v>DV132</v>
      </c>
      <c r="E1826" s="4" t="e" vm="300">
        <f>IF($C1826="","",_xlfn.XLOOKUP($C1826,Order!$C:$C,Order!$E:$E,"",0,1))</f>
        <v>#VALUE!</v>
      </c>
      <c r="F1826" s="4">
        <f>IF($C1826="","",_xlfn.XLOOKUP($C1826,Order!$C:$C,Order!$F:$F,"",0,1))</f>
        <v>6000</v>
      </c>
      <c r="G1826" s="4" t="str">
        <f>IF($C1826="","",_xlfn.XLOOKUP($C1826,Order!$C:$C,Order!$G:$G,"",0,1))</f>
        <v>6063T5</v>
      </c>
      <c r="H1826" s="4">
        <f>IF($C1826="","",_xlfn.XLOOKUP($C1826,Order!$C:$C,Order!$H:$H,"",0,1))</f>
        <v>0.246</v>
      </c>
      <c r="I1826" s="36">
        <f>IF($C1826="","",_xlfn.XLOOKUP($C1826,Order!$C:$C,Order!$N:$N,"",0,1))</f>
        <v>0</v>
      </c>
      <c r="J1826" s="4" t="str">
        <f>IF(C1826="","",Order!$N$16)</f>
        <v>ELECT. CHAMPAGNE (FAYH02)</v>
      </c>
      <c r="K1826" s="36">
        <f>IF($C1826="","",_xlfn.XLOOKUP($C1826,Order!$C:$C,Order!$P:$P,"",0,1))</f>
        <v>0</v>
      </c>
      <c r="L1826" s="4">
        <f t="shared" si="28"/>
        <v>0</v>
      </c>
    </row>
    <row r="1827" spans="2:12" ht="23.25" hidden="1" customHeight="1" x14ac:dyDescent="0.25">
      <c r="B1827" s="4">
        <v>1822</v>
      </c>
      <c r="C1827" s="36" t="str">
        <f>IF(Order!$C$113="","",Order!$C$113)</f>
        <v>BX796</v>
      </c>
      <c r="D1827" s="36" t="str">
        <f>IF($C1827="","",_xlfn.XLOOKUP($C1827,Order!$C:$C,Order!$D:$D,"",0,1))</f>
        <v>BX796</v>
      </c>
      <c r="E1827" s="4" t="e" vm="301">
        <f>IF($C1827="","",_xlfn.XLOOKUP($C1827,Order!$C:$C,Order!$E:$E,"",0,1))</f>
        <v>#VALUE!</v>
      </c>
      <c r="F1827" s="4">
        <f>IF($C1827="","",_xlfn.XLOOKUP($C1827,Order!$C:$C,Order!$F:$F,"",0,1))</f>
        <v>6000</v>
      </c>
      <c r="G1827" s="4" t="str">
        <f>IF($C1827="","",_xlfn.XLOOKUP($C1827,Order!$C:$C,Order!$G:$G,"",0,1))</f>
        <v>6063T5</v>
      </c>
      <c r="H1827" s="4">
        <f>IF($C1827="","",_xlfn.XLOOKUP($C1827,Order!$C:$C,Order!$H:$H,"",0,1))</f>
        <v>0.22700000000000001</v>
      </c>
      <c r="I1827" s="36">
        <f>IF($C1827="","",_xlfn.XLOOKUP($C1827,Order!$C:$C,Order!$N:$N,"",0,1))</f>
        <v>0</v>
      </c>
      <c r="J1827" s="4" t="str">
        <f>IF(C1827="","",Order!$N$16)</f>
        <v>ELECT. CHAMPAGNE (FAYH02)</v>
      </c>
      <c r="K1827" s="36">
        <f>IF($C1827="","",_xlfn.XLOOKUP($C1827,Order!$C:$C,Order!$P:$P,"",0,1))</f>
        <v>0</v>
      </c>
      <c r="L1827" s="4">
        <f t="shared" si="28"/>
        <v>0</v>
      </c>
    </row>
    <row r="1828" spans="2:12" ht="23.25" hidden="1" customHeight="1" x14ac:dyDescent="0.25">
      <c r="B1828" s="4">
        <v>1823</v>
      </c>
      <c r="C1828" s="36" t="str">
        <f>IF(Order!$C$114="","",Order!$C$114)</f>
        <v>BX797</v>
      </c>
      <c r="D1828" s="36" t="str">
        <f>IF($C1828="","",_xlfn.XLOOKUP($C1828,Order!$C:$C,Order!$D:$D,"",0,1))</f>
        <v>BX797</v>
      </c>
      <c r="E1828" s="4" t="e" vm="302">
        <f>IF($C1828="","",_xlfn.XLOOKUP($C1828,Order!$C:$C,Order!$E:$E,"",0,1))</f>
        <v>#VALUE!</v>
      </c>
      <c r="F1828" s="4">
        <f>IF($C1828="","",_xlfn.XLOOKUP($C1828,Order!$C:$C,Order!$F:$F,"",0,1))</f>
        <v>6000</v>
      </c>
      <c r="G1828" s="4" t="str">
        <f>IF($C1828="","",_xlfn.XLOOKUP($C1828,Order!$C:$C,Order!$G:$G,"",0,1))</f>
        <v>6063T5</v>
      </c>
      <c r="H1828" s="4">
        <f>IF($C1828="","",_xlfn.XLOOKUP($C1828,Order!$C:$C,Order!$H:$H,"",0,1))</f>
        <v>8.6999999999999994E-2</v>
      </c>
      <c r="I1828" s="36">
        <f>IF($C1828="","",_xlfn.XLOOKUP($C1828,Order!$C:$C,Order!$N:$N,"",0,1))</f>
        <v>0</v>
      </c>
      <c r="J1828" s="4" t="str">
        <f>IF(C1828="","",Order!$N$16)</f>
        <v>ELECT. CHAMPAGNE (FAYH02)</v>
      </c>
      <c r="K1828" s="36">
        <f>IF($C1828="","",_xlfn.XLOOKUP($C1828,Order!$C:$C,Order!$P:$P,"",0,1))</f>
        <v>0</v>
      </c>
      <c r="L1828" s="4">
        <f t="shared" si="28"/>
        <v>0</v>
      </c>
    </row>
    <row r="1829" spans="2:12" ht="23.25" hidden="1" customHeight="1" x14ac:dyDescent="0.25">
      <c r="B1829" s="4">
        <v>1824</v>
      </c>
      <c r="C1829" s="36" t="str">
        <f>IF(Order!$C$115="","",Order!$C$115)</f>
        <v>BX798</v>
      </c>
      <c r="D1829" s="36" t="str">
        <f>IF($C1829="","",_xlfn.XLOOKUP($C1829,Order!$C:$C,Order!$D:$D,"",0,1))</f>
        <v>BX798</v>
      </c>
      <c r="E1829" s="4" t="e" vm="303">
        <f>IF($C1829="","",_xlfn.XLOOKUP($C1829,Order!$C:$C,Order!$E:$E,"",0,1))</f>
        <v>#VALUE!</v>
      </c>
      <c r="F1829" s="4">
        <f>IF($C1829="","",_xlfn.XLOOKUP($C1829,Order!$C:$C,Order!$F:$F,"",0,1))</f>
        <v>6000</v>
      </c>
      <c r="G1829" s="4" t="str">
        <f>IF($C1829="","",_xlfn.XLOOKUP($C1829,Order!$C:$C,Order!$G:$G,"",0,1))</f>
        <v>6063T5</v>
      </c>
      <c r="H1829" s="4">
        <f>IF($C1829="","",_xlfn.XLOOKUP($C1829,Order!$C:$C,Order!$H:$H,"",0,1))</f>
        <v>0.20300000000000001</v>
      </c>
      <c r="I1829" s="36">
        <f>IF($C1829="","",_xlfn.XLOOKUP($C1829,Order!$C:$C,Order!$N:$N,"",0,1))</f>
        <v>0</v>
      </c>
      <c r="J1829" s="4" t="str">
        <f>IF(C1829="","",Order!$N$16)</f>
        <v>ELECT. CHAMPAGNE (FAYH02)</v>
      </c>
      <c r="K1829" s="36">
        <f>IF($C1829="","",_xlfn.XLOOKUP($C1829,Order!$C:$C,Order!$P:$P,"",0,1))</f>
        <v>0</v>
      </c>
      <c r="L1829" s="4">
        <f t="shared" si="28"/>
        <v>0</v>
      </c>
    </row>
    <row r="1830" spans="2:12" ht="23.25" hidden="1" customHeight="1" x14ac:dyDescent="0.25">
      <c r="B1830" s="4">
        <v>1825</v>
      </c>
      <c r="C1830" s="36" t="str">
        <f>IF(Order!$C$116="","",Order!$C$116)</f>
        <v>BX799</v>
      </c>
      <c r="D1830" s="36" t="str">
        <f>IF($C1830="","",_xlfn.XLOOKUP($C1830,Order!$C:$C,Order!$D:$D,"",0,1))</f>
        <v>BX799</v>
      </c>
      <c r="E1830" s="4" t="e" vm="304">
        <f>IF($C1830="","",_xlfn.XLOOKUP($C1830,Order!$C:$C,Order!$E:$E,"",0,1))</f>
        <v>#VALUE!</v>
      </c>
      <c r="F1830" s="4">
        <f>IF($C1830="","",_xlfn.XLOOKUP($C1830,Order!$C:$C,Order!$F:$F,"",0,1))</f>
        <v>6000</v>
      </c>
      <c r="G1830" s="4" t="str">
        <f>IF($C1830="","",_xlfn.XLOOKUP($C1830,Order!$C:$C,Order!$G:$G,"",0,1))</f>
        <v>6063T5</v>
      </c>
      <c r="H1830" s="4">
        <f>IF($C1830="","",_xlfn.XLOOKUP($C1830,Order!$C:$C,Order!$H:$H,"",0,1))</f>
        <v>0.16300000000000001</v>
      </c>
      <c r="I1830" s="36">
        <f>IF($C1830="","",_xlfn.XLOOKUP($C1830,Order!$C:$C,Order!$N:$N,"",0,1))</f>
        <v>0</v>
      </c>
      <c r="J1830" s="4" t="str">
        <f>IF(C1830="","",Order!$N$16)</f>
        <v>ELECT. CHAMPAGNE (FAYH02)</v>
      </c>
      <c r="K1830" s="36">
        <f>IF($C1830="","",_xlfn.XLOOKUP($C1830,Order!$C:$C,Order!$P:$P,"",0,1))</f>
        <v>0</v>
      </c>
      <c r="L1830" s="4">
        <f t="shared" si="28"/>
        <v>0</v>
      </c>
    </row>
    <row r="1831" spans="2:12" ht="23.25" hidden="1" customHeight="1" x14ac:dyDescent="0.25">
      <c r="B1831" s="4">
        <v>1826</v>
      </c>
      <c r="C1831" s="36" t="str">
        <f>IF(Order!$C$117="","",Order!$C$117)</f>
        <v>BX958</v>
      </c>
      <c r="D1831" s="36" t="str">
        <f>IF($C1831="","",_xlfn.XLOOKUP($C1831,Order!$C:$C,Order!$D:$D,"",0,1))</f>
        <v>BX958</v>
      </c>
      <c r="E1831" s="4" t="e" vm="305">
        <f>IF($C1831="","",_xlfn.XLOOKUP($C1831,Order!$C:$C,Order!$E:$E,"",0,1))</f>
        <v>#VALUE!</v>
      </c>
      <c r="F1831" s="4">
        <f>IF($C1831="","",_xlfn.XLOOKUP($C1831,Order!$C:$C,Order!$F:$F,"",0,1))</f>
        <v>6000</v>
      </c>
      <c r="G1831" s="4" t="str">
        <f>IF($C1831="","",_xlfn.XLOOKUP($C1831,Order!$C:$C,Order!$G:$G,"",0,1))</f>
        <v>6063T5</v>
      </c>
      <c r="H1831" s="4">
        <f>IF($C1831="","",_xlfn.XLOOKUP($C1831,Order!$C:$C,Order!$H:$H,"",0,1))</f>
        <v>0.48199999999999998</v>
      </c>
      <c r="I1831" s="36">
        <f>IF($C1831="","",_xlfn.XLOOKUP($C1831,Order!$C:$C,Order!$N:$N,"",0,1))</f>
        <v>0</v>
      </c>
      <c r="J1831" s="4" t="str">
        <f>IF(C1831="","",Order!$N$16)</f>
        <v>ELECT. CHAMPAGNE (FAYH02)</v>
      </c>
      <c r="K1831" s="36">
        <f>IF($C1831="","",_xlfn.XLOOKUP($C1831,Order!$C:$C,Order!$P:$P,"",0,1))</f>
        <v>0</v>
      </c>
      <c r="L1831" s="4">
        <f t="shared" si="28"/>
        <v>0</v>
      </c>
    </row>
    <row r="1832" spans="2:12" ht="23.25" hidden="1" customHeight="1" x14ac:dyDescent="0.25">
      <c r="B1832" s="4">
        <v>1827</v>
      </c>
      <c r="C1832" s="36" t="str">
        <f>IF(Order!$C$118="","",Order!$C$118)</f>
        <v>BG202</v>
      </c>
      <c r="D1832" s="36" t="str">
        <f>IF($C1832="","",_xlfn.XLOOKUP($C1832,Order!$C:$C,Order!$D:$D,"",0,1))</f>
        <v>BG202</v>
      </c>
      <c r="E1832" s="4" t="e" vm="306">
        <f>IF($C1832="","",_xlfn.XLOOKUP($C1832,Order!$C:$C,Order!$E:$E,"",0,1))</f>
        <v>#VALUE!</v>
      </c>
      <c r="F1832" s="4">
        <f>IF($C1832="","",_xlfn.XLOOKUP($C1832,Order!$C:$C,Order!$F:$F,"",0,1))</f>
        <v>6000</v>
      </c>
      <c r="G1832" s="4" t="str">
        <f>IF($C1832="","",_xlfn.XLOOKUP($C1832,Order!$C:$C,Order!$G:$G,"",0,1))</f>
        <v>6063T5</v>
      </c>
      <c r="H1832" s="4">
        <f>IF($C1832="","",_xlfn.XLOOKUP($C1832,Order!$C:$C,Order!$H:$H,"",0,1))</f>
        <v>8.8999999999999996E-2</v>
      </c>
      <c r="I1832" s="36">
        <f>IF($C1832="","",_xlfn.XLOOKUP($C1832,Order!$C:$C,Order!$N:$N,"",0,1))</f>
        <v>0</v>
      </c>
      <c r="J1832" s="4" t="str">
        <f>IF(C1832="","",Order!$N$16)</f>
        <v>ELECT. CHAMPAGNE (FAYH02)</v>
      </c>
      <c r="K1832" s="36">
        <f>IF($C1832="","",_xlfn.XLOOKUP($C1832,Order!$C:$C,Order!$P:$P,"",0,1))</f>
        <v>0</v>
      </c>
      <c r="L1832" s="4">
        <f t="shared" si="28"/>
        <v>0</v>
      </c>
    </row>
    <row r="1833" spans="2:12" ht="23.25" hidden="1" customHeight="1" x14ac:dyDescent="0.25">
      <c r="B1833" s="4">
        <v>1828</v>
      </c>
      <c r="C1833" s="36" t="str">
        <f>IF(Order!$C$119="","",Order!$C$119)</f>
        <v>MP069</v>
      </c>
      <c r="D1833" s="36" t="str">
        <f>IF($C1833="","",_xlfn.XLOOKUP($C1833,Order!$C:$C,Order!$D:$D,"",0,1))</f>
        <v>MP069</v>
      </c>
      <c r="E1833" s="4" t="e" vm="307">
        <f>IF($C1833="","",_xlfn.XLOOKUP($C1833,Order!$C:$C,Order!$E:$E,"",0,1))</f>
        <v>#VALUE!</v>
      </c>
      <c r="F1833" s="4">
        <f>IF($C1833="","",_xlfn.XLOOKUP($C1833,Order!$C:$C,Order!$F:$F,"",0,1))</f>
        <v>0</v>
      </c>
      <c r="G1833" s="4" t="str">
        <f>IF($C1833="","",_xlfn.XLOOKUP($C1833,Order!$C:$C,Order!$G:$G,"",0,1))</f>
        <v>6063T5</v>
      </c>
      <c r="H1833" s="4">
        <f>IF($C1833="","",_xlfn.XLOOKUP($C1833,Order!$C:$C,Order!$H:$H,"",0,1))</f>
        <v>0.57799999999999996</v>
      </c>
      <c r="I1833" s="36">
        <f>IF($C1833="","",_xlfn.XLOOKUP($C1833,Order!$C:$C,Order!$N:$N,"",0,1))</f>
        <v>0</v>
      </c>
      <c r="J1833" s="4" t="str">
        <f>IF(C1833="","",Order!$N$16)</f>
        <v>ELECT. CHAMPAGNE (FAYH02)</v>
      </c>
      <c r="K1833" s="36">
        <f>IF($C1833="","",_xlfn.XLOOKUP($C1833,Order!$C:$C,Order!$P:$P,"",0,1))</f>
        <v>0</v>
      </c>
      <c r="L1833" s="4">
        <f t="shared" si="28"/>
        <v>0</v>
      </c>
    </row>
    <row r="1834" spans="2:12" ht="23.25" hidden="1" customHeight="1" x14ac:dyDescent="0.25">
      <c r="B1834" s="4">
        <v>1829</v>
      </c>
      <c r="C1834" s="36" t="str">
        <f>IF(Order!$C$120="","",Order!$C$120)</f>
        <v>MP070</v>
      </c>
      <c r="D1834" s="36" t="str">
        <f>IF($C1834="","",_xlfn.XLOOKUP($C1834,Order!$C:$C,Order!$D:$D,"",0,1))</f>
        <v>MP070</v>
      </c>
      <c r="E1834" s="4" t="e" vm="308">
        <f>IF($C1834="","",_xlfn.XLOOKUP($C1834,Order!$C:$C,Order!$E:$E,"",0,1))</f>
        <v>#VALUE!</v>
      </c>
      <c r="F1834" s="4">
        <f>IF($C1834="","",_xlfn.XLOOKUP($C1834,Order!$C:$C,Order!$F:$F,"",0,1))</f>
        <v>0</v>
      </c>
      <c r="G1834" s="4" t="str">
        <f>IF($C1834="","",_xlfn.XLOOKUP($C1834,Order!$C:$C,Order!$G:$G,"",0,1))</f>
        <v>6063T5</v>
      </c>
      <c r="H1834" s="4">
        <f>IF($C1834="","",_xlfn.XLOOKUP($C1834,Order!$C:$C,Order!$H:$H,"",0,1))</f>
        <v>0.46800000000000003</v>
      </c>
      <c r="I1834" s="36">
        <f>IF($C1834="","",_xlfn.XLOOKUP($C1834,Order!$C:$C,Order!$N:$N,"",0,1))</f>
        <v>0</v>
      </c>
      <c r="J1834" s="4" t="str">
        <f>IF(C1834="","",Order!$N$16)</f>
        <v>ELECT. CHAMPAGNE (FAYH02)</v>
      </c>
      <c r="K1834" s="36">
        <f>IF($C1834="","",_xlfn.XLOOKUP($C1834,Order!$C:$C,Order!$P:$P,"",0,1))</f>
        <v>0</v>
      </c>
      <c r="L1834" s="4">
        <f t="shared" si="28"/>
        <v>0</v>
      </c>
    </row>
    <row r="1835" spans="2:12" ht="23.25" hidden="1" customHeight="1" x14ac:dyDescent="0.25">
      <c r="B1835" s="4">
        <v>1830</v>
      </c>
      <c r="C1835" s="36" t="str">
        <f>IF(Order!$C$121="","",Order!$C$121)</f>
        <v>MP300</v>
      </c>
      <c r="D1835" s="36" t="str">
        <f>IF($C1835="","",_xlfn.XLOOKUP($C1835,Order!$C:$C,Order!$D:$D,"",0,1))</f>
        <v>MP300MP</v>
      </c>
      <c r="E1835" s="4" t="e" vm="309">
        <f>IF($C1835="","",_xlfn.XLOOKUP($C1835,Order!$C:$C,Order!$E:$E,"",0,1))</f>
        <v>#VALUE!</v>
      </c>
      <c r="F1835" s="4">
        <f>IF($C1835="","",_xlfn.XLOOKUP($C1835,Order!$C:$C,Order!$F:$F,"",0,1))</f>
        <v>6000</v>
      </c>
      <c r="G1835" s="4" t="str">
        <f>IF($C1835="","",_xlfn.XLOOKUP($C1835,Order!$C:$C,Order!$G:$G,"",0,1))</f>
        <v>6063T5</v>
      </c>
      <c r="H1835" s="4">
        <f>IF($C1835="","",_xlfn.XLOOKUP($C1835,Order!$C:$C,Order!$H:$H,"",0,1))</f>
        <v>0.29799999999999999</v>
      </c>
      <c r="I1835" s="36">
        <f>IF($C1835="","",_xlfn.XLOOKUP($C1835,Order!$C:$C,Order!$N:$N,"",0,1))</f>
        <v>0</v>
      </c>
      <c r="J1835" s="4" t="str">
        <f>IF(C1835="","",Order!$N$16)</f>
        <v>ELECT. CHAMPAGNE (FAYH02)</v>
      </c>
      <c r="K1835" s="36">
        <f>IF($C1835="","",_xlfn.XLOOKUP($C1835,Order!$C:$C,Order!$P:$P,"",0,1))</f>
        <v>0</v>
      </c>
      <c r="L1835" s="4">
        <f t="shared" si="28"/>
        <v>0</v>
      </c>
    </row>
    <row r="1836" spans="2:12" ht="23.25" hidden="1" customHeight="1" x14ac:dyDescent="0.25">
      <c r="B1836" s="4">
        <v>1831</v>
      </c>
      <c r="C1836" s="36" t="str">
        <f>IF(Order!$C$122="","",Order!$C$122)</f>
        <v>MP302</v>
      </c>
      <c r="D1836" s="36" t="str">
        <f>IF($C1836="","",_xlfn.XLOOKUP($C1836,Order!$C:$C,Order!$D:$D,"",0,1))</f>
        <v>MP302</v>
      </c>
      <c r="E1836" s="4" t="e" vm="310">
        <f>IF($C1836="","",_xlfn.XLOOKUP($C1836,Order!$C:$C,Order!$E:$E,"",0,1))</f>
        <v>#VALUE!</v>
      </c>
      <c r="F1836" s="4">
        <f>IF($C1836="","",_xlfn.XLOOKUP($C1836,Order!$C:$C,Order!$F:$F,"",0,1))</f>
        <v>6000</v>
      </c>
      <c r="G1836" s="4" t="str">
        <f>IF($C1836="","",_xlfn.XLOOKUP($C1836,Order!$C:$C,Order!$G:$G,"",0,1))</f>
        <v>6063T5</v>
      </c>
      <c r="H1836" s="4">
        <f>IF($C1836="","",_xlfn.XLOOKUP($C1836,Order!$C:$C,Order!$H:$H,"",0,1))</f>
        <v>0.34399999999999997</v>
      </c>
      <c r="I1836" s="36">
        <f>IF($C1836="","",_xlfn.XLOOKUP($C1836,Order!$C:$C,Order!$N:$N,"",0,1))</f>
        <v>0</v>
      </c>
      <c r="J1836" s="4" t="str">
        <f>IF(C1836="","",Order!$N$16)</f>
        <v>ELECT. CHAMPAGNE (FAYH02)</v>
      </c>
      <c r="K1836" s="36">
        <f>IF($C1836="","",_xlfn.XLOOKUP($C1836,Order!$C:$C,Order!$P:$P,"",0,1))</f>
        <v>0</v>
      </c>
      <c r="L1836" s="4">
        <f t="shared" si="28"/>
        <v>0</v>
      </c>
    </row>
    <row r="1837" spans="2:12" ht="23.25" hidden="1" customHeight="1" x14ac:dyDescent="0.25">
      <c r="B1837" s="4">
        <v>1832</v>
      </c>
      <c r="C1837" s="36" t="str">
        <f>IF(Order!$C$123="","",Order!$C$123)</f>
        <v>MP309</v>
      </c>
      <c r="D1837" s="36" t="str">
        <f>IF($C1837="","",_xlfn.XLOOKUP($C1837,Order!$C:$C,Order!$D:$D,"",0,1))</f>
        <v>MP309</v>
      </c>
      <c r="E1837" s="4" t="e" vm="311">
        <f>IF($C1837="","",_xlfn.XLOOKUP($C1837,Order!$C:$C,Order!$E:$E,"",0,1))</f>
        <v>#VALUE!</v>
      </c>
      <c r="F1837" s="4">
        <f>IF($C1837="","",_xlfn.XLOOKUP($C1837,Order!$C:$C,Order!$F:$F,"",0,1))</f>
        <v>6000</v>
      </c>
      <c r="G1837" s="4" t="str">
        <f>IF($C1837="","",_xlfn.XLOOKUP($C1837,Order!$C:$C,Order!$G:$G,"",0,1))</f>
        <v>6063T5</v>
      </c>
      <c r="H1837" s="4">
        <f>IF($C1837="","",_xlfn.XLOOKUP($C1837,Order!$C:$C,Order!$H:$H,"",0,1))</f>
        <v>0.36499999999999999</v>
      </c>
      <c r="I1837" s="36">
        <f>IF($C1837="","",_xlfn.XLOOKUP($C1837,Order!$C:$C,Order!$N:$N,"",0,1))</f>
        <v>0</v>
      </c>
      <c r="J1837" s="4" t="str">
        <f>IF(C1837="","",Order!$N$16)</f>
        <v>ELECT. CHAMPAGNE (FAYH02)</v>
      </c>
      <c r="K1837" s="36">
        <f>IF($C1837="","",_xlfn.XLOOKUP($C1837,Order!$C:$C,Order!$P:$P,"",0,1))</f>
        <v>0</v>
      </c>
      <c r="L1837" s="4">
        <f t="shared" si="28"/>
        <v>0</v>
      </c>
    </row>
    <row r="1838" spans="2:12" ht="23.25" hidden="1" customHeight="1" x14ac:dyDescent="0.25">
      <c r="B1838" s="4">
        <v>1833</v>
      </c>
      <c r="C1838" s="36" t="str">
        <f>IF(Order!$C$124="","",Order!$C$124)</f>
        <v>MP321</v>
      </c>
      <c r="D1838" s="36" t="str">
        <f>IF($C1838="","",_xlfn.XLOOKUP($C1838,Order!$C:$C,Order!$D:$D,"",0,1))</f>
        <v>MP321MP</v>
      </c>
      <c r="E1838" s="4" t="e" vm="312">
        <f>IF($C1838="","",_xlfn.XLOOKUP($C1838,Order!$C:$C,Order!$E:$E,"",0,1))</f>
        <v>#VALUE!</v>
      </c>
      <c r="F1838" s="4">
        <f>IF($C1838="","",_xlfn.XLOOKUP($C1838,Order!$C:$C,Order!$F:$F,"",0,1))</f>
        <v>6000</v>
      </c>
      <c r="G1838" s="4" t="str">
        <f>IF($C1838="","",_xlfn.XLOOKUP($C1838,Order!$C:$C,Order!$G:$G,"",0,1))</f>
        <v>6063T5</v>
      </c>
      <c r="H1838" s="4">
        <f>IF($C1838="","",_xlfn.XLOOKUP($C1838,Order!$C:$C,Order!$H:$H,"",0,1))</f>
        <v>0.33900000000000002</v>
      </c>
      <c r="I1838" s="36">
        <f>IF($C1838="","",_xlfn.XLOOKUP($C1838,Order!$C:$C,Order!$N:$N,"",0,1))</f>
        <v>0</v>
      </c>
      <c r="J1838" s="4" t="str">
        <f>IF(C1838="","",Order!$N$16)</f>
        <v>ELECT. CHAMPAGNE (FAYH02)</v>
      </c>
      <c r="K1838" s="36">
        <f>IF($C1838="","",_xlfn.XLOOKUP($C1838,Order!$C:$C,Order!$P:$P,"",0,1))</f>
        <v>0</v>
      </c>
      <c r="L1838" s="4">
        <f t="shared" si="28"/>
        <v>0</v>
      </c>
    </row>
    <row r="1839" spans="2:12" ht="23.25" hidden="1" customHeight="1" x14ac:dyDescent="0.25">
      <c r="B1839" s="4">
        <v>1834</v>
      </c>
      <c r="C1839" s="36" t="str">
        <f>IF(Order!$C$125="","",Order!$C$125)</f>
        <v>MP332</v>
      </c>
      <c r="D1839" s="36" t="str">
        <f>IF($C1839="","",_xlfn.XLOOKUP($C1839,Order!$C:$C,Order!$D:$D,"",0,1))</f>
        <v>MP332</v>
      </c>
      <c r="E1839" s="4" t="e" vm="313">
        <f>IF($C1839="","",_xlfn.XLOOKUP($C1839,Order!$C:$C,Order!$E:$E,"",0,1))</f>
        <v>#VALUE!</v>
      </c>
      <c r="F1839" s="4">
        <f>IF($C1839="","",_xlfn.XLOOKUP($C1839,Order!$C:$C,Order!$F:$F,"",0,1))</f>
        <v>6000</v>
      </c>
      <c r="G1839" s="4" t="str">
        <f>IF($C1839="","",_xlfn.XLOOKUP($C1839,Order!$C:$C,Order!$G:$G,"",0,1))</f>
        <v>6063T5</v>
      </c>
      <c r="H1839" s="4">
        <f>IF($C1839="","",_xlfn.XLOOKUP($C1839,Order!$C:$C,Order!$H:$H,"",0,1))</f>
        <v>0.47599999999999998</v>
      </c>
      <c r="I1839" s="36">
        <f>IF($C1839="","",_xlfn.XLOOKUP($C1839,Order!$C:$C,Order!$N:$N,"",0,1))</f>
        <v>0</v>
      </c>
      <c r="J1839" s="4" t="str">
        <f>IF(C1839="","",Order!$N$16)</f>
        <v>ELECT. CHAMPAGNE (FAYH02)</v>
      </c>
      <c r="K1839" s="36">
        <f>IF($C1839="","",_xlfn.XLOOKUP($C1839,Order!$C:$C,Order!$P:$P,"",0,1))</f>
        <v>0</v>
      </c>
      <c r="L1839" s="4">
        <f t="shared" si="28"/>
        <v>0</v>
      </c>
    </row>
    <row r="1840" spans="2:12" ht="23.25" hidden="1" customHeight="1" x14ac:dyDescent="0.25">
      <c r="B1840" s="4">
        <v>1835</v>
      </c>
      <c r="C1840" s="36" t="str">
        <f>IF(Order!$C$126="","",Order!$C$126)</f>
        <v>MP336</v>
      </c>
      <c r="D1840" s="36" t="str">
        <f>IF($C1840="","",_xlfn.XLOOKUP($C1840,Order!$C:$C,Order!$D:$D,"",0,1))</f>
        <v>MP336MP</v>
      </c>
      <c r="E1840" s="4" t="e" vm="314">
        <f>IF($C1840="","",_xlfn.XLOOKUP($C1840,Order!$C:$C,Order!$E:$E,"",0,1))</f>
        <v>#VALUE!</v>
      </c>
      <c r="F1840" s="4">
        <f>IF($C1840="","",_xlfn.XLOOKUP($C1840,Order!$C:$C,Order!$F:$F,"",0,1))</f>
        <v>0</v>
      </c>
      <c r="G1840" s="4" t="str">
        <f>IF($C1840="","",_xlfn.XLOOKUP($C1840,Order!$C:$C,Order!$G:$G,"",0,1))</f>
        <v>6063T5</v>
      </c>
      <c r="H1840" s="4">
        <f>IF($C1840="","",_xlfn.XLOOKUP($C1840,Order!$C:$C,Order!$H:$H,"",0,1))</f>
        <v>0.42299999999999999</v>
      </c>
      <c r="I1840" s="36">
        <f>IF($C1840="","",_xlfn.XLOOKUP($C1840,Order!$C:$C,Order!$N:$N,"",0,1))</f>
        <v>0</v>
      </c>
      <c r="J1840" s="4" t="str">
        <f>IF(C1840="","",Order!$N$16)</f>
        <v>ELECT. CHAMPAGNE (FAYH02)</v>
      </c>
      <c r="K1840" s="36">
        <f>IF($C1840="","",_xlfn.XLOOKUP($C1840,Order!$C:$C,Order!$P:$P,"",0,1))</f>
        <v>0</v>
      </c>
      <c r="L1840" s="4">
        <f t="shared" si="28"/>
        <v>0</v>
      </c>
    </row>
    <row r="1841" spans="2:12" ht="23.25" hidden="1" customHeight="1" x14ac:dyDescent="0.25">
      <c r="B1841" s="4">
        <v>1836</v>
      </c>
      <c r="C1841" s="36" t="str">
        <f>IF(Order!$C$127="","",Order!$C$127)</f>
        <v>MP352</v>
      </c>
      <c r="D1841" s="36" t="str">
        <f>IF($C1841="","",_xlfn.XLOOKUP($C1841,Order!$C:$C,Order!$D:$D,"",0,1))</f>
        <v>MP352</v>
      </c>
      <c r="E1841" s="4" t="e" vm="315">
        <f>IF($C1841="","",_xlfn.XLOOKUP($C1841,Order!$C:$C,Order!$E:$E,"",0,1))</f>
        <v>#VALUE!</v>
      </c>
      <c r="F1841" s="4">
        <f>IF($C1841="","",_xlfn.XLOOKUP($C1841,Order!$C:$C,Order!$F:$F,"",0,1))</f>
        <v>6000</v>
      </c>
      <c r="G1841" s="4" t="str">
        <f>IF($C1841="","",_xlfn.XLOOKUP($C1841,Order!$C:$C,Order!$G:$G,"",0,1))</f>
        <v>6063T5</v>
      </c>
      <c r="H1841" s="4">
        <f>IF($C1841="","",_xlfn.XLOOKUP($C1841,Order!$C:$C,Order!$H:$H,"",0,1))</f>
        <v>0.159</v>
      </c>
      <c r="I1841" s="36">
        <f>IF($C1841="","",_xlfn.XLOOKUP($C1841,Order!$C:$C,Order!$N:$N,"",0,1))</f>
        <v>0</v>
      </c>
      <c r="J1841" s="4" t="str">
        <f>IF(C1841="","",Order!$N$16)</f>
        <v>ELECT. CHAMPAGNE (FAYH02)</v>
      </c>
      <c r="K1841" s="36">
        <f>IF($C1841="","",_xlfn.XLOOKUP($C1841,Order!$C:$C,Order!$P:$P,"",0,1))</f>
        <v>0</v>
      </c>
      <c r="L1841" s="4">
        <f t="shared" si="28"/>
        <v>0</v>
      </c>
    </row>
    <row r="1842" spans="2:12" ht="23.25" hidden="1" customHeight="1" x14ac:dyDescent="0.25">
      <c r="B1842" s="4">
        <v>1837</v>
      </c>
      <c r="C1842" s="36" t="str">
        <f>IF(Order!$C$128="","",Order!$C$128)</f>
        <v>MP354</v>
      </c>
      <c r="D1842" s="36" t="str">
        <f>IF($C1842="","",_xlfn.XLOOKUP($C1842,Order!$C:$C,Order!$D:$D,"",0,1))</f>
        <v>MP354</v>
      </c>
      <c r="E1842" s="4" t="e" vm="316">
        <f>IF($C1842="","",_xlfn.XLOOKUP($C1842,Order!$C:$C,Order!$E:$E,"",0,1))</f>
        <v>#VALUE!</v>
      </c>
      <c r="F1842" s="4">
        <f>IF($C1842="","",_xlfn.XLOOKUP($C1842,Order!$C:$C,Order!$F:$F,"",0,1))</f>
        <v>6000</v>
      </c>
      <c r="G1842" s="4" t="str">
        <f>IF($C1842="","",_xlfn.XLOOKUP($C1842,Order!$C:$C,Order!$G:$G,"",0,1))</f>
        <v>6063T5</v>
      </c>
      <c r="H1842" s="4">
        <f>IF($C1842="","",_xlfn.XLOOKUP($C1842,Order!$C:$C,Order!$H:$H,"",0,1))</f>
        <v>0.78700000000000003</v>
      </c>
      <c r="I1842" s="36">
        <f>IF($C1842="","",_xlfn.XLOOKUP($C1842,Order!$C:$C,Order!$N:$N,"",0,1))</f>
        <v>0</v>
      </c>
      <c r="J1842" s="4" t="str">
        <f>IF(C1842="","",Order!$N$16)</f>
        <v>ELECT. CHAMPAGNE (FAYH02)</v>
      </c>
      <c r="K1842" s="36">
        <f>IF($C1842="","",_xlfn.XLOOKUP($C1842,Order!$C:$C,Order!$P:$P,"",0,1))</f>
        <v>0</v>
      </c>
      <c r="L1842" s="4">
        <f t="shared" si="28"/>
        <v>0</v>
      </c>
    </row>
    <row r="1843" spans="2:12" ht="23.25" hidden="1" customHeight="1" x14ac:dyDescent="0.25">
      <c r="B1843" s="4">
        <v>1838</v>
      </c>
      <c r="C1843" s="36" t="str">
        <f>IF(Order!$C$129="","",Order!$C$129)</f>
        <v>MP357</v>
      </c>
      <c r="D1843" s="36" t="str">
        <f>IF($C1843="","",_xlfn.XLOOKUP($C1843,Order!$C:$C,Order!$D:$D,"",0,1))</f>
        <v>MP357</v>
      </c>
      <c r="E1843" s="4" t="e" vm="317">
        <f>IF($C1843="","",_xlfn.XLOOKUP($C1843,Order!$C:$C,Order!$E:$E,"",0,1))</f>
        <v>#VALUE!</v>
      </c>
      <c r="F1843" s="4">
        <f>IF($C1843="","",_xlfn.XLOOKUP($C1843,Order!$C:$C,Order!$F:$F,"",0,1))</f>
        <v>6000</v>
      </c>
      <c r="G1843" s="4" t="str">
        <f>IF($C1843="","",_xlfn.XLOOKUP($C1843,Order!$C:$C,Order!$G:$G,"",0,1))</f>
        <v>6063T5</v>
      </c>
      <c r="H1843" s="4">
        <f>IF($C1843="","",_xlfn.XLOOKUP($C1843,Order!$C:$C,Order!$H:$H,"",0,1))</f>
        <v>0.46200000000000002</v>
      </c>
      <c r="I1843" s="36">
        <f>IF($C1843="","",_xlfn.XLOOKUP($C1843,Order!$C:$C,Order!$N:$N,"",0,1))</f>
        <v>0</v>
      </c>
      <c r="J1843" s="4" t="str">
        <f>IF(C1843="","",Order!$N$16)</f>
        <v>ELECT. CHAMPAGNE (FAYH02)</v>
      </c>
      <c r="K1843" s="36">
        <f>IF($C1843="","",_xlfn.XLOOKUP($C1843,Order!$C:$C,Order!$P:$P,"",0,1))</f>
        <v>0</v>
      </c>
      <c r="L1843" s="4">
        <f t="shared" si="28"/>
        <v>0</v>
      </c>
    </row>
    <row r="1844" spans="2:12" ht="23.25" hidden="1" customHeight="1" x14ac:dyDescent="0.25">
      <c r="B1844" s="4">
        <v>1839</v>
      </c>
      <c r="C1844" s="36" t="str">
        <f>IF(Order!$C$130="","",Order!$C$130)</f>
        <v>MP358</v>
      </c>
      <c r="D1844" s="36" t="str">
        <f>IF($C1844="","",_xlfn.XLOOKUP($C1844,Order!$C:$C,Order!$D:$D,"",0,1))</f>
        <v>MP358</v>
      </c>
      <c r="E1844" s="4" t="e" vm="318">
        <f>IF($C1844="","",_xlfn.XLOOKUP($C1844,Order!$C:$C,Order!$E:$E,"",0,1))</f>
        <v>#VALUE!</v>
      </c>
      <c r="F1844" s="4">
        <f>IF($C1844="","",_xlfn.XLOOKUP($C1844,Order!$C:$C,Order!$F:$F,"",0,1))</f>
        <v>6000</v>
      </c>
      <c r="G1844" s="4" t="str">
        <f>IF($C1844="","",_xlfn.XLOOKUP($C1844,Order!$C:$C,Order!$G:$G,"",0,1))</f>
        <v>6063T5</v>
      </c>
      <c r="H1844" s="4">
        <f>IF($C1844="","",_xlfn.XLOOKUP($C1844,Order!$C:$C,Order!$H:$H,"",0,1))</f>
        <v>0.42799999999999999</v>
      </c>
      <c r="I1844" s="36">
        <f>IF($C1844="","",_xlfn.XLOOKUP($C1844,Order!$C:$C,Order!$N:$N,"",0,1))</f>
        <v>0</v>
      </c>
      <c r="J1844" s="4" t="str">
        <f>IF(C1844="","",Order!$N$16)</f>
        <v>ELECT. CHAMPAGNE (FAYH02)</v>
      </c>
      <c r="K1844" s="36">
        <f>IF($C1844="","",_xlfn.XLOOKUP($C1844,Order!$C:$C,Order!$P:$P,"",0,1))</f>
        <v>0</v>
      </c>
      <c r="L1844" s="4">
        <f t="shared" si="28"/>
        <v>0</v>
      </c>
    </row>
    <row r="1845" spans="2:12" ht="23.25" hidden="1" customHeight="1" x14ac:dyDescent="0.25">
      <c r="B1845" s="4">
        <v>1840</v>
      </c>
      <c r="C1845" s="36" t="str">
        <f>IF(Order!$C$131="","",Order!$C$131)</f>
        <v>MP359</v>
      </c>
      <c r="D1845" s="36" t="str">
        <f>IF($C1845="","",_xlfn.XLOOKUP($C1845,Order!$C:$C,Order!$D:$D,"",0,1))</f>
        <v>MP359</v>
      </c>
      <c r="E1845" s="4" t="e" vm="319">
        <f>IF($C1845="","",_xlfn.XLOOKUP($C1845,Order!$C:$C,Order!$E:$E,"",0,1))</f>
        <v>#VALUE!</v>
      </c>
      <c r="F1845" s="4">
        <f>IF($C1845="","",_xlfn.XLOOKUP($C1845,Order!$C:$C,Order!$F:$F,"",0,1))</f>
        <v>6000</v>
      </c>
      <c r="G1845" s="4" t="str">
        <f>IF($C1845="","",_xlfn.XLOOKUP($C1845,Order!$C:$C,Order!$G:$G,"",0,1))</f>
        <v>6063T5</v>
      </c>
      <c r="H1845" s="4">
        <f>IF($C1845="","",_xlfn.XLOOKUP($C1845,Order!$C:$C,Order!$H:$H,"",0,1))</f>
        <v>0.38200000000000001</v>
      </c>
      <c r="I1845" s="36">
        <f>IF($C1845="","",_xlfn.XLOOKUP($C1845,Order!$C:$C,Order!$N:$N,"",0,1))</f>
        <v>0</v>
      </c>
      <c r="J1845" s="4" t="str">
        <f>IF(C1845="","",Order!$N$16)</f>
        <v>ELECT. CHAMPAGNE (FAYH02)</v>
      </c>
      <c r="K1845" s="36">
        <f>IF($C1845="","",_xlfn.XLOOKUP($C1845,Order!$C:$C,Order!$P:$P,"",0,1))</f>
        <v>0</v>
      </c>
      <c r="L1845" s="4">
        <f t="shared" si="28"/>
        <v>0</v>
      </c>
    </row>
    <row r="1846" spans="2:12" ht="23.25" hidden="1" customHeight="1" x14ac:dyDescent="0.25">
      <c r="B1846" s="4">
        <v>1841</v>
      </c>
      <c r="C1846" s="36" t="str">
        <f>IF(Order!$C$132="","",Order!$C$132)</f>
        <v>MP360</v>
      </c>
      <c r="D1846" s="36" t="str">
        <f>IF($C1846="","",_xlfn.XLOOKUP($C1846,Order!$C:$C,Order!$D:$D,"",0,1))</f>
        <v>MP360</v>
      </c>
      <c r="E1846" s="4" t="e" vm="320">
        <f>IF($C1846="","",_xlfn.XLOOKUP($C1846,Order!$C:$C,Order!$E:$E,"",0,1))</f>
        <v>#VALUE!</v>
      </c>
      <c r="F1846" s="4">
        <f>IF($C1846="","",_xlfn.XLOOKUP($C1846,Order!$C:$C,Order!$F:$F,"",0,1))</f>
        <v>6000</v>
      </c>
      <c r="G1846" s="4" t="str">
        <f>IF($C1846="","",_xlfn.XLOOKUP($C1846,Order!$C:$C,Order!$G:$G,"",0,1))</f>
        <v>6063T5</v>
      </c>
      <c r="H1846" s="4">
        <f>IF($C1846="","",_xlfn.XLOOKUP($C1846,Order!$C:$C,Order!$H:$H,"",0,1))</f>
        <v>0.313</v>
      </c>
      <c r="I1846" s="36">
        <f>IF($C1846="","",_xlfn.XLOOKUP($C1846,Order!$C:$C,Order!$N:$N,"",0,1))</f>
        <v>0</v>
      </c>
      <c r="J1846" s="4" t="str">
        <f>IF(C1846="","",Order!$N$16)</f>
        <v>ELECT. CHAMPAGNE (FAYH02)</v>
      </c>
      <c r="K1846" s="36">
        <f>IF($C1846="","",_xlfn.XLOOKUP($C1846,Order!$C:$C,Order!$P:$P,"",0,1))</f>
        <v>0</v>
      </c>
      <c r="L1846" s="4">
        <f t="shared" si="28"/>
        <v>0</v>
      </c>
    </row>
    <row r="1847" spans="2:12" ht="23.25" hidden="1" customHeight="1" x14ac:dyDescent="0.25">
      <c r="B1847" s="4">
        <v>1842</v>
      </c>
      <c r="C1847" s="36" t="str">
        <f>IF(Order!$C$133="","",Order!$C$133)</f>
        <v>MP361</v>
      </c>
      <c r="D1847" s="36" t="str">
        <f>IF($C1847="","",_xlfn.XLOOKUP($C1847,Order!$C:$C,Order!$D:$D,"",0,1))</f>
        <v>MP361</v>
      </c>
      <c r="E1847" s="4" t="e" vm="321">
        <f>IF($C1847="","",_xlfn.XLOOKUP($C1847,Order!$C:$C,Order!$E:$E,"",0,1))</f>
        <v>#VALUE!</v>
      </c>
      <c r="F1847" s="4">
        <f>IF($C1847="","",_xlfn.XLOOKUP($C1847,Order!$C:$C,Order!$F:$F,"",0,1))</f>
        <v>6000</v>
      </c>
      <c r="G1847" s="4" t="str">
        <f>IF($C1847="","",_xlfn.XLOOKUP($C1847,Order!$C:$C,Order!$G:$G,"",0,1))</f>
        <v>6063T5</v>
      </c>
      <c r="H1847" s="4">
        <f>IF($C1847="","",_xlfn.XLOOKUP($C1847,Order!$C:$C,Order!$H:$H,"",0,1))</f>
        <v>1.06</v>
      </c>
      <c r="I1847" s="36">
        <f>IF($C1847="","",_xlfn.XLOOKUP($C1847,Order!$C:$C,Order!$N:$N,"",0,1))</f>
        <v>0</v>
      </c>
      <c r="J1847" s="4" t="str">
        <f>IF(C1847="","",Order!$N$16)</f>
        <v>ELECT. CHAMPAGNE (FAYH02)</v>
      </c>
      <c r="K1847" s="36">
        <f>IF($C1847="","",_xlfn.XLOOKUP($C1847,Order!$C:$C,Order!$P:$P,"",0,1))</f>
        <v>0</v>
      </c>
      <c r="L1847" s="4">
        <f t="shared" si="28"/>
        <v>0</v>
      </c>
    </row>
    <row r="1848" spans="2:12" ht="23.25" hidden="1" customHeight="1" x14ac:dyDescent="0.25">
      <c r="B1848" s="4">
        <v>1843</v>
      </c>
      <c r="C1848" s="36" t="str">
        <f>IF(Order!$C$134="","",Order!$C$134)</f>
        <v>MP362</v>
      </c>
      <c r="D1848" s="36" t="str">
        <f>IF($C1848="","",_xlfn.XLOOKUP($C1848,Order!$C:$C,Order!$D:$D,"",0,1))</f>
        <v>MP362</v>
      </c>
      <c r="E1848" s="4" t="e" vm="322">
        <f>IF($C1848="","",_xlfn.XLOOKUP($C1848,Order!$C:$C,Order!$E:$E,"",0,1))</f>
        <v>#VALUE!</v>
      </c>
      <c r="F1848" s="4">
        <f>IF($C1848="","",_xlfn.XLOOKUP($C1848,Order!$C:$C,Order!$F:$F,"",0,1))</f>
        <v>6000</v>
      </c>
      <c r="G1848" s="4" t="str">
        <f>IF($C1848="","",_xlfn.XLOOKUP($C1848,Order!$C:$C,Order!$G:$G,"",0,1))</f>
        <v>6063T5</v>
      </c>
      <c r="H1848" s="4">
        <f>IF($C1848="","",_xlfn.XLOOKUP($C1848,Order!$C:$C,Order!$H:$H,"",0,1))</f>
        <v>0.98199999999999998</v>
      </c>
      <c r="I1848" s="36">
        <f>IF($C1848="","",_xlfn.XLOOKUP($C1848,Order!$C:$C,Order!$N:$N,"",0,1))</f>
        <v>0</v>
      </c>
      <c r="J1848" s="4" t="str">
        <f>IF(C1848="","",Order!$N$16)</f>
        <v>ELECT. CHAMPAGNE (FAYH02)</v>
      </c>
      <c r="K1848" s="36">
        <f>IF($C1848="","",_xlfn.XLOOKUP($C1848,Order!$C:$C,Order!$P:$P,"",0,1))</f>
        <v>0</v>
      </c>
      <c r="L1848" s="4">
        <f t="shared" si="28"/>
        <v>0</v>
      </c>
    </row>
    <row r="1849" spans="2:12" ht="23.25" hidden="1" customHeight="1" x14ac:dyDescent="0.25">
      <c r="B1849" s="4">
        <v>1844</v>
      </c>
      <c r="C1849" s="36" t="str">
        <f>IF(Order!$C$135="","",Order!$C$135)</f>
        <v>MP363</v>
      </c>
      <c r="D1849" s="36" t="str">
        <f>IF($C1849="","",_xlfn.XLOOKUP($C1849,Order!$C:$C,Order!$D:$D,"",0,1))</f>
        <v>MP363</v>
      </c>
      <c r="E1849" s="4" t="e" vm="323">
        <f>IF($C1849="","",_xlfn.XLOOKUP($C1849,Order!$C:$C,Order!$E:$E,"",0,1))</f>
        <v>#VALUE!</v>
      </c>
      <c r="F1849" s="4">
        <f>IF($C1849="","",_xlfn.XLOOKUP($C1849,Order!$C:$C,Order!$F:$F,"",0,1))</f>
        <v>6000</v>
      </c>
      <c r="G1849" s="4" t="str">
        <f>IF($C1849="","",_xlfn.XLOOKUP($C1849,Order!$C:$C,Order!$G:$G,"",0,1))</f>
        <v>6063T5</v>
      </c>
      <c r="H1849" s="4">
        <f>IF($C1849="","",_xlfn.XLOOKUP($C1849,Order!$C:$C,Order!$H:$H,"",0,1))</f>
        <v>0.49</v>
      </c>
      <c r="I1849" s="36">
        <f>IF($C1849="","",_xlfn.XLOOKUP($C1849,Order!$C:$C,Order!$N:$N,"",0,1))</f>
        <v>0</v>
      </c>
      <c r="J1849" s="4" t="str">
        <f>IF(C1849="","",Order!$N$16)</f>
        <v>ELECT. CHAMPAGNE (FAYH02)</v>
      </c>
      <c r="K1849" s="36">
        <f>IF($C1849="","",_xlfn.XLOOKUP($C1849,Order!$C:$C,Order!$P:$P,"",0,1))</f>
        <v>0</v>
      </c>
      <c r="L1849" s="4">
        <f t="shared" si="28"/>
        <v>0</v>
      </c>
    </row>
    <row r="1850" spans="2:12" ht="23.25" hidden="1" customHeight="1" x14ac:dyDescent="0.25">
      <c r="B1850" s="4">
        <v>1845</v>
      </c>
      <c r="C1850" s="36" t="str">
        <f>IF(Order!$C$136="","",Order!$C$136)</f>
        <v>MP370</v>
      </c>
      <c r="D1850" s="36" t="str">
        <f>IF($C1850="","",_xlfn.XLOOKUP($C1850,Order!$C:$C,Order!$D:$D,"",0,1))</f>
        <v>MP370</v>
      </c>
      <c r="E1850" s="4" t="e" vm="324">
        <f>IF($C1850="","",_xlfn.XLOOKUP($C1850,Order!$C:$C,Order!$E:$E,"",0,1))</f>
        <v>#VALUE!</v>
      </c>
      <c r="F1850" s="4">
        <f>IF($C1850="","",_xlfn.XLOOKUP($C1850,Order!$C:$C,Order!$F:$F,"",0,1))</f>
        <v>6000</v>
      </c>
      <c r="G1850" s="4" t="str">
        <f>IF($C1850="","",_xlfn.XLOOKUP($C1850,Order!$C:$C,Order!$G:$G,"",0,1))</f>
        <v>6063T5</v>
      </c>
      <c r="H1850" s="4">
        <f>IF($C1850="","",_xlfn.XLOOKUP($C1850,Order!$C:$C,Order!$H:$H,"",0,1))</f>
        <v>0.58099999999999996</v>
      </c>
      <c r="I1850" s="36">
        <f>IF($C1850="","",_xlfn.XLOOKUP($C1850,Order!$C:$C,Order!$N:$N,"",0,1))</f>
        <v>0</v>
      </c>
      <c r="J1850" s="4" t="str">
        <f>IF(C1850="","",Order!$N$16)</f>
        <v>ELECT. CHAMPAGNE (FAYH02)</v>
      </c>
      <c r="K1850" s="36">
        <f>IF($C1850="","",_xlfn.XLOOKUP($C1850,Order!$C:$C,Order!$P:$P,"",0,1))</f>
        <v>0</v>
      </c>
      <c r="L1850" s="4">
        <f t="shared" si="28"/>
        <v>0</v>
      </c>
    </row>
    <row r="1851" spans="2:12" ht="23.25" hidden="1" customHeight="1" x14ac:dyDescent="0.25">
      <c r="B1851" s="4">
        <v>1846</v>
      </c>
      <c r="C1851" s="36" t="str">
        <f>IF(Order!$C$137="","",Order!$C$137)</f>
        <v>BG001</v>
      </c>
      <c r="D1851" s="36" t="str">
        <f>IF($C1851="","",_xlfn.XLOOKUP($C1851,Order!$C:$C,Order!$D:$D,"",0,1))</f>
        <v>BG001</v>
      </c>
      <c r="E1851" s="4" t="e" vm="325">
        <f>IF($C1851="","",_xlfn.XLOOKUP($C1851,Order!$C:$C,Order!$E:$E,"",0,1))</f>
        <v>#VALUE!</v>
      </c>
      <c r="F1851" s="4">
        <f>IF($C1851="","",_xlfn.XLOOKUP($C1851,Order!$C:$C,Order!$F:$F,"",0,1))</f>
        <v>6000</v>
      </c>
      <c r="G1851" s="4" t="str">
        <f>IF($C1851="","",_xlfn.XLOOKUP($C1851,Order!$C:$C,Order!$G:$G,"",0,1))</f>
        <v>6063T5</v>
      </c>
      <c r="H1851" s="4">
        <f>IF($C1851="","",_xlfn.XLOOKUP($C1851,Order!$C:$C,Order!$H:$H,"",0,1))</f>
        <v>0.10299999999999999</v>
      </c>
      <c r="I1851" s="36">
        <f>IF($C1851="","",_xlfn.XLOOKUP($C1851,Order!$C:$C,Order!$N:$N,"",0,1))</f>
        <v>0</v>
      </c>
      <c r="J1851" s="4" t="str">
        <f>IF(C1851="","",Order!$N$16)</f>
        <v>ELECT. CHAMPAGNE (FAYH02)</v>
      </c>
      <c r="K1851" s="36">
        <f>IF($C1851="","",_xlfn.XLOOKUP($C1851,Order!$C:$C,Order!$P:$P,"",0,1))</f>
        <v>0</v>
      </c>
      <c r="L1851" s="4">
        <f t="shared" si="28"/>
        <v>0</v>
      </c>
    </row>
    <row r="1852" spans="2:12" ht="23.25" hidden="1" customHeight="1" x14ac:dyDescent="0.25">
      <c r="B1852" s="4">
        <v>1847</v>
      </c>
      <c r="C1852" s="36" t="str">
        <f>IF(Order!$C$138="","",Order!$C$138)</f>
        <v>BG035</v>
      </c>
      <c r="D1852" s="36" t="str">
        <f>IF($C1852="","",_xlfn.XLOOKUP($C1852,Order!$C:$C,Order!$D:$D,"",0,1))</f>
        <v>BG035</v>
      </c>
      <c r="E1852" s="4" t="e" vm="326">
        <f>IF($C1852="","",_xlfn.XLOOKUP($C1852,Order!$C:$C,Order!$E:$E,"",0,1))</f>
        <v>#VALUE!</v>
      </c>
      <c r="F1852" s="4">
        <f>IF($C1852="","",_xlfn.XLOOKUP($C1852,Order!$C:$C,Order!$F:$F,"",0,1))</f>
        <v>6000</v>
      </c>
      <c r="G1852" s="4" t="str">
        <f>IF($C1852="","",_xlfn.XLOOKUP($C1852,Order!$C:$C,Order!$G:$G,"",0,1))</f>
        <v>6063T5</v>
      </c>
      <c r="H1852" s="4">
        <f>IF($C1852="","",_xlfn.XLOOKUP($C1852,Order!$C:$C,Order!$H:$H,"",0,1))</f>
        <v>0.108</v>
      </c>
      <c r="I1852" s="36">
        <f>IF($C1852="","",_xlfn.XLOOKUP($C1852,Order!$C:$C,Order!$N:$N,"",0,1))</f>
        <v>0</v>
      </c>
      <c r="J1852" s="4" t="str">
        <f>IF(C1852="","",Order!$N$16)</f>
        <v>ELECT. CHAMPAGNE (FAYH02)</v>
      </c>
      <c r="K1852" s="36">
        <f>IF($C1852="","",_xlfn.XLOOKUP($C1852,Order!$C:$C,Order!$P:$P,"",0,1))</f>
        <v>0</v>
      </c>
      <c r="L1852" s="4">
        <f t="shared" si="28"/>
        <v>0</v>
      </c>
    </row>
    <row r="1853" spans="2:12" ht="23.25" hidden="1" customHeight="1" x14ac:dyDescent="0.25">
      <c r="B1853" s="4">
        <v>1848</v>
      </c>
      <c r="C1853" s="36" t="str">
        <f>IF(Order!$C$139="","",Order!$C$139)</f>
        <v>ME056</v>
      </c>
      <c r="D1853" s="36" t="str">
        <f>IF($C1853="","",_xlfn.XLOOKUP($C1853,Order!$C:$C,Order!$D:$D,"",0,1))</f>
        <v>ME056</v>
      </c>
      <c r="E1853" s="4" t="e" vm="327">
        <f>IF($C1853="","",_xlfn.XLOOKUP($C1853,Order!$C:$C,Order!$E:$E,"",0,1))</f>
        <v>#VALUE!</v>
      </c>
      <c r="F1853" s="4">
        <f>IF($C1853="","",_xlfn.XLOOKUP($C1853,Order!$C:$C,Order!$F:$F,"",0,1))</f>
        <v>6000</v>
      </c>
      <c r="G1853" s="4" t="str">
        <f>IF($C1853="","",_xlfn.XLOOKUP($C1853,Order!$C:$C,Order!$G:$G,"",0,1))</f>
        <v>6063T5</v>
      </c>
      <c r="H1853" s="4">
        <f>IF($C1853="","",_xlfn.XLOOKUP($C1853,Order!$C:$C,Order!$H:$H,"",0,1))</f>
        <v>0.16900000000000001</v>
      </c>
      <c r="I1853" s="36">
        <f>IF($C1853="","",_xlfn.XLOOKUP($C1853,Order!$C:$C,Order!$N:$N,"",0,1))</f>
        <v>0</v>
      </c>
      <c r="J1853" s="4" t="str">
        <f>IF(C1853="","",Order!$N$16)</f>
        <v>ELECT. CHAMPAGNE (FAYH02)</v>
      </c>
      <c r="K1853" s="36">
        <f>IF($C1853="","",_xlfn.XLOOKUP($C1853,Order!$C:$C,Order!$P:$P,"",0,1))</f>
        <v>0</v>
      </c>
      <c r="L1853" s="4">
        <f t="shared" si="28"/>
        <v>0</v>
      </c>
    </row>
    <row r="1854" spans="2:12" ht="23.25" hidden="1" customHeight="1" x14ac:dyDescent="0.25">
      <c r="B1854" s="4">
        <v>1849</v>
      </c>
      <c r="C1854" s="36">
        <f>IF(Order!$C$140="","",Order!$C$140)</f>
        <v>25001</v>
      </c>
      <c r="D1854" s="36">
        <f>IF($C1854="","",_xlfn.XLOOKUP($C1854,Order!$C:$C,Order!$D:$D,"",0,1))</f>
        <v>25001</v>
      </c>
      <c r="E1854" s="4" t="e" vm="328">
        <f>IF($C1854="","",_xlfn.XLOOKUP($C1854,Order!$C:$C,Order!$E:$E,"",0,1))</f>
        <v>#VALUE!</v>
      </c>
      <c r="F1854" s="4">
        <f>IF($C1854="","",_xlfn.XLOOKUP($C1854,Order!$C:$C,Order!$F:$F,"",0,1))</f>
        <v>6000</v>
      </c>
      <c r="G1854" s="4" t="str">
        <f>IF($C1854="","",_xlfn.XLOOKUP($C1854,Order!$C:$C,Order!$G:$G,"",0,1))</f>
        <v>6063T5</v>
      </c>
      <c r="H1854" s="4">
        <f>IF($C1854="","",_xlfn.XLOOKUP($C1854,Order!$C:$C,Order!$H:$H,"",0,1))</f>
        <v>0.28599999999999998</v>
      </c>
      <c r="I1854" s="36">
        <f>IF($C1854="","",_xlfn.XLOOKUP($C1854,Order!$C:$C,Order!$N:$N,"",0,1))</f>
        <v>0</v>
      </c>
      <c r="J1854" s="4" t="str">
        <f>IF(C1854="","",Order!$N$16)</f>
        <v>ELECT. CHAMPAGNE (FAYH02)</v>
      </c>
      <c r="K1854" s="36">
        <f>IF($C1854="","",_xlfn.XLOOKUP($C1854,Order!$C:$C,Order!$P:$P,"",0,1))</f>
        <v>0</v>
      </c>
      <c r="L1854" s="4">
        <f t="shared" si="28"/>
        <v>0</v>
      </c>
    </row>
    <row r="1855" spans="2:12" ht="23.25" hidden="1" customHeight="1" x14ac:dyDescent="0.25">
      <c r="B1855" s="4">
        <v>1850</v>
      </c>
      <c r="C1855" s="36" t="str">
        <f>IF(Order!$C$141="","",Order!$C$141)</f>
        <v>25002L</v>
      </c>
      <c r="D1855" s="36" t="str">
        <f>IF($C1855="","",_xlfn.XLOOKUP($C1855,Order!$C:$C,Order!$D:$D,"",0,1))</f>
        <v>25002L</v>
      </c>
      <c r="E1855" s="4" t="e" vm="329">
        <f>IF($C1855="","",_xlfn.XLOOKUP($C1855,Order!$C:$C,Order!$E:$E,"",0,1))</f>
        <v>#VALUE!</v>
      </c>
      <c r="F1855" s="4">
        <f>IF($C1855="","",_xlfn.XLOOKUP($C1855,Order!$C:$C,Order!$F:$F,"",0,1))</f>
        <v>6000</v>
      </c>
      <c r="G1855" s="4" t="str">
        <f>IF($C1855="","",_xlfn.XLOOKUP($C1855,Order!$C:$C,Order!$G:$G,"",0,1))</f>
        <v>6063T5</v>
      </c>
      <c r="H1855" s="4">
        <f>IF($C1855="","",_xlfn.XLOOKUP($C1855,Order!$C:$C,Order!$H:$H,"",0,1))</f>
        <v>0.24399999999999999</v>
      </c>
      <c r="I1855" s="36">
        <f>IF($C1855="","",_xlfn.XLOOKUP($C1855,Order!$C:$C,Order!$N:$N,"",0,1))</f>
        <v>0</v>
      </c>
      <c r="J1855" s="4" t="str">
        <f>IF(C1855="","",Order!$N$16)</f>
        <v>ELECT. CHAMPAGNE (FAYH02)</v>
      </c>
      <c r="K1855" s="36">
        <f>IF($C1855="","",_xlfn.XLOOKUP($C1855,Order!$C:$C,Order!$P:$P,"",0,1))</f>
        <v>0</v>
      </c>
      <c r="L1855" s="4">
        <f t="shared" si="28"/>
        <v>0</v>
      </c>
    </row>
    <row r="1856" spans="2:12" ht="23.25" hidden="1" customHeight="1" x14ac:dyDescent="0.25">
      <c r="B1856" s="4">
        <v>1851</v>
      </c>
      <c r="C1856" s="36">
        <f>IF(Order!$C$142="","",Order!$C$142)</f>
        <v>25016</v>
      </c>
      <c r="D1856" s="36">
        <f>IF($C1856="","",_xlfn.XLOOKUP($C1856,Order!$C:$C,Order!$D:$D,"",0,1))</f>
        <v>25016</v>
      </c>
      <c r="E1856" s="4" t="e" vm="330">
        <f>IF($C1856="","",_xlfn.XLOOKUP($C1856,Order!$C:$C,Order!$E:$E,"",0,1))</f>
        <v>#VALUE!</v>
      </c>
      <c r="F1856" s="4">
        <f>IF($C1856="","",_xlfn.XLOOKUP($C1856,Order!$C:$C,Order!$F:$F,"",0,1))</f>
        <v>6000</v>
      </c>
      <c r="G1856" s="4" t="str">
        <f>IF($C1856="","",_xlfn.XLOOKUP($C1856,Order!$C:$C,Order!$G:$G,"",0,1))</f>
        <v>6063T5</v>
      </c>
      <c r="H1856" s="4">
        <f>IF($C1856="","",_xlfn.XLOOKUP($C1856,Order!$C:$C,Order!$H:$H,"",0,1))</f>
        <v>0.32300000000000001</v>
      </c>
      <c r="I1856" s="36">
        <f>IF($C1856="","",_xlfn.XLOOKUP($C1856,Order!$C:$C,Order!$N:$N,"",0,1))</f>
        <v>0</v>
      </c>
      <c r="J1856" s="4" t="str">
        <f>IF(C1856="","",Order!$N$16)</f>
        <v>ELECT. CHAMPAGNE (FAYH02)</v>
      </c>
      <c r="K1856" s="36">
        <f>IF($C1856="","",_xlfn.XLOOKUP($C1856,Order!$C:$C,Order!$P:$P,"",0,1))</f>
        <v>0</v>
      </c>
      <c r="L1856" s="4">
        <f t="shared" si="28"/>
        <v>0</v>
      </c>
    </row>
    <row r="1857" spans="2:12" ht="23.25" hidden="1" customHeight="1" x14ac:dyDescent="0.25">
      <c r="B1857" s="4">
        <v>1852</v>
      </c>
      <c r="C1857" s="36">
        <f>IF(Order!$C$143="","",Order!$C$143)</f>
        <v>25021</v>
      </c>
      <c r="D1857" s="36">
        <f>IF($C1857="","",_xlfn.XLOOKUP($C1857,Order!$C:$C,Order!$D:$D,"",0,1))</f>
        <v>25021</v>
      </c>
      <c r="E1857" s="4" t="e" vm="331">
        <f>IF($C1857="","",_xlfn.XLOOKUP($C1857,Order!$C:$C,Order!$E:$E,"",0,1))</f>
        <v>#VALUE!</v>
      </c>
      <c r="F1857" s="4">
        <f>IF($C1857="","",_xlfn.XLOOKUP($C1857,Order!$C:$C,Order!$F:$F,"",0,1))</f>
        <v>6000</v>
      </c>
      <c r="G1857" s="4" t="str">
        <f>IF($C1857="","",_xlfn.XLOOKUP($C1857,Order!$C:$C,Order!$G:$G,"",0,1))</f>
        <v>6063T5</v>
      </c>
      <c r="H1857" s="4">
        <f>IF($C1857="","",_xlfn.XLOOKUP($C1857,Order!$C:$C,Order!$H:$H,"",0,1))</f>
        <v>0.21299999999999999</v>
      </c>
      <c r="I1857" s="36">
        <f>IF($C1857="","",_xlfn.XLOOKUP($C1857,Order!$C:$C,Order!$N:$N,"",0,1))</f>
        <v>0</v>
      </c>
      <c r="J1857" s="4" t="str">
        <f>IF(C1857="","",Order!$N$16)</f>
        <v>ELECT. CHAMPAGNE (FAYH02)</v>
      </c>
      <c r="K1857" s="36">
        <f>IF($C1857="","",_xlfn.XLOOKUP($C1857,Order!$C:$C,Order!$P:$P,"",0,1))</f>
        <v>0</v>
      </c>
      <c r="L1857" s="4">
        <f t="shared" si="28"/>
        <v>0</v>
      </c>
    </row>
    <row r="1858" spans="2:12" ht="23.25" hidden="1" customHeight="1" x14ac:dyDescent="0.25">
      <c r="B1858" s="4">
        <v>1853</v>
      </c>
      <c r="C1858" s="36">
        <f>IF(Order!$C$144="","",Order!$C$144)</f>
        <v>25026</v>
      </c>
      <c r="D1858" s="36">
        <f>IF($C1858="","",_xlfn.XLOOKUP($C1858,Order!$C:$C,Order!$D:$D,"",0,1))</f>
        <v>25026</v>
      </c>
      <c r="E1858" s="4" t="e" vm="332">
        <f>IF($C1858="","",_xlfn.XLOOKUP($C1858,Order!$C:$C,Order!$E:$E,"",0,1))</f>
        <v>#VALUE!</v>
      </c>
      <c r="F1858" s="4">
        <f>IF($C1858="","",_xlfn.XLOOKUP($C1858,Order!$C:$C,Order!$F:$F,"",0,1))</f>
        <v>6000</v>
      </c>
      <c r="G1858" s="4" t="str">
        <f>IF($C1858="","",_xlfn.XLOOKUP($C1858,Order!$C:$C,Order!$G:$G,"",0,1))</f>
        <v>6063T5</v>
      </c>
      <c r="H1858" s="4">
        <f>IF($C1858="","",_xlfn.XLOOKUP($C1858,Order!$C:$C,Order!$H:$H,"",0,1))</f>
        <v>0.47599999999999998</v>
      </c>
      <c r="I1858" s="36">
        <f>IF($C1858="","",_xlfn.XLOOKUP($C1858,Order!$C:$C,Order!$N:$N,"",0,1))</f>
        <v>0</v>
      </c>
      <c r="J1858" s="4" t="str">
        <f>IF(C1858="","",Order!$N$16)</f>
        <v>ELECT. CHAMPAGNE (FAYH02)</v>
      </c>
      <c r="K1858" s="36">
        <f>IF($C1858="","",_xlfn.XLOOKUP($C1858,Order!$C:$C,Order!$P:$P,"",0,1))</f>
        <v>0</v>
      </c>
      <c r="L1858" s="4">
        <f t="shared" si="28"/>
        <v>0</v>
      </c>
    </row>
    <row r="1859" spans="2:12" ht="23.25" hidden="1" customHeight="1" x14ac:dyDescent="0.25">
      <c r="B1859" s="4">
        <v>1854</v>
      </c>
      <c r="C1859" s="36" t="str">
        <f>IF(Order!$C$145="","",Order!$C$145)</f>
        <v>25048 (MM-376)</v>
      </c>
      <c r="D1859" s="36">
        <f>IF($C1859="","",_xlfn.XLOOKUP($C1859,Order!$C:$C,Order!$D:$D,"",0,1))</f>
        <v>25048</v>
      </c>
      <c r="E1859" s="4" t="e" vm="333">
        <f>IF($C1859="","",_xlfn.XLOOKUP($C1859,Order!$C:$C,Order!$E:$E,"",0,1))</f>
        <v>#VALUE!</v>
      </c>
      <c r="F1859" s="4">
        <f>IF($C1859="","",_xlfn.XLOOKUP($C1859,Order!$C:$C,Order!$F:$F,"",0,1))</f>
        <v>6000</v>
      </c>
      <c r="G1859" s="4" t="str">
        <f>IF($C1859="","",_xlfn.XLOOKUP($C1859,Order!$C:$C,Order!$G:$G,"",0,1))</f>
        <v>6063T5</v>
      </c>
      <c r="H1859" s="4">
        <f>IF($C1859="","",_xlfn.XLOOKUP($C1859,Order!$C:$C,Order!$H:$H,"",0,1))</f>
        <v>0.436</v>
      </c>
      <c r="I1859" s="36">
        <f>IF($C1859="","",_xlfn.XLOOKUP($C1859,Order!$C:$C,Order!$N:$N,"",0,1))</f>
        <v>0</v>
      </c>
      <c r="J1859" s="4" t="str">
        <f>IF(C1859="","",Order!$N$16)</f>
        <v>ELECT. CHAMPAGNE (FAYH02)</v>
      </c>
      <c r="K1859" s="36">
        <f>IF($C1859="","",_xlfn.XLOOKUP($C1859,Order!$C:$C,Order!$P:$P,"",0,1))</f>
        <v>0</v>
      </c>
      <c r="L1859" s="4">
        <f t="shared" si="28"/>
        <v>0</v>
      </c>
    </row>
    <row r="1860" spans="2:12" ht="23.25" hidden="1" customHeight="1" x14ac:dyDescent="0.25">
      <c r="B1860" s="4">
        <v>1855</v>
      </c>
      <c r="C1860" s="36" t="str">
        <f>IF(Order!$C$146="","",Order!$C$146)</f>
        <v>25052 (MM-375)</v>
      </c>
      <c r="D1860" s="36">
        <f>IF($C1860="","",_xlfn.XLOOKUP($C1860,Order!$C:$C,Order!$D:$D,"",0,1))</f>
        <v>25052</v>
      </c>
      <c r="E1860" s="4" t="e" vm="334">
        <f>IF($C1860="","",_xlfn.XLOOKUP($C1860,Order!$C:$C,Order!$E:$E,"",0,1))</f>
        <v>#VALUE!</v>
      </c>
      <c r="F1860" s="4">
        <f>IF($C1860="","",_xlfn.XLOOKUP($C1860,Order!$C:$C,Order!$F:$F,"",0,1))</f>
        <v>6000</v>
      </c>
      <c r="G1860" s="4" t="str">
        <f>IF($C1860="","",_xlfn.XLOOKUP($C1860,Order!$C:$C,Order!$G:$G,"",0,1))</f>
        <v>6063T5</v>
      </c>
      <c r="H1860" s="4">
        <f>IF($C1860="","",_xlfn.XLOOKUP($C1860,Order!$C:$C,Order!$H:$H,"",0,1))</f>
        <v>0.33</v>
      </c>
      <c r="I1860" s="36">
        <f>IF($C1860="","",_xlfn.XLOOKUP($C1860,Order!$C:$C,Order!$N:$N,"",0,1))</f>
        <v>0</v>
      </c>
      <c r="J1860" s="4" t="str">
        <f>IF(C1860="","",Order!$N$16)</f>
        <v>ELECT. CHAMPAGNE (FAYH02)</v>
      </c>
      <c r="K1860" s="36">
        <f>IF($C1860="","",_xlfn.XLOOKUP($C1860,Order!$C:$C,Order!$P:$P,"",0,1))</f>
        <v>0</v>
      </c>
      <c r="L1860" s="4">
        <f t="shared" si="28"/>
        <v>0</v>
      </c>
    </row>
    <row r="1861" spans="2:12" ht="23.25" hidden="1" customHeight="1" x14ac:dyDescent="0.25">
      <c r="B1861" s="4">
        <v>1856</v>
      </c>
      <c r="C1861" s="36">
        <f>IF(Order!$C$147="","",Order!$C$147)</f>
        <v>25301</v>
      </c>
      <c r="D1861" s="36">
        <f>IF($C1861="","",_xlfn.XLOOKUP($C1861,Order!$C:$C,Order!$D:$D,"",0,1))</f>
        <v>25301</v>
      </c>
      <c r="E1861" s="4" t="e" vm="335">
        <f>IF($C1861="","",_xlfn.XLOOKUP($C1861,Order!$C:$C,Order!$E:$E,"",0,1))</f>
        <v>#VALUE!</v>
      </c>
      <c r="F1861" s="4">
        <f>IF($C1861="","",_xlfn.XLOOKUP($C1861,Order!$C:$C,Order!$F:$F,"",0,1))</f>
        <v>6000</v>
      </c>
      <c r="G1861" s="4" t="str">
        <f>IF($C1861="","",_xlfn.XLOOKUP($C1861,Order!$C:$C,Order!$G:$G,"",0,1))</f>
        <v>6063T5</v>
      </c>
      <c r="H1861" s="4">
        <f>IF($C1861="","",_xlfn.XLOOKUP($C1861,Order!$C:$C,Order!$H:$H,"",0,1))</f>
        <v>0.29299999999999998</v>
      </c>
      <c r="I1861" s="36">
        <f>IF($C1861="","",_xlfn.XLOOKUP($C1861,Order!$C:$C,Order!$N:$N,"",0,1))</f>
        <v>0</v>
      </c>
      <c r="J1861" s="4" t="str">
        <f>IF(C1861="","",Order!$N$16)</f>
        <v>ELECT. CHAMPAGNE (FAYH02)</v>
      </c>
      <c r="K1861" s="36">
        <f>IF($C1861="","",_xlfn.XLOOKUP($C1861,Order!$C:$C,Order!$P:$P,"",0,1))</f>
        <v>0</v>
      </c>
      <c r="L1861" s="4">
        <f t="shared" si="28"/>
        <v>0</v>
      </c>
    </row>
    <row r="1862" spans="2:12" ht="23.25" hidden="1" customHeight="1" x14ac:dyDescent="0.25">
      <c r="B1862" s="4">
        <v>1857</v>
      </c>
      <c r="C1862" s="36">
        <f>IF(Order!$C$148="","",Order!$C$148)</f>
        <v>25311</v>
      </c>
      <c r="D1862" s="36">
        <f>IF($C1862="","",_xlfn.XLOOKUP($C1862,Order!$C:$C,Order!$D:$D,"",0,1))</f>
        <v>25311</v>
      </c>
      <c r="E1862" s="4" t="e" vm="336">
        <f>IF($C1862="","",_xlfn.XLOOKUP($C1862,Order!$C:$C,Order!$E:$E,"",0,1))</f>
        <v>#VALUE!</v>
      </c>
      <c r="F1862" s="4">
        <f>IF($C1862="","",_xlfn.XLOOKUP($C1862,Order!$C:$C,Order!$F:$F,"",0,1))</f>
        <v>6000</v>
      </c>
      <c r="G1862" s="4" t="str">
        <f>IF($C1862="","",_xlfn.XLOOKUP($C1862,Order!$C:$C,Order!$G:$G,"",0,1))</f>
        <v>6063T5</v>
      </c>
      <c r="H1862" s="4">
        <f>IF($C1862="","",_xlfn.XLOOKUP($C1862,Order!$C:$C,Order!$H:$H,"",0,1))</f>
        <v>0.28899999999999998</v>
      </c>
      <c r="I1862" s="36">
        <f>IF($C1862="","",_xlfn.XLOOKUP($C1862,Order!$C:$C,Order!$N:$N,"",0,1))</f>
        <v>0</v>
      </c>
      <c r="J1862" s="4" t="str">
        <f>IF(C1862="","",Order!$N$16)</f>
        <v>ELECT. CHAMPAGNE (FAYH02)</v>
      </c>
      <c r="K1862" s="36">
        <f>IF($C1862="","",_xlfn.XLOOKUP($C1862,Order!$C:$C,Order!$P:$P,"",0,1))</f>
        <v>0</v>
      </c>
      <c r="L1862" s="4">
        <f t="shared" si="28"/>
        <v>0</v>
      </c>
    </row>
    <row r="1863" spans="2:12" ht="23.25" hidden="1" customHeight="1" x14ac:dyDescent="0.25">
      <c r="B1863" s="4">
        <v>1858</v>
      </c>
      <c r="C1863" s="36" t="str">
        <f>IF(Order!$C$149="","",Order!$C$149)</f>
        <v>25312(25046)</v>
      </c>
      <c r="D1863" s="36">
        <f>IF($C1863="","",_xlfn.XLOOKUP($C1863,Order!$C:$C,Order!$D:$D,"",0,1))</f>
        <v>25312</v>
      </c>
      <c r="E1863" s="4" t="e" vm="337">
        <f>IF($C1863="","",_xlfn.XLOOKUP($C1863,Order!$C:$C,Order!$E:$E,"",0,1))</f>
        <v>#VALUE!</v>
      </c>
      <c r="F1863" s="4">
        <f>IF($C1863="","",_xlfn.XLOOKUP($C1863,Order!$C:$C,Order!$F:$F,"",0,1))</f>
        <v>6000</v>
      </c>
      <c r="G1863" s="4" t="str">
        <f>IF($C1863="","",_xlfn.XLOOKUP($C1863,Order!$C:$C,Order!$G:$G,"",0,1))</f>
        <v>6063T5</v>
      </c>
      <c r="H1863" s="4">
        <f>IF($C1863="","",_xlfn.XLOOKUP($C1863,Order!$C:$C,Order!$H:$H,"",0,1))</f>
        <v>0.316</v>
      </c>
      <c r="I1863" s="36">
        <f>IF($C1863="","",_xlfn.XLOOKUP($C1863,Order!$C:$C,Order!$N:$N,"",0,1))</f>
        <v>0</v>
      </c>
      <c r="J1863" s="4" t="str">
        <f>IF(C1863="","",Order!$N$16)</f>
        <v>ELECT. CHAMPAGNE (FAYH02)</v>
      </c>
      <c r="K1863" s="36">
        <f>IF($C1863="","",_xlfn.XLOOKUP($C1863,Order!$C:$C,Order!$P:$P,"",0,1))</f>
        <v>0</v>
      </c>
      <c r="L1863" s="4">
        <f t="shared" ref="L1863:L1926" si="29">IF(C1863="","",F1863/1000*H1863*I1863)</f>
        <v>0</v>
      </c>
    </row>
    <row r="1864" spans="2:12" ht="23.25" hidden="1" customHeight="1" x14ac:dyDescent="0.25">
      <c r="B1864" s="4">
        <v>1859</v>
      </c>
      <c r="C1864" s="36" t="str">
        <f>IF(Order!$C$150="","",Order!$C$150)</f>
        <v>25504L</v>
      </c>
      <c r="D1864" s="36" t="str">
        <f>IF($C1864="","",_xlfn.XLOOKUP($C1864,Order!$C:$C,Order!$D:$D,"",0,1))</f>
        <v>25504L</v>
      </c>
      <c r="E1864" s="4" t="e" vm="338">
        <f>IF($C1864="","",_xlfn.XLOOKUP($C1864,Order!$C:$C,Order!$E:$E,"",0,1))</f>
        <v>#VALUE!</v>
      </c>
      <c r="F1864" s="4">
        <f>IF($C1864="","",_xlfn.XLOOKUP($C1864,Order!$C:$C,Order!$F:$F,"",0,1))</f>
        <v>6000</v>
      </c>
      <c r="G1864" s="4" t="str">
        <f>IF($C1864="","",_xlfn.XLOOKUP($C1864,Order!$C:$C,Order!$G:$G,"",0,1))</f>
        <v>6063T5</v>
      </c>
      <c r="H1864" s="4">
        <f>IF($C1864="","",_xlfn.XLOOKUP($C1864,Order!$C:$C,Order!$H:$H,"",0,1))</f>
        <v>0.39200000000000002</v>
      </c>
      <c r="I1864" s="36">
        <f>IF($C1864="","",_xlfn.XLOOKUP($C1864,Order!$C:$C,Order!$N:$N,"",0,1))</f>
        <v>0</v>
      </c>
      <c r="J1864" s="4" t="str">
        <f>IF(C1864="","",Order!$N$16)</f>
        <v>ELECT. CHAMPAGNE (FAYH02)</v>
      </c>
      <c r="K1864" s="36">
        <f>IF($C1864="","",_xlfn.XLOOKUP($C1864,Order!$C:$C,Order!$P:$P,"",0,1))</f>
        <v>0</v>
      </c>
      <c r="L1864" s="4">
        <f t="shared" si="29"/>
        <v>0</v>
      </c>
    </row>
    <row r="1865" spans="2:12" ht="23.25" hidden="1" customHeight="1" x14ac:dyDescent="0.25">
      <c r="B1865" s="4">
        <v>1860</v>
      </c>
      <c r="C1865" s="36">
        <f>IF(Order!$C$151="","",Order!$C$151)</f>
        <v>25508</v>
      </c>
      <c r="D1865" s="36">
        <f>IF($C1865="","",_xlfn.XLOOKUP($C1865,Order!$C:$C,Order!$D:$D,"",0,1))</f>
        <v>25508</v>
      </c>
      <c r="E1865" s="4" t="e" vm="339">
        <f>IF($C1865="","",_xlfn.XLOOKUP($C1865,Order!$C:$C,Order!$E:$E,"",0,1))</f>
        <v>#VALUE!</v>
      </c>
      <c r="F1865" s="4">
        <f>IF($C1865="","",_xlfn.XLOOKUP($C1865,Order!$C:$C,Order!$F:$F,"",0,1))</f>
        <v>6000</v>
      </c>
      <c r="G1865" s="4" t="str">
        <f>IF($C1865="","",_xlfn.XLOOKUP($C1865,Order!$C:$C,Order!$G:$G,"",0,1))</f>
        <v>6063T5</v>
      </c>
      <c r="H1865" s="4">
        <f>IF($C1865="","",_xlfn.XLOOKUP($C1865,Order!$C:$C,Order!$H:$H,"",0,1))</f>
        <v>0.53300000000000003</v>
      </c>
      <c r="I1865" s="36">
        <f>IF($C1865="","",_xlfn.XLOOKUP($C1865,Order!$C:$C,Order!$N:$N,"",0,1))</f>
        <v>0</v>
      </c>
      <c r="J1865" s="4" t="str">
        <f>IF(C1865="","",Order!$N$16)</f>
        <v>ELECT. CHAMPAGNE (FAYH02)</v>
      </c>
      <c r="K1865" s="36">
        <f>IF($C1865="","",_xlfn.XLOOKUP($C1865,Order!$C:$C,Order!$P:$P,"",0,1))</f>
        <v>0</v>
      </c>
      <c r="L1865" s="4">
        <f t="shared" si="29"/>
        <v>0</v>
      </c>
    </row>
    <row r="1866" spans="2:12" ht="23.25" hidden="1" customHeight="1" x14ac:dyDescent="0.25">
      <c r="B1866" s="4">
        <v>1861</v>
      </c>
      <c r="C1866" s="36">
        <f>IF(Order!$C$152="","",Order!$C$152)</f>
        <v>25515</v>
      </c>
      <c r="D1866" s="36">
        <f>IF($C1866="","",_xlfn.XLOOKUP($C1866,Order!$C:$C,Order!$D:$D,"",0,1))</f>
        <v>25515</v>
      </c>
      <c r="E1866" s="4" t="e" vm="340">
        <f>IF($C1866="","",_xlfn.XLOOKUP($C1866,Order!$C:$C,Order!$E:$E,"",0,1))</f>
        <v>#VALUE!</v>
      </c>
      <c r="F1866" s="4">
        <f>IF($C1866="","",_xlfn.XLOOKUP($C1866,Order!$C:$C,Order!$F:$F,"",0,1))</f>
        <v>6000</v>
      </c>
      <c r="G1866" s="4" t="str">
        <f>IF($C1866="","",_xlfn.XLOOKUP($C1866,Order!$C:$C,Order!$G:$G,"",0,1))</f>
        <v>6063T5</v>
      </c>
      <c r="H1866" s="4">
        <f>IF($C1866="","",_xlfn.XLOOKUP($C1866,Order!$C:$C,Order!$H:$H,"",0,1))</f>
        <v>0.48399999999999999</v>
      </c>
      <c r="I1866" s="36">
        <f>IF($C1866="","",_xlfn.XLOOKUP($C1866,Order!$C:$C,Order!$N:$N,"",0,1))</f>
        <v>0</v>
      </c>
      <c r="J1866" s="4" t="str">
        <f>IF(C1866="","",Order!$N$16)</f>
        <v>ELECT. CHAMPAGNE (FAYH02)</v>
      </c>
      <c r="K1866" s="36">
        <f>IF($C1866="","",_xlfn.XLOOKUP($C1866,Order!$C:$C,Order!$P:$P,"",0,1))</f>
        <v>0</v>
      </c>
      <c r="L1866" s="4">
        <f t="shared" si="29"/>
        <v>0</v>
      </c>
    </row>
    <row r="1867" spans="2:12" ht="23.25" hidden="1" customHeight="1" x14ac:dyDescent="0.25">
      <c r="B1867" s="4">
        <v>1862</v>
      </c>
      <c r="C1867" s="36">
        <f>IF(Order!$C$153="","",Order!$C$153)</f>
        <v>25516</v>
      </c>
      <c r="D1867" s="36">
        <f>IF($C1867="","",_xlfn.XLOOKUP($C1867,Order!$C:$C,Order!$D:$D,"",0,1))</f>
        <v>25516</v>
      </c>
      <c r="E1867" s="4" t="e" vm="341">
        <f>IF($C1867="","",_xlfn.XLOOKUP($C1867,Order!$C:$C,Order!$E:$E,"",0,1))</f>
        <v>#VALUE!</v>
      </c>
      <c r="F1867" s="4">
        <f>IF($C1867="","",_xlfn.XLOOKUP($C1867,Order!$C:$C,Order!$F:$F,"",0,1))</f>
        <v>6000</v>
      </c>
      <c r="G1867" s="4" t="str">
        <f>IF($C1867="","",_xlfn.XLOOKUP($C1867,Order!$C:$C,Order!$G:$G,"",0,1))</f>
        <v>6063T5</v>
      </c>
      <c r="H1867" s="4">
        <f>IF($C1867="","",_xlfn.XLOOKUP($C1867,Order!$C:$C,Order!$H:$H,"",0,1))</f>
        <v>0.56000000000000005</v>
      </c>
      <c r="I1867" s="36">
        <f>IF($C1867="","",_xlfn.XLOOKUP($C1867,Order!$C:$C,Order!$N:$N,"",0,1))</f>
        <v>0</v>
      </c>
      <c r="J1867" s="4" t="str">
        <f>IF(C1867="","",Order!$N$16)</f>
        <v>ELECT. CHAMPAGNE (FAYH02)</v>
      </c>
      <c r="K1867" s="36">
        <f>IF($C1867="","",_xlfn.XLOOKUP($C1867,Order!$C:$C,Order!$P:$P,"",0,1))</f>
        <v>0</v>
      </c>
      <c r="L1867" s="4">
        <f t="shared" si="29"/>
        <v>0</v>
      </c>
    </row>
    <row r="1868" spans="2:12" ht="23.25" hidden="1" customHeight="1" x14ac:dyDescent="0.25">
      <c r="B1868" s="4">
        <v>1863</v>
      </c>
      <c r="C1868" s="36">
        <f>IF(Order!$C$154="","",Order!$C$154)</f>
        <v>25540</v>
      </c>
      <c r="D1868" s="36">
        <f>IF($C1868="","",_xlfn.XLOOKUP($C1868,Order!$C:$C,Order!$D:$D,"",0,1))</f>
        <v>25540</v>
      </c>
      <c r="E1868" s="4" t="e" vm="342">
        <f>IF($C1868="","",_xlfn.XLOOKUP($C1868,Order!$C:$C,Order!$E:$E,"",0,1))</f>
        <v>#VALUE!</v>
      </c>
      <c r="F1868" s="4">
        <f>IF($C1868="","",_xlfn.XLOOKUP($C1868,Order!$C:$C,Order!$F:$F,"",0,1))</f>
        <v>6000</v>
      </c>
      <c r="G1868" s="4" t="str">
        <f>IF($C1868="","",_xlfn.XLOOKUP($C1868,Order!$C:$C,Order!$G:$G,"",0,1))</f>
        <v>6063T5</v>
      </c>
      <c r="H1868" s="4">
        <f>IF($C1868="","",_xlfn.XLOOKUP($C1868,Order!$C:$C,Order!$H:$H,"",0,1))</f>
        <v>0.45</v>
      </c>
      <c r="I1868" s="36">
        <f>IF($C1868="","",_xlfn.XLOOKUP($C1868,Order!$C:$C,Order!$N:$N,"",0,1))</f>
        <v>0</v>
      </c>
      <c r="J1868" s="4" t="str">
        <f>IF(C1868="","",Order!$N$16)</f>
        <v>ELECT. CHAMPAGNE (FAYH02)</v>
      </c>
      <c r="K1868" s="36">
        <f>IF($C1868="","",_xlfn.XLOOKUP($C1868,Order!$C:$C,Order!$P:$P,"",0,1))</f>
        <v>0</v>
      </c>
      <c r="L1868" s="4">
        <f t="shared" si="29"/>
        <v>0</v>
      </c>
    </row>
    <row r="1869" spans="2:12" ht="23.25" hidden="1" customHeight="1" x14ac:dyDescent="0.25">
      <c r="B1869" s="4">
        <v>1864</v>
      </c>
      <c r="C1869" s="36">
        <f>IF(Order!$C$155="","",Order!$C$155)</f>
        <v>25542</v>
      </c>
      <c r="D1869" s="36">
        <f>IF($C1869="","",_xlfn.XLOOKUP($C1869,Order!$C:$C,Order!$D:$D,"",0,1))</f>
        <v>25542</v>
      </c>
      <c r="E1869" s="4" t="e" vm="343">
        <f>IF($C1869="","",_xlfn.XLOOKUP($C1869,Order!$C:$C,Order!$E:$E,"",0,1))</f>
        <v>#VALUE!</v>
      </c>
      <c r="F1869" s="4">
        <f>IF($C1869="","",_xlfn.XLOOKUP($C1869,Order!$C:$C,Order!$F:$F,"",0,1))</f>
        <v>6000</v>
      </c>
      <c r="G1869" s="4" t="str">
        <f>IF($C1869="","",_xlfn.XLOOKUP($C1869,Order!$C:$C,Order!$G:$G,"",0,1))</f>
        <v>6063T5</v>
      </c>
      <c r="H1869" s="4">
        <f>IF($C1869="","",_xlfn.XLOOKUP($C1869,Order!$C:$C,Order!$H:$H,"",0,1))</f>
        <v>0.54200000000000004</v>
      </c>
      <c r="I1869" s="36">
        <f>IF($C1869="","",_xlfn.XLOOKUP($C1869,Order!$C:$C,Order!$N:$N,"",0,1))</f>
        <v>0</v>
      </c>
      <c r="J1869" s="4" t="str">
        <f>IF(C1869="","",Order!$N$16)</f>
        <v>ELECT. CHAMPAGNE (FAYH02)</v>
      </c>
      <c r="K1869" s="36">
        <f>IF($C1869="","",_xlfn.XLOOKUP($C1869,Order!$C:$C,Order!$P:$P,"",0,1))</f>
        <v>0</v>
      </c>
      <c r="L1869" s="4">
        <f t="shared" si="29"/>
        <v>0</v>
      </c>
    </row>
    <row r="1870" spans="2:12" ht="23.25" hidden="1" customHeight="1" x14ac:dyDescent="0.25">
      <c r="B1870" s="4">
        <v>1865</v>
      </c>
      <c r="C1870" s="36" t="str">
        <f>IF(Order!$C$156="","",Order!$C$156)</f>
        <v>VZ024L</v>
      </c>
      <c r="D1870" s="36" t="str">
        <f>IF($C1870="","",_xlfn.XLOOKUP($C1870,Order!$C:$C,Order!$D:$D,"",0,1))</f>
        <v>VZ024L</v>
      </c>
      <c r="E1870" s="4" t="e" vm="344">
        <f>IF($C1870="","",_xlfn.XLOOKUP($C1870,Order!$C:$C,Order!$E:$E,"",0,1))</f>
        <v>#VALUE!</v>
      </c>
      <c r="F1870" s="4">
        <f>IF($C1870="","",_xlfn.XLOOKUP($C1870,Order!$C:$C,Order!$F:$F,"",0,1))</f>
        <v>6000</v>
      </c>
      <c r="G1870" s="4" t="str">
        <f>IF($C1870="","",_xlfn.XLOOKUP($C1870,Order!$C:$C,Order!$G:$G,"",0,1))</f>
        <v>6063T5</v>
      </c>
      <c r="H1870" s="4">
        <f>IF($C1870="","",_xlfn.XLOOKUP($C1870,Order!$C:$C,Order!$H:$H,"",0,1))</f>
        <v>0.19800000000000001</v>
      </c>
      <c r="I1870" s="36">
        <f>IF($C1870="","",_xlfn.XLOOKUP($C1870,Order!$C:$C,Order!$N:$N,"",0,1))</f>
        <v>0</v>
      </c>
      <c r="J1870" s="4" t="str">
        <f>IF(C1870="","",Order!$N$16)</f>
        <v>ELECT. CHAMPAGNE (FAYH02)</v>
      </c>
      <c r="K1870" s="36">
        <f>IF($C1870="","",_xlfn.XLOOKUP($C1870,Order!$C:$C,Order!$P:$P,"",0,1))</f>
        <v>0</v>
      </c>
      <c r="L1870" s="4">
        <f t="shared" si="29"/>
        <v>0</v>
      </c>
    </row>
    <row r="1871" spans="2:12" ht="23.25" hidden="1" customHeight="1" x14ac:dyDescent="0.25">
      <c r="B1871" s="4">
        <v>1866</v>
      </c>
      <c r="C1871" s="36" t="str">
        <f>IF(Order!$C$157="","",Order!$C$157)</f>
        <v/>
      </c>
      <c r="D1871" s="36" t="str">
        <f>IF($C1871="","",_xlfn.XLOOKUP($C1871,Order!$C:$C,Order!$D:$D,"",0,1))</f>
        <v/>
      </c>
      <c r="E1871" s="4" t="str">
        <f>IF($C1871="","",_xlfn.XLOOKUP($C1871,Order!$C:$C,Order!$E:$E,"",0,1))</f>
        <v/>
      </c>
      <c r="F1871" s="4" t="str">
        <f>IF($C1871="","",_xlfn.XLOOKUP($C1871,Order!$C:$C,Order!$F:$F,"",0,1))</f>
        <v/>
      </c>
      <c r="G1871" s="4" t="str">
        <f>IF($C1871="","",_xlfn.XLOOKUP($C1871,Order!$C:$C,Order!$G:$G,"",0,1))</f>
        <v/>
      </c>
      <c r="H1871" s="4" t="str">
        <f>IF($C1871="","",_xlfn.XLOOKUP($C1871,Order!$C:$C,Order!$H:$H,"",0,1))</f>
        <v/>
      </c>
      <c r="I1871" s="36" t="str">
        <f>IF($C1871="","",_xlfn.XLOOKUP($C1871,Order!$C:$C,Order!$N:$N,"",0,1))</f>
        <v/>
      </c>
      <c r="J1871" s="4" t="str">
        <f>IF(C1871="","",Order!$N$16)</f>
        <v/>
      </c>
      <c r="K1871" s="36" t="str">
        <f>IF($C1871="","",_xlfn.XLOOKUP($C1871,Order!$C:$C,Order!$P:$P,"",0,1))</f>
        <v/>
      </c>
      <c r="L1871" s="4" t="str">
        <f t="shared" si="29"/>
        <v/>
      </c>
    </row>
    <row r="1872" spans="2:12" ht="23.25" hidden="1" customHeight="1" x14ac:dyDescent="0.25">
      <c r="B1872" s="4">
        <v>1867</v>
      </c>
      <c r="C1872" s="36" t="str">
        <f>IF(Order!$C$158="","",Order!$C$158)</f>
        <v>VZ060L</v>
      </c>
      <c r="D1872" s="36" t="str">
        <f>IF($C1872="","",_xlfn.XLOOKUP($C1872,Order!$C:$C,Order!$D:$D,"",0,1))</f>
        <v>VZ060L</v>
      </c>
      <c r="E1872" s="4" t="e" vm="345">
        <f>IF($C1872="","",_xlfn.XLOOKUP($C1872,Order!$C:$C,Order!$E:$E,"",0,1))</f>
        <v>#VALUE!</v>
      </c>
      <c r="F1872" s="4">
        <f>IF($C1872="","",_xlfn.XLOOKUP($C1872,Order!$C:$C,Order!$F:$F,"",0,1))</f>
        <v>6000</v>
      </c>
      <c r="G1872" s="4" t="str">
        <f>IF($C1872="","",_xlfn.XLOOKUP($C1872,Order!$C:$C,Order!$G:$G,"",0,1))</f>
        <v>6063T5</v>
      </c>
      <c r="H1872" s="4">
        <f>IF($C1872="","",_xlfn.XLOOKUP($C1872,Order!$C:$C,Order!$H:$H,"",0,1))</f>
        <v>0.28799999999999998</v>
      </c>
      <c r="I1872" s="36">
        <f>IF($C1872="","",_xlfn.XLOOKUP($C1872,Order!$C:$C,Order!$N:$N,"",0,1))</f>
        <v>0</v>
      </c>
      <c r="J1872" s="4" t="str">
        <f>IF(C1872="","",Order!$N$16)</f>
        <v>ELECT. CHAMPAGNE (FAYH02)</v>
      </c>
      <c r="K1872" s="36">
        <f>IF($C1872="","",_xlfn.XLOOKUP($C1872,Order!$C:$C,Order!$P:$P,"",0,1))</f>
        <v>0</v>
      </c>
      <c r="L1872" s="4">
        <f t="shared" si="29"/>
        <v>0</v>
      </c>
    </row>
    <row r="1873" spans="2:12" ht="23.25" hidden="1" customHeight="1" x14ac:dyDescent="0.25">
      <c r="B1873" s="4">
        <v>1868</v>
      </c>
      <c r="C1873" s="36" t="str">
        <f>IF(Order!$C$159="","",Order!$C$159)</f>
        <v>VZ201</v>
      </c>
      <c r="D1873" s="36" t="str">
        <f>IF($C1873="","",_xlfn.XLOOKUP($C1873,Order!$C:$C,Order!$D:$D,"",0,1))</f>
        <v>VZ201</v>
      </c>
      <c r="E1873" s="4" t="e" vm="346">
        <f>IF($C1873="","",_xlfn.XLOOKUP($C1873,Order!$C:$C,Order!$E:$E,"",0,1))</f>
        <v>#VALUE!</v>
      </c>
      <c r="F1873" s="4">
        <f>IF($C1873="","",_xlfn.XLOOKUP($C1873,Order!$C:$C,Order!$F:$F,"",0,1))</f>
        <v>6000</v>
      </c>
      <c r="G1873" s="4" t="str">
        <f>IF($C1873="","",_xlfn.XLOOKUP($C1873,Order!$C:$C,Order!$G:$G,"",0,1))</f>
        <v>6063T5</v>
      </c>
      <c r="H1873" s="4">
        <f>IF($C1873="","",_xlfn.XLOOKUP($C1873,Order!$C:$C,Order!$H:$H,"",0,1))</f>
        <v>0.21</v>
      </c>
      <c r="I1873" s="36">
        <f>IF($C1873="","",_xlfn.XLOOKUP($C1873,Order!$C:$C,Order!$N:$N,"",0,1))</f>
        <v>0</v>
      </c>
      <c r="J1873" s="4" t="str">
        <f>IF(C1873="","",Order!$N$16)</f>
        <v>ELECT. CHAMPAGNE (FAYH02)</v>
      </c>
      <c r="K1873" s="36">
        <f>IF($C1873="","",_xlfn.XLOOKUP($C1873,Order!$C:$C,Order!$P:$P,"",0,1))</f>
        <v>0</v>
      </c>
      <c r="L1873" s="4">
        <f t="shared" si="29"/>
        <v>0</v>
      </c>
    </row>
    <row r="1874" spans="2:12" ht="23.25" hidden="1" customHeight="1" x14ac:dyDescent="0.25">
      <c r="B1874" s="4">
        <v>1869</v>
      </c>
      <c r="C1874" s="36" t="str">
        <f>IF(Order!$C$160="","",Order!$C$160)</f>
        <v/>
      </c>
      <c r="D1874" s="36" t="str">
        <f>IF($C1874="","",_xlfn.XLOOKUP($C1874,Order!$C:$C,Order!$D:$D,"",0,1))</f>
        <v/>
      </c>
      <c r="E1874" s="4" t="str">
        <f>IF($C1874="","",_xlfn.XLOOKUP($C1874,Order!$C:$C,Order!$E:$E,"",0,1))</f>
        <v/>
      </c>
      <c r="F1874" s="4" t="str">
        <f>IF($C1874="","",_xlfn.XLOOKUP($C1874,Order!$C:$C,Order!$F:$F,"",0,1))</f>
        <v/>
      </c>
      <c r="G1874" s="4" t="str">
        <f>IF($C1874="","",_xlfn.XLOOKUP($C1874,Order!$C:$C,Order!$G:$G,"",0,1))</f>
        <v/>
      </c>
      <c r="H1874" s="4" t="str">
        <f>IF($C1874="","",_xlfn.XLOOKUP($C1874,Order!$C:$C,Order!$H:$H,"",0,1))</f>
        <v/>
      </c>
      <c r="I1874" s="36" t="str">
        <f>IF($C1874="","",_xlfn.XLOOKUP($C1874,Order!$C:$C,Order!$N:$N,"",0,1))</f>
        <v/>
      </c>
      <c r="J1874" s="4" t="str">
        <f>IF(C1874="","",Order!$N$16)</f>
        <v/>
      </c>
      <c r="K1874" s="36" t="str">
        <f>IF($C1874="","",_xlfn.XLOOKUP($C1874,Order!$C:$C,Order!$P:$P,"",0,1))</f>
        <v/>
      </c>
      <c r="L1874" s="4" t="str">
        <f t="shared" si="29"/>
        <v/>
      </c>
    </row>
    <row r="1875" spans="2:12" ht="23.25" hidden="1" customHeight="1" x14ac:dyDescent="0.25">
      <c r="B1875" s="4">
        <v>1870</v>
      </c>
      <c r="C1875" s="36" t="str">
        <f>IF(Order!$C$161="","",Order!$C$161)</f>
        <v xml:space="preserve">BX828 </v>
      </c>
      <c r="D1875" s="36" t="str">
        <f>IF($C1875="","",_xlfn.XLOOKUP($C1875,Order!$C:$C,Order!$D:$D,"",0,1))</f>
        <v>BX828</v>
      </c>
      <c r="E1875" s="4" t="e" vm="347">
        <f>IF($C1875="","",_xlfn.XLOOKUP($C1875,Order!$C:$C,Order!$E:$E,"",0,1))</f>
        <v>#VALUE!</v>
      </c>
      <c r="F1875" s="4">
        <f>IF($C1875="","",_xlfn.XLOOKUP($C1875,Order!$C:$C,Order!$F:$F,"",0,1))</f>
        <v>6000</v>
      </c>
      <c r="G1875" s="4" t="str">
        <f>IF($C1875="","",_xlfn.XLOOKUP($C1875,Order!$C:$C,Order!$G:$G,"",0,1))</f>
        <v>6063T5</v>
      </c>
      <c r="H1875" s="4">
        <f>IF($C1875="","",_xlfn.XLOOKUP($C1875,Order!$C:$C,Order!$H:$H,"",0,1))</f>
        <v>0</v>
      </c>
      <c r="I1875" s="36">
        <f>IF($C1875="","",_xlfn.XLOOKUP($C1875,Order!$C:$C,Order!$N:$N,"",0,1))</f>
        <v>0</v>
      </c>
      <c r="J1875" s="4" t="str">
        <f>IF(C1875="","",Order!$N$16)</f>
        <v>ELECT. CHAMPAGNE (FAYH02)</v>
      </c>
      <c r="K1875" s="36">
        <f>IF($C1875="","",_xlfn.XLOOKUP($C1875,Order!$C:$C,Order!$P:$P,"",0,1))</f>
        <v>0</v>
      </c>
      <c r="L1875" s="4">
        <f t="shared" si="29"/>
        <v>0</v>
      </c>
    </row>
    <row r="1876" spans="2:12" ht="23.25" hidden="1" customHeight="1" x14ac:dyDescent="0.25">
      <c r="B1876" s="4">
        <v>1871</v>
      </c>
      <c r="C1876" s="36">
        <f>IF(Order!$C$162="","",Order!$C$162)</f>
        <v>30044</v>
      </c>
      <c r="D1876" s="36">
        <f>IF($C1876="","",_xlfn.XLOOKUP($C1876,Order!$C:$C,Order!$D:$D,"",0,1))</f>
        <v>30044</v>
      </c>
      <c r="E1876" s="4" t="e" vm="348">
        <f>IF($C1876="","",_xlfn.XLOOKUP($C1876,Order!$C:$C,Order!$E:$E,"",0,1))</f>
        <v>#VALUE!</v>
      </c>
      <c r="F1876" s="4">
        <f>IF($C1876="","",_xlfn.XLOOKUP($C1876,Order!$C:$C,Order!$F:$F,"",0,1))</f>
        <v>6000</v>
      </c>
      <c r="G1876" s="4" t="str">
        <f>IF($C1876="","",_xlfn.XLOOKUP($C1876,Order!$C:$C,Order!$G:$G,"",0,1))</f>
        <v>6063T5</v>
      </c>
      <c r="H1876" s="4">
        <f>IF($C1876="","",_xlfn.XLOOKUP($C1876,Order!$C:$C,Order!$H:$H,"",0,1))</f>
        <v>0.22600000000000001</v>
      </c>
      <c r="I1876" s="36">
        <f>IF($C1876="","",_xlfn.XLOOKUP($C1876,Order!$C:$C,Order!$N:$N,"",0,1))</f>
        <v>0</v>
      </c>
      <c r="J1876" s="4" t="str">
        <f>IF(C1876="","",Order!$N$16)</f>
        <v>ELECT. CHAMPAGNE (FAYH02)</v>
      </c>
      <c r="K1876" s="36">
        <f>IF($C1876="","",_xlfn.XLOOKUP($C1876,Order!$C:$C,Order!$P:$P,"",0,1))</f>
        <v>0</v>
      </c>
      <c r="L1876" s="4">
        <f t="shared" si="29"/>
        <v>0</v>
      </c>
    </row>
    <row r="1877" spans="2:12" ht="23.25" hidden="1" customHeight="1" x14ac:dyDescent="0.25">
      <c r="B1877" s="4">
        <v>1872</v>
      </c>
      <c r="C1877" s="36" t="str">
        <f>IF(Order!$C$163="","",Order!$C$163)</f>
        <v>AF180U</v>
      </c>
      <c r="D1877" s="36" t="str">
        <f>IF($C1877="","",_xlfn.XLOOKUP($C1877,Order!$C:$C,Order!$D:$D,"",0,1))</f>
        <v>AF180U</v>
      </c>
      <c r="E1877" s="4" t="e" vm="349">
        <f>IF($C1877="","",_xlfn.XLOOKUP($C1877,Order!$C:$C,Order!$E:$E,"",0,1))</f>
        <v>#VALUE!</v>
      </c>
      <c r="F1877" s="4">
        <f>IF($C1877="","",_xlfn.XLOOKUP($C1877,Order!$C:$C,Order!$F:$F,"",0,1))</f>
        <v>6000</v>
      </c>
      <c r="G1877" s="4" t="str">
        <f>IF($C1877="","",_xlfn.XLOOKUP($C1877,Order!$C:$C,Order!$G:$G,"",0,1))</f>
        <v>6063T5</v>
      </c>
      <c r="H1877" s="4">
        <f>IF($C1877="","",_xlfn.XLOOKUP($C1877,Order!$C:$C,Order!$H:$H,"",0,1))</f>
        <v>0.64200000000000002</v>
      </c>
      <c r="I1877" s="36">
        <f>IF($C1877="","",_xlfn.XLOOKUP($C1877,Order!$C:$C,Order!$N:$N,"",0,1))</f>
        <v>0</v>
      </c>
      <c r="J1877" s="4" t="str">
        <f>IF(C1877="","",Order!$N$16)</f>
        <v>ELECT. CHAMPAGNE (FAYH02)</v>
      </c>
      <c r="K1877" s="36">
        <f>IF($C1877="","",_xlfn.XLOOKUP($C1877,Order!$C:$C,Order!$P:$P,"",0,1))</f>
        <v>0</v>
      </c>
      <c r="L1877" s="4">
        <f t="shared" si="29"/>
        <v>0</v>
      </c>
    </row>
    <row r="1878" spans="2:12" ht="23.25" hidden="1" customHeight="1" x14ac:dyDescent="0.25">
      <c r="B1878" s="4">
        <v>1873</v>
      </c>
      <c r="C1878" s="36" t="str">
        <f>IF(Order!$C$164="","",Order!$C$164)</f>
        <v>BX627</v>
      </c>
      <c r="D1878" s="36" t="str">
        <f>IF($C1878="","",_xlfn.XLOOKUP($C1878,Order!$C:$C,Order!$D:$D,"",0,1))</f>
        <v>BX627</v>
      </c>
      <c r="E1878" s="4" t="e" vm="350">
        <f>IF($C1878="","",_xlfn.XLOOKUP($C1878,Order!$C:$C,Order!$E:$E,"",0,1))</f>
        <v>#VALUE!</v>
      </c>
      <c r="F1878" s="4">
        <f>IF($C1878="","",_xlfn.XLOOKUP($C1878,Order!$C:$C,Order!$F:$F,"",0,1))</f>
        <v>6000</v>
      </c>
      <c r="G1878" s="4" t="str">
        <f>IF($C1878="","",_xlfn.XLOOKUP($C1878,Order!$C:$C,Order!$G:$G,"",0,1))</f>
        <v>6063T5</v>
      </c>
      <c r="H1878" s="4">
        <f>IF($C1878="","",_xlfn.XLOOKUP($C1878,Order!$C:$C,Order!$H:$H,"",0,1))</f>
        <v>0.44800000000000001</v>
      </c>
      <c r="I1878" s="36">
        <f>IF($C1878="","",_xlfn.XLOOKUP($C1878,Order!$C:$C,Order!$N:$N,"",0,1))</f>
        <v>0</v>
      </c>
      <c r="J1878" s="4" t="str">
        <f>IF(C1878="","",Order!$N$16)</f>
        <v>ELECT. CHAMPAGNE (FAYH02)</v>
      </c>
      <c r="K1878" s="36">
        <f>IF($C1878="","",_xlfn.XLOOKUP($C1878,Order!$C:$C,Order!$P:$P,"",0,1))</f>
        <v>0</v>
      </c>
      <c r="L1878" s="4">
        <f t="shared" si="29"/>
        <v>0</v>
      </c>
    </row>
    <row r="1879" spans="2:12" ht="23.25" hidden="1" customHeight="1" x14ac:dyDescent="0.25">
      <c r="B1879" s="4">
        <v>1874</v>
      </c>
      <c r="C1879" s="36" t="str">
        <f>IF(Order!$C$165="","",Order!$C$165)</f>
        <v>BX812</v>
      </c>
      <c r="D1879" s="36" t="str">
        <f>IF($C1879="","",_xlfn.XLOOKUP($C1879,Order!$C:$C,Order!$D:$D,"",0,1))</f>
        <v>BX812</v>
      </c>
      <c r="E1879" s="4" t="e" vm="351">
        <f>IF($C1879="","",_xlfn.XLOOKUP($C1879,Order!$C:$C,Order!$E:$E,"",0,1))</f>
        <v>#VALUE!</v>
      </c>
      <c r="F1879" s="4">
        <f>IF($C1879="","",_xlfn.XLOOKUP($C1879,Order!$C:$C,Order!$F:$F,"",0,1))</f>
        <v>6000</v>
      </c>
      <c r="G1879" s="4" t="str">
        <f>IF($C1879="","",_xlfn.XLOOKUP($C1879,Order!$C:$C,Order!$G:$G,"",0,1))</f>
        <v>6063T5</v>
      </c>
      <c r="H1879" s="4">
        <f>IF($C1879="","",_xlfn.XLOOKUP($C1879,Order!$C:$C,Order!$H:$H,"",0,1))</f>
        <v>1.373</v>
      </c>
      <c r="I1879" s="36">
        <f>IF($C1879="","",_xlfn.XLOOKUP($C1879,Order!$C:$C,Order!$N:$N,"",0,1))</f>
        <v>0</v>
      </c>
      <c r="J1879" s="4" t="str">
        <f>IF(C1879="","",Order!$N$16)</f>
        <v>ELECT. CHAMPAGNE (FAYH02)</v>
      </c>
      <c r="K1879" s="36">
        <f>IF($C1879="","",_xlfn.XLOOKUP($C1879,Order!$C:$C,Order!$P:$P,"",0,1))</f>
        <v>0</v>
      </c>
      <c r="L1879" s="4">
        <f t="shared" si="29"/>
        <v>0</v>
      </c>
    </row>
    <row r="1880" spans="2:12" ht="23.25" hidden="1" customHeight="1" x14ac:dyDescent="0.25">
      <c r="B1880" s="4">
        <v>1875</v>
      </c>
      <c r="C1880" s="36">
        <f>IF(Order!$C$166="","",Order!$C$166)</f>
        <v>25517</v>
      </c>
      <c r="D1880" s="36">
        <f>IF($C1880="","",_xlfn.XLOOKUP($C1880,Order!$C:$C,Order!$D:$D,"",0,1))</f>
        <v>25517</v>
      </c>
      <c r="E1880" s="4" t="e" vm="352">
        <f>IF($C1880="","",_xlfn.XLOOKUP($C1880,Order!$C:$C,Order!$E:$E,"",0,1))</f>
        <v>#VALUE!</v>
      </c>
      <c r="F1880" s="4">
        <f>IF($C1880="","",_xlfn.XLOOKUP($C1880,Order!$C:$C,Order!$F:$F,"",0,1))</f>
        <v>6000</v>
      </c>
      <c r="G1880" s="4" t="str">
        <f>IF($C1880="","",_xlfn.XLOOKUP($C1880,Order!$C:$C,Order!$G:$G,"",0,1))</f>
        <v>6063T5</v>
      </c>
      <c r="H1880" s="4">
        <f>IF($C1880="","",_xlfn.XLOOKUP($C1880,Order!$C:$C,Order!$H:$H,"",0,1))</f>
        <v>0.39200000000000002</v>
      </c>
      <c r="I1880" s="36">
        <f>IF($C1880="","",_xlfn.XLOOKUP($C1880,Order!$C:$C,Order!$N:$N,"",0,1))</f>
        <v>0</v>
      </c>
      <c r="J1880" s="4" t="str">
        <f>IF(C1880="","",Order!$N$16)</f>
        <v>ELECT. CHAMPAGNE (FAYH02)</v>
      </c>
      <c r="K1880" s="36">
        <f>IF($C1880="","",_xlfn.XLOOKUP($C1880,Order!$C:$C,Order!$P:$P,"",0,1))</f>
        <v>0</v>
      </c>
      <c r="L1880" s="4">
        <f t="shared" si="29"/>
        <v>0</v>
      </c>
    </row>
    <row r="1881" spans="2:12" ht="23.25" hidden="1" customHeight="1" x14ac:dyDescent="0.25">
      <c r="B1881" s="4">
        <v>1876</v>
      </c>
      <c r="C1881" s="36" t="str">
        <f>IF(Order!$C$167="","",Order!$C$167)</f>
        <v>25517A</v>
      </c>
      <c r="D1881" s="36" t="str">
        <f>IF($C1881="","",_xlfn.XLOOKUP($C1881,Order!$C:$C,Order!$D:$D,"",0,1))</f>
        <v>25517A</v>
      </c>
      <c r="E1881" s="4" t="e" vm="352">
        <f>IF($C1881="","",_xlfn.XLOOKUP($C1881,Order!$C:$C,Order!$E:$E,"",0,1))</f>
        <v>#VALUE!</v>
      </c>
      <c r="F1881" s="4">
        <f>IF($C1881="","",_xlfn.XLOOKUP($C1881,Order!$C:$C,Order!$F:$F,"",0,1))</f>
        <v>6000</v>
      </c>
      <c r="G1881" s="4" t="str">
        <f>IF($C1881="","",_xlfn.XLOOKUP($C1881,Order!$C:$C,Order!$G:$G,"",0,1))</f>
        <v>6063T5</v>
      </c>
      <c r="H1881" s="4">
        <f>IF($C1881="","",_xlfn.XLOOKUP($C1881,Order!$C:$C,Order!$H:$H,"",0,1))</f>
        <v>0.36</v>
      </c>
      <c r="I1881" s="36">
        <f>IF($C1881="","",_xlfn.XLOOKUP($C1881,Order!$C:$C,Order!$N:$N,"",0,1))</f>
        <v>0</v>
      </c>
      <c r="J1881" s="4" t="str">
        <f>IF(C1881="","",Order!$N$16)</f>
        <v>ELECT. CHAMPAGNE (FAYH02)</v>
      </c>
      <c r="K1881" s="36">
        <f>IF($C1881="","",_xlfn.XLOOKUP($C1881,Order!$C:$C,Order!$P:$P,"",0,1))</f>
        <v>0</v>
      </c>
      <c r="L1881" s="4">
        <f t="shared" si="29"/>
        <v>0</v>
      </c>
    </row>
    <row r="1882" spans="2:12" ht="23.25" hidden="1" customHeight="1" x14ac:dyDescent="0.25">
      <c r="B1882" s="4">
        <v>1877</v>
      </c>
      <c r="C1882" s="36">
        <f>IF(Order!$C$168="","",Order!$C$168)</f>
        <v>25518</v>
      </c>
      <c r="D1882" s="36">
        <f>IF($C1882="","",_xlfn.XLOOKUP($C1882,Order!$C:$C,Order!$D:$D,"",0,1))</f>
        <v>25518</v>
      </c>
      <c r="E1882" s="4" t="e" vm="353">
        <f>IF($C1882="","",_xlfn.XLOOKUP($C1882,Order!$C:$C,Order!$E:$E,"",0,1))</f>
        <v>#VALUE!</v>
      </c>
      <c r="F1882" s="4">
        <f>IF($C1882="","",_xlfn.XLOOKUP($C1882,Order!$C:$C,Order!$F:$F,"",0,1))</f>
        <v>6000</v>
      </c>
      <c r="G1882" s="4" t="str">
        <f>IF($C1882="","",_xlfn.XLOOKUP($C1882,Order!$C:$C,Order!$G:$G,"",0,1))</f>
        <v>6063T5</v>
      </c>
      <c r="H1882" s="4">
        <f>IF($C1882="","",_xlfn.XLOOKUP($C1882,Order!$C:$C,Order!$H:$H,"",0,1))</f>
        <v>0.36299999999999999</v>
      </c>
      <c r="I1882" s="36">
        <f>IF($C1882="","",_xlfn.XLOOKUP($C1882,Order!$C:$C,Order!$N:$N,"",0,1))</f>
        <v>0</v>
      </c>
      <c r="J1882" s="4" t="str">
        <f>IF(C1882="","",Order!$N$16)</f>
        <v>ELECT. CHAMPAGNE (FAYH02)</v>
      </c>
      <c r="K1882" s="36">
        <f>IF($C1882="","",_xlfn.XLOOKUP($C1882,Order!$C:$C,Order!$P:$P,"",0,1))</f>
        <v>0</v>
      </c>
      <c r="L1882" s="4">
        <f t="shared" si="29"/>
        <v>0</v>
      </c>
    </row>
    <row r="1883" spans="2:12" ht="23.25" hidden="1" customHeight="1" x14ac:dyDescent="0.25">
      <c r="B1883" s="4">
        <v>1878</v>
      </c>
      <c r="C1883" s="36">
        <f>IF(Order!$C$169="","",Order!$C$169)</f>
        <v>25520</v>
      </c>
      <c r="D1883" s="36">
        <f>IF($C1883="","",_xlfn.XLOOKUP($C1883,Order!$C:$C,Order!$D:$D,"",0,1))</f>
        <v>25520</v>
      </c>
      <c r="E1883" s="4" t="e" vm="354">
        <f>IF($C1883="","",_xlfn.XLOOKUP($C1883,Order!$C:$C,Order!$E:$E,"",0,1))</f>
        <v>#VALUE!</v>
      </c>
      <c r="F1883" s="4">
        <f>IF($C1883="","",_xlfn.XLOOKUP($C1883,Order!$C:$C,Order!$F:$F,"",0,1))</f>
        <v>6000</v>
      </c>
      <c r="G1883" s="4" t="str">
        <f>IF($C1883="","",_xlfn.XLOOKUP($C1883,Order!$C:$C,Order!$G:$G,"",0,1))</f>
        <v>6063T5</v>
      </c>
      <c r="H1883" s="4">
        <f>IF($C1883="","",_xlfn.XLOOKUP($C1883,Order!$C:$C,Order!$H:$H,"",0,1))</f>
        <v>0.373</v>
      </c>
      <c r="I1883" s="36">
        <f>IF($C1883="","",_xlfn.XLOOKUP($C1883,Order!$C:$C,Order!$N:$N,"",0,1))</f>
        <v>0</v>
      </c>
      <c r="J1883" s="4" t="str">
        <f>IF(C1883="","",Order!$N$16)</f>
        <v>ELECT. CHAMPAGNE (FAYH02)</v>
      </c>
      <c r="K1883" s="36">
        <f>IF($C1883="","",_xlfn.XLOOKUP($C1883,Order!$C:$C,Order!$P:$P,"",0,1))</f>
        <v>0</v>
      </c>
      <c r="L1883" s="4">
        <f t="shared" si="29"/>
        <v>0</v>
      </c>
    </row>
    <row r="1884" spans="2:12" ht="23.25" hidden="1" customHeight="1" x14ac:dyDescent="0.25">
      <c r="B1884" s="4">
        <v>1879</v>
      </c>
      <c r="C1884" s="36">
        <f>IF(Order!$C$170="","",Order!$C$170)</f>
        <v>25617</v>
      </c>
      <c r="D1884" s="36">
        <f>IF($C1884="","",_xlfn.XLOOKUP($C1884,Order!$C:$C,Order!$D:$D,"",0,1))</f>
        <v>25617</v>
      </c>
      <c r="E1884" s="4" t="e" vm="355">
        <f>IF($C1884="","",_xlfn.XLOOKUP($C1884,Order!$C:$C,Order!$E:$E,"",0,1))</f>
        <v>#VALUE!</v>
      </c>
      <c r="F1884" s="4">
        <f>IF($C1884="","",_xlfn.XLOOKUP($C1884,Order!$C:$C,Order!$F:$F,"",0,1))</f>
        <v>6000</v>
      </c>
      <c r="G1884" s="4" t="str">
        <f>IF($C1884="","",_xlfn.XLOOKUP($C1884,Order!$C:$C,Order!$G:$G,"",0,1))</f>
        <v>6063T5</v>
      </c>
      <c r="H1884" s="4">
        <f>IF($C1884="","",_xlfn.XLOOKUP($C1884,Order!$C:$C,Order!$H:$H,"",0,1))</f>
        <v>0.373</v>
      </c>
      <c r="I1884" s="36">
        <f>IF($C1884="","",_xlfn.XLOOKUP($C1884,Order!$C:$C,Order!$N:$N,"",0,1))</f>
        <v>0</v>
      </c>
      <c r="J1884" s="4" t="str">
        <f>IF(C1884="","",Order!$N$16)</f>
        <v>ELECT. CHAMPAGNE (FAYH02)</v>
      </c>
      <c r="K1884" s="36">
        <f>IF($C1884="","",_xlfn.XLOOKUP($C1884,Order!$C:$C,Order!$P:$P,"",0,1))</f>
        <v>0</v>
      </c>
      <c r="L1884" s="4">
        <f t="shared" si="29"/>
        <v>0</v>
      </c>
    </row>
    <row r="1885" spans="2:12" ht="23.25" hidden="1" customHeight="1" x14ac:dyDescent="0.25">
      <c r="B1885" s="4">
        <v>1880</v>
      </c>
      <c r="C1885" s="36" t="str">
        <f>IF(Order!$C$171="","",Order!$C$171)</f>
        <v>TB600</v>
      </c>
      <c r="D1885" s="36" t="str">
        <f>IF($C1885="","",_xlfn.XLOOKUP($C1885,Order!$C:$C,Order!$D:$D,"",0,1))</f>
        <v>TB600</v>
      </c>
      <c r="E1885" s="4" t="e" vm="356">
        <f>IF($C1885="","",_xlfn.XLOOKUP($C1885,Order!$C:$C,Order!$E:$E,"",0,1))</f>
        <v>#VALUE!</v>
      </c>
      <c r="F1885" s="4">
        <f>IF($C1885="","",_xlfn.XLOOKUP($C1885,Order!$C:$C,Order!$F:$F,"",0,1))</f>
        <v>6000</v>
      </c>
      <c r="G1885" s="4" t="str">
        <f>IF($C1885="","",_xlfn.XLOOKUP($C1885,Order!$C:$C,Order!$G:$G,"",0,1))</f>
        <v>6063T5</v>
      </c>
      <c r="H1885" s="4">
        <f>IF($C1885="","",_xlfn.XLOOKUP($C1885,Order!$C:$C,Order!$H:$H,"",0,1))</f>
        <v>0.73099999999999998</v>
      </c>
      <c r="I1885" s="36">
        <f>IF($C1885="","",_xlfn.XLOOKUP($C1885,Order!$C:$C,Order!$N:$N,"",0,1))</f>
        <v>0</v>
      </c>
      <c r="J1885" s="4" t="str">
        <f>IF(C1885="","",Order!$N$16)</f>
        <v>ELECT. CHAMPAGNE (FAYH02)</v>
      </c>
      <c r="K1885" s="36">
        <f>IF($C1885="","",_xlfn.XLOOKUP($C1885,Order!$C:$C,Order!$P:$P,"",0,1))</f>
        <v>0</v>
      </c>
      <c r="L1885" s="4">
        <f t="shared" si="29"/>
        <v>0</v>
      </c>
    </row>
    <row r="1886" spans="2:12" ht="23.25" hidden="1" customHeight="1" x14ac:dyDescent="0.25">
      <c r="B1886" s="4">
        <v>1881</v>
      </c>
      <c r="C1886" s="36" t="str">
        <f>IF(Order!$C$172="","",Order!$C$172)</f>
        <v>TB650</v>
      </c>
      <c r="D1886" s="36" t="str">
        <f>IF($C1886="","",_xlfn.XLOOKUP($C1886,Order!$C:$C,Order!$D:$D,"",0,1))</f>
        <v>TB650</v>
      </c>
      <c r="E1886" s="4" t="e" vm="357">
        <f>IF($C1886="","",_xlfn.XLOOKUP($C1886,Order!$C:$C,Order!$E:$E,"",0,1))</f>
        <v>#VALUE!</v>
      </c>
      <c r="F1886" s="4">
        <f>IF($C1886="","",_xlfn.XLOOKUP($C1886,Order!$C:$C,Order!$F:$F,"",0,1))</f>
        <v>6000</v>
      </c>
      <c r="G1886" s="4" t="str">
        <f>IF($C1886="","",_xlfn.XLOOKUP($C1886,Order!$C:$C,Order!$G:$G,"",0,1))</f>
        <v>6063T5</v>
      </c>
      <c r="H1886" s="4">
        <f>IF($C1886="","",_xlfn.XLOOKUP($C1886,Order!$C:$C,Order!$H:$H,"",0,1))</f>
        <v>0.77500000000000002</v>
      </c>
      <c r="I1886" s="36">
        <f>IF($C1886="","",_xlfn.XLOOKUP($C1886,Order!$C:$C,Order!$N:$N,"",0,1))</f>
        <v>0</v>
      </c>
      <c r="J1886" s="4" t="str">
        <f>IF(C1886="","",Order!$N$16)</f>
        <v>ELECT. CHAMPAGNE (FAYH02)</v>
      </c>
      <c r="K1886" s="36">
        <f>IF($C1886="","",_xlfn.XLOOKUP($C1886,Order!$C:$C,Order!$P:$P,"",0,1))</f>
        <v>0</v>
      </c>
      <c r="L1886" s="4">
        <f t="shared" si="29"/>
        <v>0</v>
      </c>
    </row>
    <row r="1887" spans="2:12" ht="23.25" hidden="1" customHeight="1" x14ac:dyDescent="0.25">
      <c r="B1887" s="4">
        <v>1882</v>
      </c>
      <c r="C1887" s="36" t="str">
        <f>IF(Order!$C$173="","",Order!$C$173)</f>
        <v>PC0276</v>
      </c>
      <c r="D1887" s="36" t="str">
        <f>IF($C1887="","",_xlfn.XLOOKUP($C1887,Order!$C:$C,Order!$D:$D,"",0,1))</f>
        <v>PC027 6</v>
      </c>
      <c r="E1887" s="4" t="e" vm="358">
        <f>IF($C1887="","",_xlfn.XLOOKUP($C1887,Order!$C:$C,Order!$E:$E,"",0,1))</f>
        <v>#VALUE!</v>
      </c>
      <c r="F1887" s="4">
        <f>IF($C1887="","",_xlfn.XLOOKUP($C1887,Order!$C:$C,Order!$F:$F,"",0,1))</f>
        <v>6000</v>
      </c>
      <c r="G1887" s="4" t="str">
        <f>IF($C1887="","",_xlfn.XLOOKUP($C1887,Order!$C:$C,Order!$G:$G,"",0,1))</f>
        <v>6063T5</v>
      </c>
      <c r="H1887" s="4">
        <f>IF($C1887="","",_xlfn.XLOOKUP($C1887,Order!$C:$C,Order!$H:$H,"",0,1))</f>
        <v>0.53500000000000003</v>
      </c>
      <c r="I1887" s="36">
        <f>IF($C1887="","",_xlfn.XLOOKUP($C1887,Order!$C:$C,Order!$N:$N,"",0,1))</f>
        <v>0</v>
      </c>
      <c r="J1887" s="4" t="str">
        <f>IF(C1887="","",Order!$N$16)</f>
        <v>ELECT. CHAMPAGNE (FAYH02)</v>
      </c>
      <c r="K1887" s="36">
        <f>IF($C1887="","",_xlfn.XLOOKUP($C1887,Order!$C:$C,Order!$P:$P,"",0,1))</f>
        <v>0</v>
      </c>
      <c r="L1887" s="4">
        <f t="shared" si="29"/>
        <v>0</v>
      </c>
    </row>
    <row r="1888" spans="2:12" ht="23.25" hidden="1" customHeight="1" x14ac:dyDescent="0.25">
      <c r="B1888" s="4">
        <v>1883</v>
      </c>
      <c r="C1888" s="36" t="str">
        <f>IF(Order!$C$174="","",Order!$C$174)</f>
        <v>PC0276.5A</v>
      </c>
      <c r="D1888" s="36" t="str">
        <f>IF($C1888="","",_xlfn.XLOOKUP($C1888,Order!$C:$C,Order!$D:$D,"",0,1))</f>
        <v>PC027 6.5A</v>
      </c>
      <c r="E1888" s="4" t="e" vm="359">
        <f>IF($C1888="","",_xlfn.XLOOKUP($C1888,Order!$C:$C,Order!$E:$E,"",0,1))</f>
        <v>#VALUE!</v>
      </c>
      <c r="F1888" s="4">
        <f>IF($C1888="","",_xlfn.XLOOKUP($C1888,Order!$C:$C,Order!$F:$F,"",0,1))</f>
        <v>6000</v>
      </c>
      <c r="G1888" s="4" t="str">
        <f>IF($C1888="","",_xlfn.XLOOKUP($C1888,Order!$C:$C,Order!$G:$G,"",0,1))</f>
        <v>6063T5</v>
      </c>
      <c r="H1888" s="4">
        <f>IF($C1888="","",_xlfn.XLOOKUP($C1888,Order!$C:$C,Order!$H:$H,"",0,1))</f>
        <v>0.61899999999999999</v>
      </c>
      <c r="I1888" s="36">
        <f>IF($C1888="","",_xlfn.XLOOKUP($C1888,Order!$C:$C,Order!$N:$N,"",0,1))</f>
        <v>0</v>
      </c>
      <c r="J1888" s="4" t="str">
        <f>IF(C1888="","",Order!$N$16)</f>
        <v>ELECT. CHAMPAGNE (FAYH02)</v>
      </c>
      <c r="K1888" s="36">
        <f>IF($C1888="","",_xlfn.XLOOKUP($C1888,Order!$C:$C,Order!$P:$P,"",0,1))</f>
        <v>0</v>
      </c>
      <c r="L1888" s="4">
        <f t="shared" si="29"/>
        <v>0</v>
      </c>
    </row>
    <row r="1889" spans="2:12" ht="23.25" hidden="1" customHeight="1" x14ac:dyDescent="0.25">
      <c r="B1889" s="4">
        <v>1884</v>
      </c>
      <c r="C1889" s="36" t="str">
        <f>IF(Order!$C$175="","",Order!$C$175)</f>
        <v>E77</v>
      </c>
      <c r="D1889" s="36" t="str">
        <f>IF($C1889="","",_xlfn.XLOOKUP($C1889,Order!$C:$C,Order!$D:$D,"",0,1))</f>
        <v>E77</v>
      </c>
      <c r="E1889" s="4" t="e" vm="360">
        <f>IF($C1889="","",_xlfn.XLOOKUP($C1889,Order!$C:$C,Order!$E:$E,"",0,1))</f>
        <v>#VALUE!</v>
      </c>
      <c r="F1889" s="4">
        <f>IF($C1889="","",_xlfn.XLOOKUP($C1889,Order!$C:$C,Order!$F:$F,"",0,1))</f>
        <v>6000</v>
      </c>
      <c r="G1889" s="4" t="str">
        <f>IF($C1889="","",_xlfn.XLOOKUP($C1889,Order!$C:$C,Order!$G:$G,"",0,1))</f>
        <v>6063T5</v>
      </c>
      <c r="H1889" s="4">
        <f>IF($C1889="","",_xlfn.XLOOKUP($C1889,Order!$C:$C,Order!$H:$H,"",0,1))</f>
        <v>0.6</v>
      </c>
      <c r="I1889" s="36">
        <f>IF($C1889="","",_xlfn.XLOOKUP($C1889,Order!$C:$C,Order!$N:$N,"",0,1))</f>
        <v>0</v>
      </c>
      <c r="J1889" s="4" t="str">
        <f>IF(C1889="","",Order!$N$16)</f>
        <v>ELECT. CHAMPAGNE (FAYH02)</v>
      </c>
      <c r="K1889" s="36">
        <f>IF($C1889="","",_xlfn.XLOOKUP($C1889,Order!$C:$C,Order!$P:$P,"",0,1))</f>
        <v>0</v>
      </c>
      <c r="L1889" s="4">
        <f t="shared" si="29"/>
        <v>0</v>
      </c>
    </row>
    <row r="1890" spans="2:12" ht="23.25" hidden="1" customHeight="1" x14ac:dyDescent="0.25">
      <c r="B1890" s="4">
        <v>1885</v>
      </c>
      <c r="C1890" s="36" t="str">
        <f>IF(Order!$C$176="","",Order!$C$176)</f>
        <v>ALB099 1.1</v>
      </c>
      <c r="D1890" s="36" t="str">
        <f>IF($C1890="","",_xlfn.XLOOKUP($C1890,Order!$C:$C,Order!$D:$D,"",0,1))</f>
        <v>ALB099</v>
      </c>
      <c r="E1890" s="4" t="e" vm="361">
        <f>IF($C1890="","",_xlfn.XLOOKUP($C1890,Order!$C:$C,Order!$E:$E,"",0,1))</f>
        <v>#VALUE!</v>
      </c>
      <c r="F1890" s="4">
        <f>IF($C1890="","",_xlfn.XLOOKUP($C1890,Order!$C:$C,Order!$F:$F,"",0,1))</f>
        <v>6000</v>
      </c>
      <c r="G1890" s="4" t="str">
        <f>IF($C1890="","",_xlfn.XLOOKUP($C1890,Order!$C:$C,Order!$G:$G,"",0,1))</f>
        <v>6063T5</v>
      </c>
      <c r="H1890" s="4">
        <f>IF($C1890="","",_xlfn.XLOOKUP($C1890,Order!$C:$C,Order!$H:$H,"",0,1))</f>
        <v>0.74299999999999999</v>
      </c>
      <c r="I1890" s="36">
        <f>IF($C1890="","",_xlfn.XLOOKUP($C1890,Order!$C:$C,Order!$N:$N,"",0,1))</f>
        <v>0</v>
      </c>
      <c r="J1890" s="4" t="str">
        <f>IF(C1890="","",Order!$N$16)</f>
        <v>ELECT. CHAMPAGNE (FAYH02)</v>
      </c>
      <c r="K1890" s="36">
        <f>IF($C1890="","",_xlfn.XLOOKUP($C1890,Order!$C:$C,Order!$P:$P,"",0,1))</f>
        <v>0</v>
      </c>
      <c r="L1890" s="4">
        <f t="shared" si="29"/>
        <v>0</v>
      </c>
    </row>
    <row r="1891" spans="2:12" ht="23.25" hidden="1" customHeight="1" x14ac:dyDescent="0.25">
      <c r="B1891" s="4">
        <v>1886</v>
      </c>
      <c r="C1891" s="36" t="str">
        <f>IF(Order!$C$177="","",Order!$C$177)</f>
        <v>ALB099 1.2</v>
      </c>
      <c r="D1891" s="36" t="str">
        <f>IF($C1891="","",_xlfn.XLOOKUP($C1891,Order!$C:$C,Order!$D:$D,"",0,1))</f>
        <v>ALB099 1.2</v>
      </c>
      <c r="E1891" s="4" t="e" vm="362">
        <f>IF($C1891="","",_xlfn.XLOOKUP($C1891,Order!$C:$C,Order!$E:$E,"",0,1))</f>
        <v>#VALUE!</v>
      </c>
      <c r="F1891" s="4">
        <f>IF($C1891="","",_xlfn.XLOOKUP($C1891,Order!$C:$C,Order!$F:$F,"",0,1))</f>
        <v>6000</v>
      </c>
      <c r="G1891" s="4" t="str">
        <f>IF($C1891="","",_xlfn.XLOOKUP($C1891,Order!$C:$C,Order!$G:$G,"",0,1))</f>
        <v>6063T5</v>
      </c>
      <c r="H1891" s="4">
        <f>IF($C1891="","",_xlfn.XLOOKUP($C1891,Order!$C:$C,Order!$H:$H,"",0,1))</f>
        <v>0.81499999999999995</v>
      </c>
      <c r="I1891" s="36">
        <f>IF($C1891="","",_xlfn.XLOOKUP($C1891,Order!$C:$C,Order!$N:$N,"",0,1))</f>
        <v>0</v>
      </c>
      <c r="J1891" s="4" t="str">
        <f>IF(C1891="","",Order!$N$16)</f>
        <v>ELECT. CHAMPAGNE (FAYH02)</v>
      </c>
      <c r="K1891" s="36">
        <f>IF($C1891="","",_xlfn.XLOOKUP($C1891,Order!$C:$C,Order!$P:$P,"",0,1))</f>
        <v>0</v>
      </c>
      <c r="L1891" s="4">
        <f t="shared" si="29"/>
        <v>0</v>
      </c>
    </row>
    <row r="1892" spans="2:12" ht="23.25" hidden="1" customHeight="1" x14ac:dyDescent="0.25">
      <c r="B1892" s="4">
        <v>1887</v>
      </c>
      <c r="C1892" s="36" t="str">
        <f>IF(Order!$C$178="","",Order!$C$178)</f>
        <v>LB005</v>
      </c>
      <c r="D1892" s="36" t="str">
        <f>IF($C1892="","",_xlfn.XLOOKUP($C1892,Order!$C:$C,Order!$D:$D,"",0,1))</f>
        <v>LB005</v>
      </c>
      <c r="E1892" s="4" t="e" vm="363">
        <f>IF($C1892="","",_xlfn.XLOOKUP($C1892,Order!$C:$C,Order!$E:$E,"",0,1))</f>
        <v>#VALUE!</v>
      </c>
      <c r="F1892" s="4">
        <f>IF($C1892="","",_xlfn.XLOOKUP($C1892,Order!$C:$C,Order!$F:$F,"",0,1))</f>
        <v>6000</v>
      </c>
      <c r="G1892" s="4" t="str">
        <f>IF($C1892="","",_xlfn.XLOOKUP($C1892,Order!$C:$C,Order!$G:$G,"",0,1))</f>
        <v>6063T5</v>
      </c>
      <c r="H1892" s="4">
        <f>IF($C1892="","",_xlfn.XLOOKUP($C1892,Order!$C:$C,Order!$H:$H,"",0,1))</f>
        <v>0</v>
      </c>
      <c r="I1892" s="36">
        <f>IF($C1892="","",_xlfn.XLOOKUP($C1892,Order!$C:$C,Order!$N:$N,"",0,1))</f>
        <v>0</v>
      </c>
      <c r="J1892" s="4" t="str">
        <f>IF(C1892="","",Order!$N$16)</f>
        <v>ELECT. CHAMPAGNE (FAYH02)</v>
      </c>
      <c r="K1892" s="36">
        <f>IF($C1892="","",_xlfn.XLOOKUP($C1892,Order!$C:$C,Order!$P:$P,"",0,1))</f>
        <v>0</v>
      </c>
      <c r="L1892" s="4">
        <f t="shared" si="29"/>
        <v>0</v>
      </c>
    </row>
    <row r="1893" spans="2:12" ht="23.25" hidden="1" customHeight="1" x14ac:dyDescent="0.25">
      <c r="B1893" s="4">
        <v>1888</v>
      </c>
      <c r="C1893" s="36" t="str">
        <f>IF(Order!$C$179="","",Order!$C$179)</f>
        <v>LB007</v>
      </c>
      <c r="D1893" s="36" t="str">
        <f>IF($C1893="","",_xlfn.XLOOKUP($C1893,Order!$C:$C,Order!$D:$D,"",0,1))</f>
        <v>LB007</v>
      </c>
      <c r="E1893" s="4" t="e" vm="364">
        <f>IF($C1893="","",_xlfn.XLOOKUP($C1893,Order!$C:$C,Order!$E:$E,"",0,1))</f>
        <v>#VALUE!</v>
      </c>
      <c r="F1893" s="4">
        <f>IF($C1893="","",_xlfn.XLOOKUP($C1893,Order!$C:$C,Order!$F:$F,"",0,1))</f>
        <v>6000</v>
      </c>
      <c r="G1893" s="4" t="str">
        <f>IF($C1893="","",_xlfn.XLOOKUP($C1893,Order!$C:$C,Order!$G:$G,"",0,1))</f>
        <v>6063T5</v>
      </c>
      <c r="H1893" s="4">
        <f>IF($C1893="","",_xlfn.XLOOKUP($C1893,Order!$C:$C,Order!$H:$H,"",0,1))</f>
        <v>0.61</v>
      </c>
      <c r="I1893" s="36">
        <f>IF($C1893="","",_xlfn.XLOOKUP($C1893,Order!$C:$C,Order!$N:$N,"",0,1))</f>
        <v>0</v>
      </c>
      <c r="J1893" s="4" t="str">
        <f>IF(C1893="","",Order!$N$16)</f>
        <v>ELECT. CHAMPAGNE (FAYH02)</v>
      </c>
      <c r="K1893" s="36">
        <f>IF($C1893="","",_xlfn.XLOOKUP($C1893,Order!$C:$C,Order!$P:$P,"",0,1))</f>
        <v>0</v>
      </c>
      <c r="L1893" s="4">
        <f t="shared" si="29"/>
        <v>0</v>
      </c>
    </row>
    <row r="1894" spans="2:12" ht="23.25" hidden="1" customHeight="1" x14ac:dyDescent="0.25">
      <c r="B1894" s="4">
        <v>1889</v>
      </c>
      <c r="C1894" s="36" t="str">
        <f>IF(Order!$C$180="","",Order!$C$180)</f>
        <v>LB008</v>
      </c>
      <c r="D1894" s="36" t="str">
        <f>IF($C1894="","",_xlfn.XLOOKUP($C1894,Order!$C:$C,Order!$D:$D,"",0,1))</f>
        <v>LB008</v>
      </c>
      <c r="E1894" s="4" t="e" vm="365">
        <f>IF($C1894="","",_xlfn.XLOOKUP($C1894,Order!$C:$C,Order!$E:$E,"",0,1))</f>
        <v>#VALUE!</v>
      </c>
      <c r="F1894" s="4">
        <f>IF($C1894="","",_xlfn.XLOOKUP($C1894,Order!$C:$C,Order!$F:$F,"",0,1))</f>
        <v>6000</v>
      </c>
      <c r="G1894" s="4" t="str">
        <f>IF($C1894="","",_xlfn.XLOOKUP($C1894,Order!$C:$C,Order!$G:$G,"",0,1))</f>
        <v>6063T5</v>
      </c>
      <c r="H1894" s="4">
        <f>IF($C1894="","",_xlfn.XLOOKUP($C1894,Order!$C:$C,Order!$H:$H,"",0,1))</f>
        <v>0.50600000000000001</v>
      </c>
      <c r="I1894" s="36">
        <f>IF($C1894="","",_xlfn.XLOOKUP($C1894,Order!$C:$C,Order!$N:$N,"",0,1))</f>
        <v>0</v>
      </c>
      <c r="J1894" s="4" t="str">
        <f>IF(C1894="","",Order!$N$16)</f>
        <v>ELECT. CHAMPAGNE (FAYH02)</v>
      </c>
      <c r="K1894" s="36">
        <f>IF($C1894="","",_xlfn.XLOOKUP($C1894,Order!$C:$C,Order!$P:$P,"",0,1))</f>
        <v>0</v>
      </c>
      <c r="L1894" s="4">
        <f t="shared" si="29"/>
        <v>0</v>
      </c>
    </row>
    <row r="1895" spans="2:12" ht="23.25" hidden="1" customHeight="1" x14ac:dyDescent="0.25">
      <c r="B1895" s="4">
        <v>1890</v>
      </c>
      <c r="C1895" s="36" t="str">
        <f>IF(Order!$C$181="","",Order!$C$181)</f>
        <v>LB010</v>
      </c>
      <c r="D1895" s="36" t="str">
        <f>IF($C1895="","",_xlfn.XLOOKUP($C1895,Order!$C:$C,Order!$D:$D,"",0,1))</f>
        <v>LB010</v>
      </c>
      <c r="E1895" s="4" t="e" vm="366">
        <f>IF($C1895="","",_xlfn.XLOOKUP($C1895,Order!$C:$C,Order!$E:$E,"",0,1))</f>
        <v>#VALUE!</v>
      </c>
      <c r="F1895" s="4">
        <f>IF($C1895="","",_xlfn.XLOOKUP($C1895,Order!$C:$C,Order!$F:$F,"",0,1))</f>
        <v>6000</v>
      </c>
      <c r="G1895" s="4" t="str">
        <f>IF($C1895="","",_xlfn.XLOOKUP($C1895,Order!$C:$C,Order!$G:$G,"",0,1))</f>
        <v>6063T5</v>
      </c>
      <c r="H1895" s="4">
        <f>IF($C1895="","",_xlfn.XLOOKUP($C1895,Order!$C:$C,Order!$H:$H,"",0,1))</f>
        <v>0</v>
      </c>
      <c r="I1895" s="36">
        <f>IF($C1895="","",_xlfn.XLOOKUP($C1895,Order!$C:$C,Order!$N:$N,"",0,1))</f>
        <v>0</v>
      </c>
      <c r="J1895" s="4" t="str">
        <f>IF(C1895="","",Order!$N$16)</f>
        <v>ELECT. CHAMPAGNE (FAYH02)</v>
      </c>
      <c r="K1895" s="36">
        <f>IF($C1895="","",_xlfn.XLOOKUP($C1895,Order!$C:$C,Order!$P:$P,"",0,1))</f>
        <v>0</v>
      </c>
      <c r="L1895" s="4">
        <f t="shared" si="29"/>
        <v>0</v>
      </c>
    </row>
    <row r="1896" spans="2:12" ht="23.25" hidden="1" customHeight="1" x14ac:dyDescent="0.25">
      <c r="B1896" s="4">
        <v>1891</v>
      </c>
      <c r="C1896" s="36" t="str">
        <f>IF(Order!$C$182="","",Order!$C$182)</f>
        <v>LB020</v>
      </c>
      <c r="D1896" s="36" t="str">
        <f>IF($C1896="","",_xlfn.XLOOKUP($C1896,Order!$C:$C,Order!$D:$D,"",0,1))</f>
        <v>LB020</v>
      </c>
      <c r="E1896" s="4" t="e" vm="367">
        <f>IF($C1896="","",_xlfn.XLOOKUP($C1896,Order!$C:$C,Order!$E:$E,"",0,1))</f>
        <v>#VALUE!</v>
      </c>
      <c r="F1896" s="4">
        <f>IF($C1896="","",_xlfn.XLOOKUP($C1896,Order!$C:$C,Order!$F:$F,"",0,1))</f>
        <v>6000</v>
      </c>
      <c r="G1896" s="4" t="str">
        <f>IF($C1896="","",_xlfn.XLOOKUP($C1896,Order!$C:$C,Order!$G:$G,"",0,1))</f>
        <v>6063T5</v>
      </c>
      <c r="H1896" s="4">
        <f>IF($C1896="","",_xlfn.XLOOKUP($C1896,Order!$C:$C,Order!$H:$H,"",0,1))</f>
        <v>0.67300000000000004</v>
      </c>
      <c r="I1896" s="36">
        <f>IF($C1896="","",_xlfn.XLOOKUP($C1896,Order!$C:$C,Order!$N:$N,"",0,1))</f>
        <v>0</v>
      </c>
      <c r="J1896" s="4" t="str">
        <f>IF(C1896="","",Order!$N$16)</f>
        <v>ELECT. CHAMPAGNE (FAYH02)</v>
      </c>
      <c r="K1896" s="36">
        <f>IF($C1896="","",_xlfn.XLOOKUP($C1896,Order!$C:$C,Order!$P:$P,"",0,1))</f>
        <v>0</v>
      </c>
      <c r="L1896" s="4">
        <f t="shared" si="29"/>
        <v>0</v>
      </c>
    </row>
    <row r="1897" spans="2:12" ht="23.25" hidden="1" customHeight="1" x14ac:dyDescent="0.25">
      <c r="B1897" s="4">
        <v>1892</v>
      </c>
      <c r="C1897" s="36" t="str">
        <f>IF(Order!$C$183="","",Order!$C$183)</f>
        <v>PLB036</v>
      </c>
      <c r="D1897" s="36" t="str">
        <f>IF($C1897="","",_xlfn.XLOOKUP($C1897,Order!$C:$C,Order!$D:$D,"",0,1))</f>
        <v>PLB036</v>
      </c>
      <c r="E1897" s="4" t="e" vm="368">
        <f>IF($C1897="","",_xlfn.XLOOKUP($C1897,Order!$C:$C,Order!$E:$E,"",0,1))</f>
        <v>#VALUE!</v>
      </c>
      <c r="F1897" s="4">
        <f>IF($C1897="","",_xlfn.XLOOKUP($C1897,Order!$C:$C,Order!$F:$F,"",0,1))</f>
        <v>6000</v>
      </c>
      <c r="G1897" s="4" t="str">
        <f>IF($C1897="","",_xlfn.XLOOKUP($C1897,Order!$C:$C,Order!$G:$G,"",0,1))</f>
        <v>6063T5</v>
      </c>
      <c r="H1897" s="4">
        <f>IF($C1897="","",_xlfn.XLOOKUP($C1897,Order!$C:$C,Order!$H:$H,"",0,1))</f>
        <v>0.51400000000000001</v>
      </c>
      <c r="I1897" s="36">
        <f>IF($C1897="","",_xlfn.XLOOKUP($C1897,Order!$C:$C,Order!$N:$N,"",0,1))</f>
        <v>0</v>
      </c>
      <c r="J1897" s="4" t="str">
        <f>IF(C1897="","",Order!$N$16)</f>
        <v>ELECT. CHAMPAGNE (FAYH02)</v>
      </c>
      <c r="K1897" s="36">
        <f>IF($C1897="","",_xlfn.XLOOKUP($C1897,Order!$C:$C,Order!$P:$P,"",0,1))</f>
        <v>0</v>
      </c>
      <c r="L1897" s="4">
        <f t="shared" si="29"/>
        <v>0</v>
      </c>
    </row>
    <row r="1898" spans="2:12" ht="23.25" hidden="1" customHeight="1" x14ac:dyDescent="0.25">
      <c r="B1898" s="4">
        <v>1893</v>
      </c>
      <c r="C1898" s="36" t="str">
        <f>IF(Order!$C$184="","",Order!$C$184)</f>
        <v>PLB036P</v>
      </c>
      <c r="D1898" s="36" t="str">
        <f>IF($C1898="","",_xlfn.XLOOKUP($C1898,Order!$C:$C,Order!$D:$D,"",0,1))</f>
        <v>PLB036P</v>
      </c>
      <c r="E1898" s="4" t="e" vm="369">
        <f>IF($C1898="","",_xlfn.XLOOKUP($C1898,Order!$C:$C,Order!$E:$E,"",0,1))</f>
        <v>#VALUE!</v>
      </c>
      <c r="F1898" s="4">
        <f>IF($C1898="","",_xlfn.XLOOKUP($C1898,Order!$C:$C,Order!$F:$F,"",0,1))</f>
        <v>6000</v>
      </c>
      <c r="G1898" s="4" t="str">
        <f>IF($C1898="","",_xlfn.XLOOKUP($C1898,Order!$C:$C,Order!$G:$G,"",0,1))</f>
        <v>6063T5</v>
      </c>
      <c r="H1898" s="4">
        <f>IF($C1898="","",_xlfn.XLOOKUP($C1898,Order!$C:$C,Order!$H:$H,"",0,1))</f>
        <v>0.46600000000000003</v>
      </c>
      <c r="I1898" s="36">
        <f>IF($C1898="","",_xlfn.XLOOKUP($C1898,Order!$C:$C,Order!$N:$N,"",0,1))</f>
        <v>0</v>
      </c>
      <c r="J1898" s="4" t="str">
        <f>IF(C1898="","",Order!$N$16)</f>
        <v>ELECT. CHAMPAGNE (FAYH02)</v>
      </c>
      <c r="K1898" s="36">
        <f>IF($C1898="","",_xlfn.XLOOKUP($C1898,Order!$C:$C,Order!$P:$P,"",0,1))</f>
        <v>0</v>
      </c>
      <c r="L1898" s="4">
        <f t="shared" si="29"/>
        <v>0</v>
      </c>
    </row>
    <row r="1899" spans="2:12" ht="23.25" hidden="1" customHeight="1" x14ac:dyDescent="0.25">
      <c r="B1899" s="4">
        <v>1894</v>
      </c>
      <c r="C1899" s="36" t="str">
        <f>IF(Order!$C$185="","",Order!$C$185)</f>
        <v>LB037</v>
      </c>
      <c r="D1899" s="36" t="str">
        <f>IF($C1899="","",_xlfn.XLOOKUP($C1899,Order!$C:$C,Order!$D:$D,"",0,1))</f>
        <v>LB037</v>
      </c>
      <c r="E1899" s="4" t="e" vm="370">
        <f>IF($C1899="","",_xlfn.XLOOKUP($C1899,Order!$C:$C,Order!$E:$E,"",0,1))</f>
        <v>#VALUE!</v>
      </c>
      <c r="F1899" s="4">
        <f>IF($C1899="","",_xlfn.XLOOKUP($C1899,Order!$C:$C,Order!$F:$F,"",0,1))</f>
        <v>6000</v>
      </c>
      <c r="G1899" s="4" t="str">
        <f>IF($C1899="","",_xlfn.XLOOKUP($C1899,Order!$C:$C,Order!$G:$G,"",0,1))</f>
        <v>6063T5</v>
      </c>
      <c r="H1899" s="4">
        <f>IF($C1899="","",_xlfn.XLOOKUP($C1899,Order!$C:$C,Order!$H:$H,"",0,1))</f>
        <v>0.68100000000000005</v>
      </c>
      <c r="I1899" s="36">
        <f>IF($C1899="","",_xlfn.XLOOKUP($C1899,Order!$C:$C,Order!$N:$N,"",0,1))</f>
        <v>0</v>
      </c>
      <c r="J1899" s="4" t="str">
        <f>IF(C1899="","",Order!$N$16)</f>
        <v>ELECT. CHAMPAGNE (FAYH02)</v>
      </c>
      <c r="K1899" s="36">
        <f>IF($C1899="","",_xlfn.XLOOKUP($C1899,Order!$C:$C,Order!$P:$P,"",0,1))</f>
        <v>0</v>
      </c>
      <c r="L1899" s="4">
        <f t="shared" si="29"/>
        <v>0</v>
      </c>
    </row>
    <row r="1900" spans="2:12" ht="23.25" hidden="1" customHeight="1" x14ac:dyDescent="0.25">
      <c r="B1900" s="4">
        <v>1895</v>
      </c>
      <c r="C1900" s="36" t="str">
        <f>IF(Order!$C$186="","",Order!$C$186)</f>
        <v>LB038</v>
      </c>
      <c r="D1900" s="36" t="str">
        <f>IF($C1900="","",_xlfn.XLOOKUP($C1900,Order!$C:$C,Order!$D:$D,"",0,1))</f>
        <v>LB038</v>
      </c>
      <c r="E1900" s="4" t="e" vm="371">
        <f>IF($C1900="","",_xlfn.XLOOKUP($C1900,Order!$C:$C,Order!$E:$E,"",0,1))</f>
        <v>#VALUE!</v>
      </c>
      <c r="F1900" s="4">
        <f>IF($C1900="","",_xlfn.XLOOKUP($C1900,Order!$C:$C,Order!$F:$F,"",0,1))</f>
        <v>6000</v>
      </c>
      <c r="G1900" s="4" t="str">
        <f>IF($C1900="","",_xlfn.XLOOKUP($C1900,Order!$C:$C,Order!$G:$G,"",0,1))</f>
        <v>6063T5</v>
      </c>
      <c r="H1900" s="4">
        <f>IF($C1900="","",_xlfn.XLOOKUP($C1900,Order!$C:$C,Order!$H:$H,"",0,1))</f>
        <v>0</v>
      </c>
      <c r="I1900" s="36">
        <f>IF($C1900="","",_xlfn.XLOOKUP($C1900,Order!$C:$C,Order!$N:$N,"",0,1))</f>
        <v>0</v>
      </c>
      <c r="J1900" s="4" t="str">
        <f>IF(C1900="","",Order!$N$16)</f>
        <v>ELECT. CHAMPAGNE (FAYH02)</v>
      </c>
      <c r="K1900" s="36">
        <f>IF($C1900="","",_xlfn.XLOOKUP($C1900,Order!$C:$C,Order!$P:$P,"",0,1))</f>
        <v>0</v>
      </c>
      <c r="L1900" s="4">
        <f t="shared" si="29"/>
        <v>0</v>
      </c>
    </row>
    <row r="1901" spans="2:12" ht="23.25" hidden="1" customHeight="1" x14ac:dyDescent="0.25">
      <c r="B1901" s="4">
        <v>1896</v>
      </c>
      <c r="C1901" s="36" t="str">
        <f>IF(Order!$C$187="","",Order!$C$187)</f>
        <v>LB050</v>
      </c>
      <c r="D1901" s="36" t="str">
        <f>IF($C1901="","",_xlfn.XLOOKUP($C1901,Order!$C:$C,Order!$D:$D,"",0,1))</f>
        <v>LB050</v>
      </c>
      <c r="E1901" s="4" t="e" vm="372">
        <f>IF($C1901="","",_xlfn.XLOOKUP($C1901,Order!$C:$C,Order!$E:$E,"",0,1))</f>
        <v>#VALUE!</v>
      </c>
      <c r="F1901" s="4">
        <f>IF($C1901="","",_xlfn.XLOOKUP($C1901,Order!$C:$C,Order!$F:$F,"",0,1))</f>
        <v>6000</v>
      </c>
      <c r="G1901" s="4" t="str">
        <f>IF($C1901="","",_xlfn.XLOOKUP($C1901,Order!$C:$C,Order!$G:$G,"",0,1))</f>
        <v>6063T5</v>
      </c>
      <c r="H1901" s="4">
        <f>IF($C1901="","",_xlfn.XLOOKUP($C1901,Order!$C:$C,Order!$H:$H,"",0,1))</f>
        <v>0.61699999999999999</v>
      </c>
      <c r="I1901" s="36">
        <f>IF($C1901="","",_xlfn.XLOOKUP($C1901,Order!$C:$C,Order!$N:$N,"",0,1))</f>
        <v>0</v>
      </c>
      <c r="J1901" s="4" t="str">
        <f>IF(C1901="","",Order!$N$16)</f>
        <v>ELECT. CHAMPAGNE (FAYH02)</v>
      </c>
      <c r="K1901" s="36">
        <f>IF($C1901="","",_xlfn.XLOOKUP($C1901,Order!$C:$C,Order!$P:$P,"",0,1))</f>
        <v>0</v>
      </c>
      <c r="L1901" s="4">
        <f t="shared" si="29"/>
        <v>0</v>
      </c>
    </row>
    <row r="1902" spans="2:12" ht="23.25" hidden="1" customHeight="1" x14ac:dyDescent="0.25">
      <c r="B1902" s="4">
        <v>1897</v>
      </c>
      <c r="C1902" s="36" t="str">
        <f>IF(Order!$C$188="","",Order!$C$188)</f>
        <v>LB070</v>
      </c>
      <c r="D1902" s="36" t="str">
        <f>IF($C1902="","",_xlfn.XLOOKUP($C1902,Order!$C:$C,Order!$D:$D,"",0,1))</f>
        <v>LB070</v>
      </c>
      <c r="E1902" s="4" t="e" vm="373">
        <f>IF($C1902="","",_xlfn.XLOOKUP($C1902,Order!$C:$C,Order!$E:$E,"",0,1))</f>
        <v>#VALUE!</v>
      </c>
      <c r="F1902" s="4">
        <f>IF($C1902="","",_xlfn.XLOOKUP($C1902,Order!$C:$C,Order!$F:$F,"",0,1))</f>
        <v>6000</v>
      </c>
      <c r="G1902" s="4" t="str">
        <f>IF($C1902="","",_xlfn.XLOOKUP($C1902,Order!$C:$C,Order!$G:$G,"",0,1))</f>
        <v>6063T5</v>
      </c>
      <c r="H1902" s="4">
        <f>IF($C1902="","",_xlfn.XLOOKUP($C1902,Order!$C:$C,Order!$H:$H,"",0,1))</f>
        <v>0.71699999999999997</v>
      </c>
      <c r="I1902" s="36">
        <f>IF($C1902="","",_xlfn.XLOOKUP($C1902,Order!$C:$C,Order!$N:$N,"",0,1))</f>
        <v>0</v>
      </c>
      <c r="J1902" s="4" t="str">
        <f>IF(C1902="","",Order!$N$16)</f>
        <v>ELECT. CHAMPAGNE (FAYH02)</v>
      </c>
      <c r="K1902" s="36">
        <f>IF($C1902="","",_xlfn.XLOOKUP($C1902,Order!$C:$C,Order!$P:$P,"",0,1))</f>
        <v>0</v>
      </c>
      <c r="L1902" s="4">
        <f t="shared" si="29"/>
        <v>0</v>
      </c>
    </row>
    <row r="1903" spans="2:12" ht="23.25" hidden="1" customHeight="1" x14ac:dyDescent="0.25">
      <c r="B1903" s="4">
        <v>1898</v>
      </c>
      <c r="C1903" s="36" t="str">
        <f>IF(Order!$C$189="","",Order!$C$189)</f>
        <v>LB081</v>
      </c>
      <c r="D1903" s="36" t="str">
        <f>IF($C1903="","",_xlfn.XLOOKUP($C1903,Order!$C:$C,Order!$D:$D,"",0,1))</f>
        <v>LB081</v>
      </c>
      <c r="E1903" s="4" t="e" vm="374">
        <f>IF($C1903="","",_xlfn.XLOOKUP($C1903,Order!$C:$C,Order!$E:$E,"",0,1))</f>
        <v>#VALUE!</v>
      </c>
      <c r="F1903" s="4">
        <f>IF($C1903="","",_xlfn.XLOOKUP($C1903,Order!$C:$C,Order!$F:$F,"",0,1))</f>
        <v>6000</v>
      </c>
      <c r="G1903" s="4" t="str">
        <f>IF($C1903="","",_xlfn.XLOOKUP($C1903,Order!$C:$C,Order!$G:$G,"",0,1))</f>
        <v>6063T5</v>
      </c>
      <c r="H1903" s="4">
        <f>IF($C1903="","",_xlfn.XLOOKUP($C1903,Order!$C:$C,Order!$H:$H,"",0,1))</f>
        <v>0.52800000000000002</v>
      </c>
      <c r="I1903" s="36">
        <f>IF($C1903="","",_xlfn.XLOOKUP($C1903,Order!$C:$C,Order!$N:$N,"",0,1))</f>
        <v>0</v>
      </c>
      <c r="J1903" s="4" t="str">
        <f>IF(C1903="","",Order!$N$16)</f>
        <v>ELECT. CHAMPAGNE (FAYH02)</v>
      </c>
      <c r="K1903" s="36">
        <f>IF($C1903="","",_xlfn.XLOOKUP($C1903,Order!$C:$C,Order!$P:$P,"",0,1))</f>
        <v>0</v>
      </c>
      <c r="L1903" s="4">
        <f t="shared" si="29"/>
        <v>0</v>
      </c>
    </row>
    <row r="1904" spans="2:12" ht="23.25" hidden="1" customHeight="1" x14ac:dyDescent="0.25">
      <c r="B1904" s="4">
        <v>1899</v>
      </c>
      <c r="C1904" s="36" t="str">
        <f>IF(Order!$C$190="","",Order!$C$190)</f>
        <v>BX816</v>
      </c>
      <c r="D1904" s="36" t="str">
        <f>IF($C1904="","",_xlfn.XLOOKUP($C1904,Order!$C:$C,Order!$D:$D,"",0,1))</f>
        <v>BX816</v>
      </c>
      <c r="E1904" s="4" t="e" vm="375">
        <f>IF($C1904="","",_xlfn.XLOOKUP($C1904,Order!$C:$C,Order!$E:$E,"",0,1))</f>
        <v>#VALUE!</v>
      </c>
      <c r="F1904" s="4">
        <f>IF($C1904="","",_xlfn.XLOOKUP($C1904,Order!$C:$C,Order!$F:$F,"",0,1))</f>
        <v>6000</v>
      </c>
      <c r="G1904" s="4" t="str">
        <f>IF($C1904="","",_xlfn.XLOOKUP($C1904,Order!$C:$C,Order!$G:$G,"",0,1))</f>
        <v>6063T5</v>
      </c>
      <c r="H1904" s="4">
        <f>IF($C1904="","",_xlfn.XLOOKUP($C1904,Order!$C:$C,Order!$H:$H,"",0,1))</f>
        <v>0.67</v>
      </c>
      <c r="I1904" s="36">
        <f>IF($C1904="","",_xlfn.XLOOKUP($C1904,Order!$C:$C,Order!$N:$N,"",0,1))</f>
        <v>0</v>
      </c>
      <c r="J1904" s="4" t="str">
        <f>IF(C1904="","",Order!$N$16)</f>
        <v>ELECT. CHAMPAGNE (FAYH02)</v>
      </c>
      <c r="K1904" s="36">
        <f>IF($C1904="","",_xlfn.XLOOKUP($C1904,Order!$C:$C,Order!$P:$P,"",0,1))</f>
        <v>0</v>
      </c>
      <c r="L1904" s="4">
        <f t="shared" si="29"/>
        <v>0</v>
      </c>
    </row>
    <row r="1905" spans="2:12" ht="23.25" hidden="1" customHeight="1" x14ac:dyDescent="0.25">
      <c r="B1905" s="4">
        <v>1900</v>
      </c>
      <c r="C1905" s="36" t="str">
        <f>IF(Order!$C$191="","",Order!$C$191)</f>
        <v>BX841</v>
      </c>
      <c r="D1905" s="36" t="str">
        <f>IF($C1905="","",_xlfn.XLOOKUP($C1905,Order!$C:$C,Order!$D:$D,"",0,1))</f>
        <v>BX841</v>
      </c>
      <c r="E1905" s="4" t="e" vm="376">
        <f>IF($C1905="","",_xlfn.XLOOKUP($C1905,Order!$C:$C,Order!$E:$E,"",0,1))</f>
        <v>#VALUE!</v>
      </c>
      <c r="F1905" s="4">
        <f>IF($C1905="","",_xlfn.XLOOKUP($C1905,Order!$C:$C,Order!$F:$F,"",0,1))</f>
        <v>6000</v>
      </c>
      <c r="G1905" s="4" t="str">
        <f>IF($C1905="","",_xlfn.XLOOKUP($C1905,Order!$C:$C,Order!$G:$G,"",0,1))</f>
        <v>6063T5</v>
      </c>
      <c r="H1905" s="4">
        <f>IF($C1905="","",_xlfn.XLOOKUP($C1905,Order!$C:$C,Order!$H:$H,"",0,1))</f>
        <v>0.54500000000000004</v>
      </c>
      <c r="I1905" s="36">
        <f>IF($C1905="","",_xlfn.XLOOKUP($C1905,Order!$C:$C,Order!$N:$N,"",0,1))</f>
        <v>0</v>
      </c>
      <c r="J1905" s="4" t="str">
        <f>IF(C1905="","",Order!$N$16)</f>
        <v>ELECT. CHAMPAGNE (FAYH02)</v>
      </c>
      <c r="K1905" s="36">
        <f>IF($C1905="","",_xlfn.XLOOKUP($C1905,Order!$C:$C,Order!$P:$P,"",0,1))</f>
        <v>0</v>
      </c>
      <c r="L1905" s="4">
        <f t="shared" si="29"/>
        <v>0</v>
      </c>
    </row>
    <row r="1906" spans="2:12" ht="23.25" hidden="1" customHeight="1" x14ac:dyDescent="0.25">
      <c r="B1906" s="4">
        <v>1901</v>
      </c>
      <c r="C1906" s="36" t="str">
        <f>IF(Order!$C$192="","",Order!$C$192)</f>
        <v>BX842</v>
      </c>
      <c r="D1906" s="36" t="str">
        <f>IF($C1906="","",_xlfn.XLOOKUP($C1906,Order!$C:$C,Order!$D:$D,"",0,1))</f>
        <v>BX842</v>
      </c>
      <c r="E1906" s="4" t="e" vm="377">
        <f>IF($C1906="","",_xlfn.XLOOKUP($C1906,Order!$C:$C,Order!$E:$E,"",0,1))</f>
        <v>#VALUE!</v>
      </c>
      <c r="F1906" s="4">
        <f>IF($C1906="","",_xlfn.XLOOKUP($C1906,Order!$C:$C,Order!$F:$F,"",0,1))</f>
        <v>6000</v>
      </c>
      <c r="G1906" s="4" t="str">
        <f>IF($C1906="","",_xlfn.XLOOKUP($C1906,Order!$C:$C,Order!$G:$G,"",0,1))</f>
        <v>6063T5</v>
      </c>
      <c r="H1906" s="4">
        <f>IF($C1906="","",_xlfn.XLOOKUP($C1906,Order!$C:$C,Order!$H:$H,"",0,1))</f>
        <v>0</v>
      </c>
      <c r="I1906" s="36">
        <f>IF($C1906="","",_xlfn.XLOOKUP($C1906,Order!$C:$C,Order!$N:$N,"",0,1))</f>
        <v>0</v>
      </c>
      <c r="J1906" s="4" t="str">
        <f>IF(C1906="","",Order!$N$16)</f>
        <v>ELECT. CHAMPAGNE (FAYH02)</v>
      </c>
      <c r="K1906" s="36">
        <f>IF($C1906="","",_xlfn.XLOOKUP($C1906,Order!$C:$C,Order!$P:$P,"",0,1))</f>
        <v>0</v>
      </c>
      <c r="L1906" s="4">
        <f t="shared" si="29"/>
        <v>0</v>
      </c>
    </row>
    <row r="1907" spans="2:12" ht="23.25" hidden="1" customHeight="1" x14ac:dyDescent="0.25">
      <c r="B1907" s="4">
        <v>1902</v>
      </c>
      <c r="C1907" s="36" t="str">
        <f>IF(Order!$C$193="","",Order!$C$193)</f>
        <v>BX1041</v>
      </c>
      <c r="D1907" s="36" t="str">
        <f>IF($C1907="","",_xlfn.XLOOKUP($C1907,Order!$C:$C,Order!$D:$D,"",0,1))</f>
        <v>BX1041</v>
      </c>
      <c r="E1907" s="4" t="e" vm="378">
        <f>IF($C1907="","",_xlfn.XLOOKUP($C1907,Order!$C:$C,Order!$E:$E,"",0,1))</f>
        <v>#VALUE!</v>
      </c>
      <c r="F1907" s="4">
        <f>IF($C1907="","",_xlfn.XLOOKUP($C1907,Order!$C:$C,Order!$F:$F,"",0,1))</f>
        <v>6000</v>
      </c>
      <c r="G1907" s="4" t="str">
        <f>IF($C1907="","",_xlfn.XLOOKUP($C1907,Order!$C:$C,Order!$G:$G,"",0,1))</f>
        <v>6063T5</v>
      </c>
      <c r="H1907" s="4">
        <f>IF($C1907="","",_xlfn.XLOOKUP($C1907,Order!$C:$C,Order!$H:$H,"",0,1))</f>
        <v>0.72499999999999998</v>
      </c>
      <c r="I1907" s="36">
        <f>IF($C1907="","",_xlfn.XLOOKUP($C1907,Order!$C:$C,Order!$N:$N,"",0,1))</f>
        <v>0</v>
      </c>
      <c r="J1907" s="4" t="str">
        <f>IF(C1907="","",Order!$N$16)</f>
        <v>ELECT. CHAMPAGNE (FAYH02)</v>
      </c>
      <c r="K1907" s="36">
        <f>IF($C1907="","",_xlfn.XLOOKUP($C1907,Order!$C:$C,Order!$P:$P,"",0,1))</f>
        <v>0</v>
      </c>
      <c r="L1907" s="4">
        <f t="shared" si="29"/>
        <v>0</v>
      </c>
    </row>
    <row r="1908" spans="2:12" ht="23.25" hidden="1" customHeight="1" x14ac:dyDescent="0.25">
      <c r="B1908" s="4">
        <v>1903</v>
      </c>
      <c r="C1908" s="36" t="str">
        <f>IF(Order!$C$194="","",Order!$C$194)</f>
        <v/>
      </c>
      <c r="D1908" s="36" t="str">
        <f>IF($C1908="","",_xlfn.XLOOKUP($C1908,Order!$C:$C,Order!$D:$D,"",0,1))</f>
        <v/>
      </c>
      <c r="E1908" s="4" t="str">
        <f>IF($C1908="","",_xlfn.XLOOKUP($C1908,Order!$C:$C,Order!$E:$E,"",0,1))</f>
        <v/>
      </c>
      <c r="F1908" s="4" t="str">
        <f>IF($C1908="","",_xlfn.XLOOKUP($C1908,Order!$C:$C,Order!$F:$F,"",0,1))</f>
        <v/>
      </c>
      <c r="G1908" s="4" t="str">
        <f>IF($C1908="","",_xlfn.XLOOKUP($C1908,Order!$C:$C,Order!$G:$G,"",0,1))</f>
        <v/>
      </c>
      <c r="H1908" s="4" t="str">
        <f>IF($C1908="","",_xlfn.XLOOKUP($C1908,Order!$C:$C,Order!$H:$H,"",0,1))</f>
        <v/>
      </c>
      <c r="I1908" s="36" t="str">
        <f>IF($C1908="","",_xlfn.XLOOKUP($C1908,Order!$C:$C,Order!$N:$N,"",0,1))</f>
        <v/>
      </c>
      <c r="J1908" s="4" t="str">
        <f>IF(C1908="","",Order!$N$16)</f>
        <v/>
      </c>
      <c r="K1908" s="36" t="str">
        <f>IF($C1908="","",_xlfn.XLOOKUP($C1908,Order!$C:$C,Order!$P:$P,"",0,1))</f>
        <v/>
      </c>
      <c r="L1908" s="4" t="str">
        <f t="shared" si="29"/>
        <v/>
      </c>
    </row>
    <row r="1909" spans="2:12" ht="23.25" hidden="1" customHeight="1" x14ac:dyDescent="0.25">
      <c r="B1909" s="4">
        <v>1904</v>
      </c>
      <c r="C1909" s="36" t="str">
        <f>IF(Order!$C$195="","",Order!$C$195)</f>
        <v>TGR2X1 (Rectangular tube 2"X1" with 0.90 mm thickness c/reforco)</v>
      </c>
      <c r="D1909" s="36" t="str">
        <f>IF($C1909="","",_xlfn.XLOOKUP($C1909,Order!$C:$C,Order!$D:$D,"",0,1))</f>
        <v>TGR2X1</v>
      </c>
      <c r="E1909" s="4" t="e" vm="379">
        <f>IF($C1909="","",_xlfn.XLOOKUP($C1909,Order!$C:$C,Order!$E:$E,"",0,1))</f>
        <v>#VALUE!</v>
      </c>
      <c r="F1909" s="4">
        <f>IF($C1909="","",_xlfn.XLOOKUP($C1909,Order!$C:$C,Order!$F:$F,"",0,1))</f>
        <v>6000</v>
      </c>
      <c r="G1909" s="4" t="str">
        <f>IF($C1909="","",_xlfn.XLOOKUP($C1909,Order!$C:$C,Order!$G:$G,"",0,1))</f>
        <v>6063T5</v>
      </c>
      <c r="H1909" s="4">
        <f>IF($C1909="","",_xlfn.XLOOKUP($C1909,Order!$C:$C,Order!$H:$H,"",0,1))</f>
        <v>0.39500000000000002</v>
      </c>
      <c r="I1909" s="36">
        <f>IF($C1909="","",_xlfn.XLOOKUP($C1909,Order!$C:$C,Order!$N:$N,"",0,1))</f>
        <v>0</v>
      </c>
      <c r="J1909" s="4" t="str">
        <f>IF(C1909="","",Order!$N$16)</f>
        <v>ELECT. CHAMPAGNE (FAYH02)</v>
      </c>
      <c r="K1909" s="36">
        <f>IF($C1909="","",_xlfn.XLOOKUP($C1909,Order!$C:$C,Order!$P:$P,"",0,1))</f>
        <v>0</v>
      </c>
      <c r="L1909" s="4">
        <f t="shared" si="29"/>
        <v>0</v>
      </c>
    </row>
    <row r="1910" spans="2:12" ht="23.25" hidden="1" customHeight="1" x14ac:dyDescent="0.25">
      <c r="B1910" s="4">
        <v>1905</v>
      </c>
      <c r="C1910" s="36" t="str">
        <f>IF(Order!$C$196="","",Order!$C$196)</f>
        <v>TGR3X1.1/2L (Rectangular tube 3"x1.1 /2" with 1.00 mm tickness c/reforço)</v>
      </c>
      <c r="D1910" s="36" t="str">
        <f>IF($C1910="","",_xlfn.XLOOKUP($C1910,Order!$C:$C,Order!$D:$D,"",0,1))</f>
        <v>TGR3X1.1-2L</v>
      </c>
      <c r="E1910" s="4" t="e" vm="380">
        <f>IF($C1910="","",_xlfn.XLOOKUP($C1910,Order!$C:$C,Order!$E:$E,"",0,1))</f>
        <v>#VALUE!</v>
      </c>
      <c r="F1910" s="4">
        <f>IF($C1910="","",_xlfn.XLOOKUP($C1910,Order!$C:$C,Order!$F:$F,"",0,1))</f>
        <v>6000</v>
      </c>
      <c r="G1910" s="4" t="str">
        <f>IF($C1910="","",_xlfn.XLOOKUP($C1910,Order!$C:$C,Order!$G:$G,"",0,1))</f>
        <v>6063T5</v>
      </c>
      <c r="H1910" s="4">
        <f>IF($C1910="","",_xlfn.XLOOKUP($C1910,Order!$C:$C,Order!$H:$H,"",0,1))</f>
        <v>0.65200000000000002</v>
      </c>
      <c r="I1910" s="36">
        <f>IF($C1910="","",_xlfn.XLOOKUP($C1910,Order!$C:$C,Order!$N:$N,"",0,1))</f>
        <v>0</v>
      </c>
      <c r="J1910" s="4" t="str">
        <f>IF(C1910="","",Order!$N$16)</f>
        <v>ELECT. CHAMPAGNE (FAYH02)</v>
      </c>
      <c r="K1910" s="36">
        <f>IF($C1910="","",_xlfn.XLOOKUP($C1910,Order!$C:$C,Order!$P:$P,"",0,1))</f>
        <v>0</v>
      </c>
      <c r="L1910" s="4">
        <f t="shared" si="29"/>
        <v>0</v>
      </c>
    </row>
    <row r="1911" spans="2:12" ht="23.25" hidden="1" customHeight="1" x14ac:dyDescent="0.25">
      <c r="B1911" s="4">
        <v>1906</v>
      </c>
      <c r="C1911" s="36" t="str">
        <f>IF(Order!$C$197="","",Order!$C$197)</f>
        <v>TGR3X1.1/2 (Rectangular tube 3"x1.1 /2" with 1.98 mm tickness c/reforço)</v>
      </c>
      <c r="D1911" s="36" t="str">
        <f>IF($C1911="","",_xlfn.XLOOKUP($C1911,Order!$C:$C,Order!$D:$D,"",0,1))</f>
        <v>TGR3X1.1-2</v>
      </c>
      <c r="E1911" s="4" t="e" vm="381">
        <f>IF($C1911="","",_xlfn.XLOOKUP($C1911,Order!$C:$C,Order!$E:$E,"",0,1))</f>
        <v>#VALUE!</v>
      </c>
      <c r="F1911" s="4">
        <f>IF($C1911="","",_xlfn.XLOOKUP($C1911,Order!$C:$C,Order!$F:$F,"",0,1))</f>
        <v>6000</v>
      </c>
      <c r="G1911" s="4" t="str">
        <f>IF($C1911="","",_xlfn.XLOOKUP($C1911,Order!$C:$C,Order!$G:$G,"",0,1))</f>
        <v>6063T5</v>
      </c>
      <c r="H1911" s="4">
        <f>IF($C1911="","",_xlfn.XLOOKUP($C1911,Order!$C:$C,Order!$H:$H,"",0,1))</f>
        <v>0.94799999999999995</v>
      </c>
      <c r="I1911" s="36">
        <f>IF($C1911="","",_xlfn.XLOOKUP($C1911,Order!$C:$C,Order!$N:$N,"",0,1))</f>
        <v>0</v>
      </c>
      <c r="J1911" s="4" t="str">
        <f>IF(C1911="","",Order!$N$16)</f>
        <v>ELECT. CHAMPAGNE (FAYH02)</v>
      </c>
      <c r="K1911" s="36">
        <f>IF($C1911="","",_xlfn.XLOOKUP($C1911,Order!$C:$C,Order!$P:$P,"",0,1))</f>
        <v>0</v>
      </c>
      <c r="L1911" s="4">
        <f t="shared" si="29"/>
        <v>0</v>
      </c>
    </row>
    <row r="1912" spans="2:12" ht="23.25" hidden="1" customHeight="1" x14ac:dyDescent="0.25">
      <c r="B1912" s="4">
        <v>1907</v>
      </c>
      <c r="C1912" s="36" t="str">
        <f>IF(Order!$C$198="","",Order!$C$198)</f>
        <v>TGR4X2 (Rectangular Tube 4" X 2" with 1.50 mm tickness c/reforço)</v>
      </c>
      <c r="D1912" s="36" t="str">
        <f>IF($C1912="","",_xlfn.XLOOKUP($C1912,Order!$C:$C,Order!$D:$D,"",0,1))</f>
        <v>TGR4X2</v>
      </c>
      <c r="E1912" s="4" t="e" vm="382">
        <f>IF($C1912="","",_xlfn.XLOOKUP($C1912,Order!$C:$C,Order!$E:$E,"",0,1))</f>
        <v>#VALUE!</v>
      </c>
      <c r="F1912" s="4">
        <f>IF($C1912="","",_xlfn.XLOOKUP($C1912,Order!$C:$C,Order!$F:$F,"",0,1))</f>
        <v>6000</v>
      </c>
      <c r="G1912" s="4" t="str">
        <f>IF($C1912="","",_xlfn.XLOOKUP($C1912,Order!$C:$C,Order!$G:$G,"",0,1))</f>
        <v>6063T5</v>
      </c>
      <c r="H1912" s="4">
        <f>IF($C1912="","",_xlfn.XLOOKUP($C1912,Order!$C:$C,Order!$H:$H,"",0,1))</f>
        <v>1.268</v>
      </c>
      <c r="I1912" s="36">
        <f>IF($C1912="","",_xlfn.XLOOKUP($C1912,Order!$C:$C,Order!$N:$N,"",0,1))</f>
        <v>0</v>
      </c>
      <c r="J1912" s="4" t="str">
        <f>IF(C1912="","",Order!$N$16)</f>
        <v>ELECT. CHAMPAGNE (FAYH02)</v>
      </c>
      <c r="K1912" s="36">
        <f>IF($C1912="","",_xlfn.XLOOKUP($C1912,Order!$C:$C,Order!$P:$P,"",0,1))</f>
        <v>0</v>
      </c>
      <c r="L1912" s="4">
        <f t="shared" si="29"/>
        <v>0</v>
      </c>
    </row>
    <row r="1913" spans="2:12" ht="23.25" hidden="1" customHeight="1" x14ac:dyDescent="0.25">
      <c r="B1913" s="4">
        <v>1908</v>
      </c>
      <c r="C1913" s="36" t="str">
        <f>IF(Order!$C$199="","",Order!$C$199)</f>
        <v>MT 0045 (Retangular Tube 3x1.1/2 com raia)</v>
      </c>
      <c r="D1913" s="36" t="str">
        <f>IF($C1913="","",_xlfn.XLOOKUP($C1913,Order!$C:$C,Order!$D:$D,"",0,1))</f>
        <v>MT0045</v>
      </c>
      <c r="E1913" s="4" t="e" vm="383">
        <f>IF($C1913="","",_xlfn.XLOOKUP($C1913,Order!$C:$C,Order!$E:$E,"",0,1))</f>
        <v>#VALUE!</v>
      </c>
      <c r="F1913" s="4">
        <f>IF($C1913="","",_xlfn.XLOOKUP($C1913,Order!$C:$C,Order!$F:$F,"",0,1))</f>
        <v>6000</v>
      </c>
      <c r="G1913" s="4" t="str">
        <f>IF($C1913="","",_xlfn.XLOOKUP($C1913,Order!$C:$C,Order!$G:$G,"",0,1))</f>
        <v>6063T5</v>
      </c>
      <c r="H1913" s="4">
        <f>IF($C1913="","",_xlfn.XLOOKUP($C1913,Order!$C:$C,Order!$H:$H,"",0,1))</f>
        <v>0.66400000000000003</v>
      </c>
      <c r="I1913" s="36">
        <f>IF($C1913="","",_xlfn.XLOOKUP($C1913,Order!$C:$C,Order!$N:$N,"",0,1))</f>
        <v>0</v>
      </c>
      <c r="J1913" s="4" t="str">
        <f>IF(C1913="","",Order!$N$16)</f>
        <v>ELECT. CHAMPAGNE (FAYH02)</v>
      </c>
      <c r="K1913" s="36">
        <f>IF($C1913="","",_xlfn.XLOOKUP($C1913,Order!$C:$C,Order!$P:$P,"",0,1))</f>
        <v>0</v>
      </c>
      <c r="L1913" s="4">
        <f t="shared" si="29"/>
        <v>0</v>
      </c>
    </row>
    <row r="1914" spans="2:12" ht="23.25" hidden="1" customHeight="1" x14ac:dyDescent="0.25">
      <c r="B1914" s="4">
        <v>1909</v>
      </c>
      <c r="C1914" s="36" t="str">
        <f>IF(Order!$C$200="","",Order!$C$200)</f>
        <v>MT0008</v>
      </c>
      <c r="D1914" s="36" t="str">
        <f>IF($C1914="","",_xlfn.XLOOKUP($C1914,Order!$C:$C,Order!$D:$D,"",0,1))</f>
        <v>MT0008</v>
      </c>
      <c r="E1914" s="4" t="e" vm="384">
        <f>IF($C1914="","",_xlfn.XLOOKUP($C1914,Order!$C:$C,Order!$E:$E,"",0,1))</f>
        <v>#VALUE!</v>
      </c>
      <c r="F1914" s="4">
        <f>IF($C1914="","",_xlfn.XLOOKUP($C1914,Order!$C:$C,Order!$F:$F,"",0,1))</f>
        <v>6000</v>
      </c>
      <c r="G1914" s="4" t="str">
        <f>IF($C1914="","",_xlfn.XLOOKUP($C1914,Order!$C:$C,Order!$G:$G,"",0,1))</f>
        <v>6063T5</v>
      </c>
      <c r="H1914" s="4">
        <f>IF($C1914="","",_xlfn.XLOOKUP($C1914,Order!$C:$C,Order!$H:$H,"",0,1))</f>
        <v>0.44400000000000001</v>
      </c>
      <c r="I1914" s="36">
        <f>IF($C1914="","",_xlfn.XLOOKUP($C1914,Order!$C:$C,Order!$N:$N,"",0,1))</f>
        <v>0</v>
      </c>
      <c r="J1914" s="4" t="str">
        <f>IF(C1914="","",Order!$N$16)</f>
        <v>ELECT. CHAMPAGNE (FAYH02)</v>
      </c>
      <c r="K1914" s="36">
        <f>IF($C1914="","",_xlfn.XLOOKUP($C1914,Order!$C:$C,Order!$P:$P,"",0,1))</f>
        <v>0</v>
      </c>
      <c r="L1914" s="4">
        <f t="shared" si="29"/>
        <v>0</v>
      </c>
    </row>
    <row r="1915" spans="2:12" ht="23.25" hidden="1" customHeight="1" x14ac:dyDescent="0.25">
      <c r="B1915" s="4">
        <v>1910</v>
      </c>
      <c r="C1915" s="36" t="str">
        <f>IF(Order!$C$201="","",Order!$C$201)</f>
        <v>MT0010</v>
      </c>
      <c r="D1915" s="36" t="str">
        <f>IF($C1915="","",_xlfn.XLOOKUP($C1915,Order!$C:$C,Order!$D:$D,"",0,1))</f>
        <v>MT0010</v>
      </c>
      <c r="E1915" s="4" t="e" vm="385">
        <f>IF($C1915="","",_xlfn.XLOOKUP($C1915,Order!$C:$C,Order!$E:$E,"",0,1))</f>
        <v>#VALUE!</v>
      </c>
      <c r="F1915" s="4">
        <f>IF($C1915="","",_xlfn.XLOOKUP($C1915,Order!$C:$C,Order!$F:$F,"",0,1))</f>
        <v>6000</v>
      </c>
      <c r="G1915" s="4" t="str">
        <f>IF($C1915="","",_xlfn.XLOOKUP($C1915,Order!$C:$C,Order!$G:$G,"",0,1))</f>
        <v>6063T5</v>
      </c>
      <c r="H1915" s="4">
        <f>IF($C1915="","",_xlfn.XLOOKUP($C1915,Order!$C:$C,Order!$H:$H,"",0,1))</f>
        <v>0.49299999999999999</v>
      </c>
      <c r="I1915" s="36">
        <f>IF($C1915="","",_xlfn.XLOOKUP($C1915,Order!$C:$C,Order!$N:$N,"",0,1))</f>
        <v>0</v>
      </c>
      <c r="J1915" s="4" t="str">
        <f>IF(C1915="","",Order!$N$16)</f>
        <v>ELECT. CHAMPAGNE (FAYH02)</v>
      </c>
      <c r="K1915" s="36">
        <f>IF($C1915="","",_xlfn.XLOOKUP($C1915,Order!$C:$C,Order!$P:$P,"",0,1))</f>
        <v>0</v>
      </c>
      <c r="L1915" s="4">
        <f t="shared" si="29"/>
        <v>0</v>
      </c>
    </row>
    <row r="1916" spans="2:12" ht="23.25" hidden="1" customHeight="1" x14ac:dyDescent="0.25">
      <c r="B1916" s="4">
        <v>1911</v>
      </c>
      <c r="C1916" s="36" t="str">
        <f>IF(Order!$C$202="","",Order!$C$202)</f>
        <v>CG072</v>
      </c>
      <c r="D1916" s="36" t="str">
        <f>IF($C1916="","",_xlfn.XLOOKUP($C1916,Order!$C:$C,Order!$D:$D,"",0,1))</f>
        <v>CG072</v>
      </c>
      <c r="E1916" s="4" t="e" vm="386">
        <f>IF($C1916="","",_xlfn.XLOOKUP($C1916,Order!$C:$C,Order!$E:$E,"",0,1))</f>
        <v>#VALUE!</v>
      </c>
      <c r="F1916" s="4">
        <f>IF($C1916="","",_xlfn.XLOOKUP($C1916,Order!$C:$C,Order!$F:$F,"",0,1))</f>
        <v>6000</v>
      </c>
      <c r="G1916" s="4" t="str">
        <f>IF($C1916="","",_xlfn.XLOOKUP($C1916,Order!$C:$C,Order!$G:$G,"",0,1))</f>
        <v>6063T5</v>
      </c>
      <c r="H1916" s="4">
        <f>IF($C1916="","",_xlfn.XLOOKUP($C1916,Order!$C:$C,Order!$H:$H,"",0,1))</f>
        <v>0.96299999999999997</v>
      </c>
      <c r="I1916" s="36">
        <f>IF($C1916="","",_xlfn.XLOOKUP($C1916,Order!$C:$C,Order!$N:$N,"",0,1))</f>
        <v>0</v>
      </c>
      <c r="J1916" s="4" t="str">
        <f>IF(C1916="","",Order!$N$16)</f>
        <v>ELECT. CHAMPAGNE (FAYH02)</v>
      </c>
      <c r="K1916" s="36">
        <f>IF($C1916="","",_xlfn.XLOOKUP($C1916,Order!$C:$C,Order!$P:$P,"",0,1))</f>
        <v>0</v>
      </c>
      <c r="L1916" s="4">
        <f t="shared" si="29"/>
        <v>0</v>
      </c>
    </row>
    <row r="1917" spans="2:12" ht="23.25" hidden="1" customHeight="1" x14ac:dyDescent="0.25">
      <c r="B1917" s="4">
        <v>1912</v>
      </c>
      <c r="C1917" s="36" t="str">
        <f>IF(Order!$C$203="","",Order!$C$203)</f>
        <v>MT0046</v>
      </c>
      <c r="D1917" s="36" t="str">
        <f>IF($C1917="","",_xlfn.XLOOKUP($C1917,Order!$C:$C,Order!$D:$D,"",0,1))</f>
        <v>MT0046</v>
      </c>
      <c r="E1917" s="4" t="e" vm="387">
        <f>IF($C1917="","",_xlfn.XLOOKUP($C1917,Order!$C:$C,Order!$E:$E,"",0,1))</f>
        <v>#VALUE!</v>
      </c>
      <c r="F1917" s="4">
        <f>IF($C1917="","",_xlfn.XLOOKUP($C1917,Order!$C:$C,Order!$F:$F,"",0,1))</f>
        <v>6000</v>
      </c>
      <c r="G1917" s="4" t="str">
        <f>IF($C1917="","",_xlfn.XLOOKUP($C1917,Order!$C:$C,Order!$G:$G,"",0,1))</f>
        <v>6063T5</v>
      </c>
      <c r="H1917" s="4">
        <f>IF($C1917="","",_xlfn.XLOOKUP($C1917,Order!$C:$C,Order!$H:$H,"",0,1))</f>
        <v>1.2410000000000001</v>
      </c>
      <c r="I1917" s="36">
        <f>IF($C1917="","",_xlfn.XLOOKUP($C1917,Order!$C:$C,Order!$N:$N,"",0,1))</f>
        <v>0</v>
      </c>
      <c r="J1917" s="4" t="str">
        <f>IF(C1917="","",Order!$N$16)</f>
        <v>ELECT. CHAMPAGNE (FAYH02)</v>
      </c>
      <c r="K1917" s="36">
        <f>IF($C1917="","",_xlfn.XLOOKUP($C1917,Order!$C:$C,Order!$P:$P,"",0,1))</f>
        <v>0</v>
      </c>
      <c r="L1917" s="4">
        <f t="shared" si="29"/>
        <v>0</v>
      </c>
    </row>
    <row r="1918" spans="2:12" ht="23.25" hidden="1" customHeight="1" x14ac:dyDescent="0.25">
      <c r="B1918" s="4">
        <v>1913</v>
      </c>
      <c r="C1918" s="36" t="str">
        <f>IF(Order!$C$204="","",Order!$C$204)</f>
        <v>MT0047</v>
      </c>
      <c r="D1918" s="36" t="str">
        <f>IF($C1918="","",_xlfn.XLOOKUP($C1918,Order!$C:$C,Order!$D:$D,"",0,1))</f>
        <v>MT0047</v>
      </c>
      <c r="E1918" s="4" t="e" vm="388">
        <f>IF($C1918="","",_xlfn.XLOOKUP($C1918,Order!$C:$C,Order!$E:$E,"",0,1))</f>
        <v>#VALUE!</v>
      </c>
      <c r="F1918" s="4">
        <f>IF($C1918="","",_xlfn.XLOOKUP($C1918,Order!$C:$C,Order!$F:$F,"",0,1))</f>
        <v>6000</v>
      </c>
      <c r="G1918" s="4" t="str">
        <f>IF($C1918="","",_xlfn.XLOOKUP($C1918,Order!$C:$C,Order!$G:$G,"",0,1))</f>
        <v>6063T5</v>
      </c>
      <c r="H1918" s="4">
        <f>IF($C1918="","",_xlfn.XLOOKUP($C1918,Order!$C:$C,Order!$H:$H,"",0,1))</f>
        <v>0.23599999999999999</v>
      </c>
      <c r="I1918" s="36">
        <f>IF($C1918="","",_xlfn.XLOOKUP($C1918,Order!$C:$C,Order!$N:$N,"",0,1))</f>
        <v>0</v>
      </c>
      <c r="J1918" s="4" t="str">
        <f>IF(C1918="","",Order!$N$16)</f>
        <v>ELECT. CHAMPAGNE (FAYH02)</v>
      </c>
      <c r="K1918" s="36">
        <f>IF($C1918="","",_xlfn.XLOOKUP($C1918,Order!$C:$C,Order!$P:$P,"",0,1))</f>
        <v>0</v>
      </c>
      <c r="L1918" s="4">
        <f t="shared" si="29"/>
        <v>0</v>
      </c>
    </row>
    <row r="1919" spans="2:12" ht="23.25" hidden="1" customHeight="1" x14ac:dyDescent="0.25">
      <c r="B1919" s="4">
        <v>1914</v>
      </c>
      <c r="C1919" s="36" t="str">
        <f>IF(Order!$C$205="","",Order!$C$205)</f>
        <v>MT0048</v>
      </c>
      <c r="D1919" s="36" t="str">
        <f>IF($C1919="","",_xlfn.XLOOKUP($C1919,Order!$C:$C,Order!$D:$D,"",0,1))</f>
        <v>MT0048</v>
      </c>
      <c r="E1919" s="4" t="e" vm="389">
        <f>IF($C1919="","",_xlfn.XLOOKUP($C1919,Order!$C:$C,Order!$E:$E,"",0,1))</f>
        <v>#VALUE!</v>
      </c>
      <c r="F1919" s="4">
        <f>IF($C1919="","",_xlfn.XLOOKUP($C1919,Order!$C:$C,Order!$F:$F,"",0,1))</f>
        <v>6000</v>
      </c>
      <c r="G1919" s="4" t="str">
        <f>IF($C1919="","",_xlfn.XLOOKUP($C1919,Order!$C:$C,Order!$G:$G,"",0,1))</f>
        <v>6063T5</v>
      </c>
      <c r="H1919" s="4">
        <f>IF($C1919="","",_xlfn.XLOOKUP($C1919,Order!$C:$C,Order!$H:$H,"",0,1))</f>
        <v>0.79300000000000004</v>
      </c>
      <c r="I1919" s="36">
        <f>IF($C1919="","",_xlfn.XLOOKUP($C1919,Order!$C:$C,Order!$N:$N,"",0,1))</f>
        <v>0</v>
      </c>
      <c r="J1919" s="4" t="str">
        <f>IF(C1919="","",Order!$N$16)</f>
        <v>ELECT. CHAMPAGNE (FAYH02)</v>
      </c>
      <c r="K1919" s="36">
        <f>IF($C1919="","",_xlfn.XLOOKUP($C1919,Order!$C:$C,Order!$P:$P,"",0,1))</f>
        <v>0</v>
      </c>
      <c r="L1919" s="4">
        <f t="shared" si="29"/>
        <v>0</v>
      </c>
    </row>
    <row r="1920" spans="2:12" ht="23.25" hidden="1" customHeight="1" x14ac:dyDescent="0.25">
      <c r="B1920" s="4">
        <v>1915</v>
      </c>
      <c r="C1920" s="36" t="str">
        <f>IF(Order!$C$206="","",Order!$C$206)</f>
        <v>CG075 (MT0049)</v>
      </c>
      <c r="D1920" s="36" t="str">
        <f>IF($C1920="","",_xlfn.XLOOKUP($C1920,Order!$C:$C,Order!$D:$D,"",0,1))</f>
        <v>MT0049</v>
      </c>
      <c r="E1920" s="4" t="e" vm="390">
        <f>IF($C1920="","",_xlfn.XLOOKUP($C1920,Order!$C:$C,Order!$E:$E,"",0,1))</f>
        <v>#VALUE!</v>
      </c>
      <c r="F1920" s="4">
        <f>IF($C1920="","",_xlfn.XLOOKUP($C1920,Order!$C:$C,Order!$F:$F,"",0,1))</f>
        <v>6000</v>
      </c>
      <c r="G1920" s="4" t="str">
        <f>IF($C1920="","",_xlfn.XLOOKUP($C1920,Order!$C:$C,Order!$G:$G,"",0,1))</f>
        <v>6063T5</v>
      </c>
      <c r="H1920" s="4">
        <f>IF($C1920="","",_xlfn.XLOOKUP($C1920,Order!$C:$C,Order!$H:$H,"",0,1))</f>
        <v>0.46300000000000002</v>
      </c>
      <c r="I1920" s="36">
        <f>IF($C1920="","",_xlfn.XLOOKUP($C1920,Order!$C:$C,Order!$N:$N,"",0,1))</f>
        <v>0</v>
      </c>
      <c r="J1920" s="4" t="str">
        <f>IF(C1920="","",Order!$N$16)</f>
        <v>ELECT. CHAMPAGNE (FAYH02)</v>
      </c>
      <c r="K1920" s="36">
        <f>IF($C1920="","",_xlfn.XLOOKUP($C1920,Order!$C:$C,Order!$P:$P,"",0,1))</f>
        <v>0</v>
      </c>
      <c r="L1920" s="4">
        <f t="shared" si="29"/>
        <v>0</v>
      </c>
    </row>
    <row r="1921" spans="2:12" ht="23.25" hidden="1" customHeight="1" x14ac:dyDescent="0.25">
      <c r="B1921" s="4">
        <v>1916</v>
      </c>
      <c r="C1921" s="36" t="str">
        <f>IF(Order!$C$207="","",Order!$C$207)</f>
        <v>CG2535</v>
      </c>
      <c r="D1921" s="36" t="str">
        <f>IF($C1921="","",_xlfn.XLOOKUP($C1921,Order!$C:$C,Order!$D:$D,"",0,1))</f>
        <v>CG2535</v>
      </c>
      <c r="E1921" s="4" t="e" vm="391">
        <f>IF($C1921="","",_xlfn.XLOOKUP($C1921,Order!$C:$C,Order!$E:$E,"",0,1))</f>
        <v>#VALUE!</v>
      </c>
      <c r="F1921" s="4">
        <f>IF($C1921="","",_xlfn.XLOOKUP($C1921,Order!$C:$C,Order!$F:$F,"",0,1))</f>
        <v>6000</v>
      </c>
      <c r="G1921" s="4" t="str">
        <f>IF($C1921="","",_xlfn.XLOOKUP($C1921,Order!$C:$C,Order!$G:$G,"",0,1))</f>
        <v>6063T5</v>
      </c>
      <c r="H1921" s="4">
        <f>IF($C1921="","",_xlfn.XLOOKUP($C1921,Order!$C:$C,Order!$H:$H,"",0,1))</f>
        <v>0.39400000000000002</v>
      </c>
      <c r="I1921" s="36">
        <f>IF($C1921="","",_xlfn.XLOOKUP($C1921,Order!$C:$C,Order!$N:$N,"",0,1))</f>
        <v>0</v>
      </c>
      <c r="J1921" s="4" t="str">
        <f>IF(C1921="","",Order!$N$16)</f>
        <v>ELECT. CHAMPAGNE (FAYH02)</v>
      </c>
      <c r="K1921" s="36">
        <f>IF($C1921="","",_xlfn.XLOOKUP($C1921,Order!$C:$C,Order!$P:$P,"",0,1))</f>
        <v>0</v>
      </c>
      <c r="L1921" s="4">
        <f t="shared" si="29"/>
        <v>0</v>
      </c>
    </row>
    <row r="1922" spans="2:12" ht="23.25" hidden="1" customHeight="1" x14ac:dyDescent="0.25">
      <c r="B1922" s="4">
        <v>1917</v>
      </c>
      <c r="C1922" s="36" t="str">
        <f>IF(Order!$C$208="","",Order!$C$208)</f>
        <v>BX706</v>
      </c>
      <c r="D1922" s="36" t="str">
        <f>IF($C1922="","",_xlfn.XLOOKUP($C1922,Order!$C:$C,Order!$D:$D,"",0,1))</f>
        <v>BX706</v>
      </c>
      <c r="E1922" s="4" t="e" vm="392">
        <f>IF($C1922="","",_xlfn.XLOOKUP($C1922,Order!$C:$C,Order!$E:$E,"",0,1))</f>
        <v>#VALUE!</v>
      </c>
      <c r="F1922" s="4">
        <f>IF($C1922="","",_xlfn.XLOOKUP($C1922,Order!$C:$C,Order!$F:$F,"",0,1))</f>
        <v>6000</v>
      </c>
      <c r="G1922" s="4" t="str">
        <f>IF($C1922="","",_xlfn.XLOOKUP($C1922,Order!$C:$C,Order!$G:$G,"",0,1))</f>
        <v>6063T5</v>
      </c>
      <c r="H1922" s="4">
        <f>IF($C1922="","",_xlfn.XLOOKUP($C1922,Order!$C:$C,Order!$H:$H,"",0,1))</f>
        <v>0.84799999999999998</v>
      </c>
      <c r="I1922" s="36">
        <f>IF($C1922="","",_xlfn.XLOOKUP($C1922,Order!$C:$C,Order!$N:$N,"",0,1))</f>
        <v>0</v>
      </c>
      <c r="J1922" s="4" t="str">
        <f>IF(C1922="","",Order!$N$16)</f>
        <v>ELECT. CHAMPAGNE (FAYH02)</v>
      </c>
      <c r="K1922" s="36">
        <f>IF($C1922="","",_xlfn.XLOOKUP($C1922,Order!$C:$C,Order!$P:$P,"",0,1))</f>
        <v>0</v>
      </c>
      <c r="L1922" s="4">
        <f t="shared" si="29"/>
        <v>0</v>
      </c>
    </row>
    <row r="1923" spans="2:12" ht="23.25" hidden="1" customHeight="1" x14ac:dyDescent="0.25">
      <c r="B1923" s="4">
        <v>1918</v>
      </c>
      <c r="C1923" s="36" t="str">
        <f>IF(Order!$C$209="","",Order!$C$209)</f>
        <v>GR001</v>
      </c>
      <c r="D1923" s="36" t="str">
        <f>IF($C1923="","",_xlfn.XLOOKUP($C1923,Order!$C:$C,Order!$D:$D,"",0,1))</f>
        <v>GR001</v>
      </c>
      <c r="E1923" s="4" t="e" vm="393">
        <f>IF($C1923="","",_xlfn.XLOOKUP($C1923,Order!$C:$C,Order!$E:$E,"",0,1))</f>
        <v>#VALUE!</v>
      </c>
      <c r="F1923" s="4">
        <f>IF($C1923="","",_xlfn.XLOOKUP($C1923,Order!$C:$C,Order!$F:$F,"",0,1))</f>
        <v>6000</v>
      </c>
      <c r="G1923" s="4" t="str">
        <f>IF($C1923="","",_xlfn.XLOOKUP($C1923,Order!$C:$C,Order!$G:$G,"",0,1))</f>
        <v>6063T5</v>
      </c>
      <c r="H1923" s="4">
        <f>IF($C1923="","",_xlfn.XLOOKUP($C1923,Order!$C:$C,Order!$H:$H,"",0,1))</f>
        <v>1.0089999999999999</v>
      </c>
      <c r="I1923" s="36">
        <f>IF($C1923="","",_xlfn.XLOOKUP($C1923,Order!$C:$C,Order!$N:$N,"",0,1))</f>
        <v>0</v>
      </c>
      <c r="J1923" s="4" t="str">
        <f>IF(C1923="","",Order!$N$16)</f>
        <v>ELECT. CHAMPAGNE (FAYH02)</v>
      </c>
      <c r="K1923" s="36">
        <f>IF($C1923="","",_xlfn.XLOOKUP($C1923,Order!$C:$C,Order!$P:$P,"",0,1))</f>
        <v>0</v>
      </c>
      <c r="L1923" s="4">
        <f t="shared" si="29"/>
        <v>0</v>
      </c>
    </row>
    <row r="1924" spans="2:12" ht="23.25" hidden="1" customHeight="1" x14ac:dyDescent="0.25">
      <c r="B1924" s="4">
        <v>1919</v>
      </c>
      <c r="C1924" s="36" t="str">
        <f>IF(Order!$C$210="","",Order!$C$210)</f>
        <v>GR002</v>
      </c>
      <c r="D1924" s="36" t="str">
        <f>IF($C1924="","",_xlfn.XLOOKUP($C1924,Order!$C:$C,Order!$D:$D,"",0,1))</f>
        <v>GR002</v>
      </c>
      <c r="E1924" s="4" t="e" vm="394">
        <f>IF($C1924="","",_xlfn.XLOOKUP($C1924,Order!$C:$C,Order!$E:$E,"",0,1))</f>
        <v>#VALUE!</v>
      </c>
      <c r="F1924" s="4">
        <f>IF($C1924="","",_xlfn.XLOOKUP($C1924,Order!$C:$C,Order!$F:$F,"",0,1))</f>
        <v>6000</v>
      </c>
      <c r="G1924" s="4" t="str">
        <f>IF($C1924="","",_xlfn.XLOOKUP($C1924,Order!$C:$C,Order!$G:$G,"",0,1))</f>
        <v>6063T5</v>
      </c>
      <c r="H1924" s="4">
        <f>IF($C1924="","",_xlfn.XLOOKUP($C1924,Order!$C:$C,Order!$H:$H,"",0,1))</f>
        <v>0.95599999999999996</v>
      </c>
      <c r="I1924" s="36">
        <f>IF($C1924="","",_xlfn.XLOOKUP($C1924,Order!$C:$C,Order!$N:$N,"",0,1))</f>
        <v>0</v>
      </c>
      <c r="J1924" s="4" t="str">
        <f>IF(C1924="","",Order!$N$16)</f>
        <v>ELECT. CHAMPAGNE (FAYH02)</v>
      </c>
      <c r="K1924" s="36">
        <f>IF($C1924="","",_xlfn.XLOOKUP($C1924,Order!$C:$C,Order!$P:$P,"",0,1))</f>
        <v>0</v>
      </c>
      <c r="L1924" s="4">
        <f t="shared" si="29"/>
        <v>0</v>
      </c>
    </row>
    <row r="1925" spans="2:12" ht="23.25" hidden="1" customHeight="1" x14ac:dyDescent="0.25">
      <c r="B1925" s="4">
        <v>1920</v>
      </c>
      <c r="C1925" s="36" t="str">
        <f>IF(Order!$C$211="","",Order!$C$211)</f>
        <v>BX062</v>
      </c>
      <c r="D1925" s="36" t="str">
        <f>IF($C1925="","",_xlfn.XLOOKUP($C1925,Order!$C:$C,Order!$D:$D,"",0,1))</f>
        <v>BX062</v>
      </c>
      <c r="E1925" s="4" t="e" vm="395">
        <f>IF($C1925="","",_xlfn.XLOOKUP($C1925,Order!$C:$C,Order!$E:$E,"",0,1))</f>
        <v>#VALUE!</v>
      </c>
      <c r="F1925" s="4">
        <f>IF($C1925="","",_xlfn.XLOOKUP($C1925,Order!$C:$C,Order!$F:$F,"",0,1))</f>
        <v>6000</v>
      </c>
      <c r="G1925" s="4" t="str">
        <f>IF($C1925="","",_xlfn.XLOOKUP($C1925,Order!$C:$C,Order!$G:$G,"",0,1))</f>
        <v>6063T5</v>
      </c>
      <c r="H1925" s="4">
        <f>IF($C1925="","",_xlfn.XLOOKUP($C1925,Order!$C:$C,Order!$H:$H,"",0,1))</f>
        <v>0.23599999999999999</v>
      </c>
      <c r="I1925" s="36">
        <f>IF($C1925="","",_xlfn.XLOOKUP($C1925,Order!$C:$C,Order!$N:$N,"",0,1))</f>
        <v>0</v>
      </c>
      <c r="J1925" s="4" t="str">
        <f>IF(C1925="","",Order!$N$16)</f>
        <v>ELECT. CHAMPAGNE (FAYH02)</v>
      </c>
      <c r="K1925" s="36">
        <f>IF($C1925="","",_xlfn.XLOOKUP($C1925,Order!$C:$C,Order!$P:$P,"",0,1))</f>
        <v>0</v>
      </c>
      <c r="L1925" s="4">
        <f t="shared" si="29"/>
        <v>0</v>
      </c>
    </row>
    <row r="1926" spans="2:12" ht="23.25" hidden="1" customHeight="1" x14ac:dyDescent="0.25">
      <c r="B1926" s="4">
        <v>1921</v>
      </c>
      <c r="C1926" s="36" t="str">
        <f>IF(Order!$C$212="","",Order!$C$212)</f>
        <v>BX101</v>
      </c>
      <c r="D1926" s="36" t="str">
        <f>IF($C1926="","",_xlfn.XLOOKUP($C1926,Order!$C:$C,Order!$D:$D,"",0,1))</f>
        <v>BX101</v>
      </c>
      <c r="E1926" s="4" t="e" vm="396">
        <f>IF($C1926="","",_xlfn.XLOOKUP($C1926,Order!$C:$C,Order!$E:$E,"",0,1))</f>
        <v>#VALUE!</v>
      </c>
      <c r="F1926" s="4">
        <f>IF($C1926="","",_xlfn.XLOOKUP($C1926,Order!$C:$C,Order!$F:$F,"",0,1))</f>
        <v>6000</v>
      </c>
      <c r="G1926" s="4" t="str">
        <f>IF($C1926="","",_xlfn.XLOOKUP($C1926,Order!$C:$C,Order!$G:$G,"",0,1))</f>
        <v>6063T5</v>
      </c>
      <c r="H1926" s="4">
        <f>IF($C1926="","",_xlfn.XLOOKUP($C1926,Order!$C:$C,Order!$H:$H,"",0,1))</f>
        <v>0.42599999999999999</v>
      </c>
      <c r="I1926" s="36">
        <f>IF($C1926="","",_xlfn.XLOOKUP($C1926,Order!$C:$C,Order!$N:$N,"",0,1))</f>
        <v>0</v>
      </c>
      <c r="J1926" s="4" t="str">
        <f>IF(C1926="","",Order!$N$16)</f>
        <v>ELECT. CHAMPAGNE (FAYH02)</v>
      </c>
      <c r="K1926" s="36">
        <f>IF($C1926="","",_xlfn.XLOOKUP($C1926,Order!$C:$C,Order!$P:$P,"",0,1))</f>
        <v>0</v>
      </c>
      <c r="L1926" s="4">
        <f t="shared" si="29"/>
        <v>0</v>
      </c>
    </row>
    <row r="1927" spans="2:12" ht="23.25" hidden="1" customHeight="1" x14ac:dyDescent="0.25">
      <c r="B1927" s="4">
        <v>1922</v>
      </c>
      <c r="C1927" s="36" t="str">
        <f>IF(Order!$C$213="","",Order!$C$213)</f>
        <v>BX060</v>
      </c>
      <c r="D1927" s="36" t="str">
        <f>IF($C1927="","",_xlfn.XLOOKUP($C1927,Order!$C:$C,Order!$D:$D,"",0,1))</f>
        <v>BX060</v>
      </c>
      <c r="E1927" s="4" t="e" vm="397">
        <f>IF($C1927="","",_xlfn.XLOOKUP($C1927,Order!$C:$C,Order!$E:$E,"",0,1))</f>
        <v>#VALUE!</v>
      </c>
      <c r="F1927" s="4">
        <f>IF($C1927="","",_xlfn.XLOOKUP($C1927,Order!$C:$C,Order!$F:$F,"",0,1))</f>
        <v>6000</v>
      </c>
      <c r="G1927" s="4" t="str">
        <f>IF($C1927="","",_xlfn.XLOOKUP($C1927,Order!$C:$C,Order!$G:$G,"",0,1))</f>
        <v>6063T5</v>
      </c>
      <c r="H1927" s="4">
        <f>IF($C1927="","",_xlfn.XLOOKUP($C1927,Order!$C:$C,Order!$H:$H,"",0,1))</f>
        <v>0.17499999999999999</v>
      </c>
      <c r="I1927" s="36">
        <f>IF($C1927="","",_xlfn.XLOOKUP($C1927,Order!$C:$C,Order!$N:$N,"",0,1))</f>
        <v>0</v>
      </c>
      <c r="J1927" s="4" t="str">
        <f>IF(C1927="","",Order!$N$16)</f>
        <v>ELECT. CHAMPAGNE (FAYH02)</v>
      </c>
      <c r="K1927" s="36">
        <f>IF($C1927="","",_xlfn.XLOOKUP($C1927,Order!$C:$C,Order!$P:$P,"",0,1))</f>
        <v>0</v>
      </c>
      <c r="L1927" s="4">
        <f t="shared" ref="L1927:L1990" si="30">IF(C1927="","",F1927/1000*H1927*I1927)</f>
        <v>0</v>
      </c>
    </row>
    <row r="1928" spans="2:12" ht="23.25" hidden="1" customHeight="1" x14ac:dyDescent="0.25">
      <c r="B1928" s="4">
        <v>1923</v>
      </c>
      <c r="C1928" s="36" t="str">
        <f>IF(Order!$C$214="","",Order!$C$214)</f>
        <v>BX061</v>
      </c>
      <c r="D1928" s="36" t="str">
        <f>IF($C1928="","",_xlfn.XLOOKUP($C1928,Order!$C:$C,Order!$D:$D,"",0,1))</f>
        <v>BX061</v>
      </c>
      <c r="E1928" s="4" t="e" vm="398">
        <f>IF($C1928="","",_xlfn.XLOOKUP($C1928,Order!$C:$C,Order!$E:$E,"",0,1))</f>
        <v>#VALUE!</v>
      </c>
      <c r="F1928" s="4">
        <f>IF($C1928="","",_xlfn.XLOOKUP($C1928,Order!$C:$C,Order!$F:$F,"",0,1))</f>
        <v>6000</v>
      </c>
      <c r="G1928" s="4" t="str">
        <f>IF($C1928="","",_xlfn.XLOOKUP($C1928,Order!$C:$C,Order!$G:$G,"",0,1))</f>
        <v>6063T5</v>
      </c>
      <c r="H1928" s="4">
        <f>IF($C1928="","",_xlfn.XLOOKUP($C1928,Order!$C:$C,Order!$H:$H,"",0,1))</f>
        <v>0.161</v>
      </c>
      <c r="I1928" s="36">
        <f>IF($C1928="","",_xlfn.XLOOKUP($C1928,Order!$C:$C,Order!$N:$N,"",0,1))</f>
        <v>0</v>
      </c>
      <c r="J1928" s="4" t="str">
        <f>IF(C1928="","",Order!$N$16)</f>
        <v>ELECT. CHAMPAGNE (FAYH02)</v>
      </c>
      <c r="K1928" s="36">
        <f>IF($C1928="","",_xlfn.XLOOKUP($C1928,Order!$C:$C,Order!$P:$P,"",0,1))</f>
        <v>0</v>
      </c>
      <c r="L1928" s="4">
        <f t="shared" si="30"/>
        <v>0</v>
      </c>
    </row>
    <row r="1929" spans="2:12" ht="23.25" hidden="1" customHeight="1" x14ac:dyDescent="0.25">
      <c r="B1929" s="4">
        <v>1924</v>
      </c>
      <c r="C1929" s="36" t="str">
        <f>IF(Order!$C$215="","",Order!$C$215)</f>
        <v>BX063</v>
      </c>
      <c r="D1929" s="36" t="str">
        <f>IF($C1929="","",_xlfn.XLOOKUP($C1929,Order!$C:$C,Order!$D:$D,"",0,1))</f>
        <v>BX063</v>
      </c>
      <c r="E1929" s="4" t="e" vm="399">
        <f>IF($C1929="","",_xlfn.XLOOKUP($C1929,Order!$C:$C,Order!$E:$E,"",0,1))</f>
        <v>#VALUE!</v>
      </c>
      <c r="F1929" s="4">
        <f>IF($C1929="","",_xlfn.XLOOKUP($C1929,Order!$C:$C,Order!$F:$F,"",0,1))</f>
        <v>6000</v>
      </c>
      <c r="G1929" s="4" t="str">
        <f>IF($C1929="","",_xlfn.XLOOKUP($C1929,Order!$C:$C,Order!$G:$G,"",0,1))</f>
        <v>6063T5</v>
      </c>
      <c r="H1929" s="4">
        <f>IF($C1929="","",_xlfn.XLOOKUP($C1929,Order!$C:$C,Order!$H:$H,"",0,1))</f>
        <v>0.20699999999999999</v>
      </c>
      <c r="I1929" s="36">
        <f>IF($C1929="","",_xlfn.XLOOKUP($C1929,Order!$C:$C,Order!$N:$N,"",0,1))</f>
        <v>0</v>
      </c>
      <c r="J1929" s="4" t="str">
        <f>IF(C1929="","",Order!$N$16)</f>
        <v>ELECT. CHAMPAGNE (FAYH02)</v>
      </c>
      <c r="K1929" s="36">
        <f>IF($C1929="","",_xlfn.XLOOKUP($C1929,Order!$C:$C,Order!$P:$P,"",0,1))</f>
        <v>0</v>
      </c>
      <c r="L1929" s="4">
        <f t="shared" si="30"/>
        <v>0</v>
      </c>
    </row>
    <row r="1930" spans="2:12" ht="23.25" hidden="1" customHeight="1" x14ac:dyDescent="0.25">
      <c r="B1930" s="4">
        <v>1925</v>
      </c>
      <c r="C1930" s="36" t="str">
        <f>IF(Order!$C$216="","",Order!$C$216)</f>
        <v>BX116</v>
      </c>
      <c r="D1930" s="36" t="str">
        <f>IF($C1930="","",_xlfn.XLOOKUP($C1930,Order!$C:$C,Order!$D:$D,"",0,1))</f>
        <v>BX116</v>
      </c>
      <c r="E1930" s="4" t="e" vm="400">
        <f>IF($C1930="","",_xlfn.XLOOKUP($C1930,Order!$C:$C,Order!$E:$E,"",0,1))</f>
        <v>#VALUE!</v>
      </c>
      <c r="F1930" s="4">
        <f>IF($C1930="","",_xlfn.XLOOKUP($C1930,Order!$C:$C,Order!$F:$F,"",0,1))</f>
        <v>6000</v>
      </c>
      <c r="G1930" s="4" t="str">
        <f>IF($C1930="","",_xlfn.XLOOKUP($C1930,Order!$C:$C,Order!$G:$G,"",0,1))</f>
        <v>6063T5</v>
      </c>
      <c r="H1930" s="4">
        <f>IF($C1930="","",_xlfn.XLOOKUP($C1930,Order!$C:$C,Order!$H:$H,"",0,1))</f>
        <v>0.26400000000000001</v>
      </c>
      <c r="I1930" s="36">
        <f>IF($C1930="","",_xlfn.XLOOKUP($C1930,Order!$C:$C,Order!$N:$N,"",0,1))</f>
        <v>0</v>
      </c>
      <c r="J1930" s="4" t="str">
        <f>IF(C1930="","",Order!$N$16)</f>
        <v>ELECT. CHAMPAGNE (FAYH02)</v>
      </c>
      <c r="K1930" s="36">
        <f>IF($C1930="","",_xlfn.XLOOKUP($C1930,Order!$C:$C,Order!$P:$P,"",0,1))</f>
        <v>0</v>
      </c>
      <c r="L1930" s="4">
        <f t="shared" si="30"/>
        <v>0</v>
      </c>
    </row>
    <row r="1931" spans="2:12" ht="23.25" hidden="1" customHeight="1" x14ac:dyDescent="0.25">
      <c r="B1931" s="4">
        <v>1926</v>
      </c>
      <c r="C1931" s="36" t="str">
        <f>IF(Order!$C$217="","",Order!$C$217)</f>
        <v>BX156</v>
      </c>
      <c r="D1931" s="36" t="str">
        <f>IF($C1931="","",_xlfn.XLOOKUP($C1931,Order!$C:$C,Order!$D:$D,"",0,1))</f>
        <v>BX156</v>
      </c>
      <c r="E1931" s="4" t="e" vm="401">
        <f>IF($C1931="","",_xlfn.XLOOKUP($C1931,Order!$C:$C,Order!$E:$E,"",0,1))</f>
        <v>#VALUE!</v>
      </c>
      <c r="F1931" s="4">
        <f>IF($C1931="","",_xlfn.XLOOKUP($C1931,Order!$C:$C,Order!$F:$F,"",0,1))</f>
        <v>6000</v>
      </c>
      <c r="G1931" s="4" t="str">
        <f>IF($C1931="","",_xlfn.XLOOKUP($C1931,Order!$C:$C,Order!$G:$G,"",0,1))</f>
        <v>6063T5</v>
      </c>
      <c r="H1931" s="4">
        <f>IF($C1931="","",_xlfn.XLOOKUP($C1931,Order!$C:$C,Order!$H:$H,"",0,1))</f>
        <v>0.2</v>
      </c>
      <c r="I1931" s="36">
        <f>IF($C1931="","",_xlfn.XLOOKUP($C1931,Order!$C:$C,Order!$N:$N,"",0,1))</f>
        <v>0</v>
      </c>
      <c r="J1931" s="4" t="str">
        <f>IF(C1931="","",Order!$N$16)</f>
        <v>ELECT. CHAMPAGNE (FAYH02)</v>
      </c>
      <c r="K1931" s="36">
        <f>IF($C1931="","",_xlfn.XLOOKUP($C1931,Order!$C:$C,Order!$P:$P,"",0,1))</f>
        <v>0</v>
      </c>
      <c r="L1931" s="4">
        <f t="shared" si="30"/>
        <v>0</v>
      </c>
    </row>
    <row r="1932" spans="2:12" ht="23.25" hidden="1" customHeight="1" x14ac:dyDescent="0.25">
      <c r="B1932" s="4">
        <v>1927</v>
      </c>
      <c r="C1932" s="36" t="str">
        <f>IF(Order!$C$218="","",Order!$C$218)</f>
        <v>BX157</v>
      </c>
      <c r="D1932" s="36" t="str">
        <f>IF($C1932="","",_xlfn.XLOOKUP($C1932,Order!$C:$C,Order!$D:$D,"",0,1))</f>
        <v>BX157</v>
      </c>
      <c r="E1932" s="4" t="e" vm="402">
        <f>IF($C1932="","",_xlfn.XLOOKUP($C1932,Order!$C:$C,Order!$E:$E,"",0,1))</f>
        <v>#VALUE!</v>
      </c>
      <c r="F1932" s="4">
        <f>IF($C1932="","",_xlfn.XLOOKUP($C1932,Order!$C:$C,Order!$F:$F,"",0,1))</f>
        <v>6000</v>
      </c>
      <c r="G1932" s="4" t="str">
        <f>IF($C1932="","",_xlfn.XLOOKUP($C1932,Order!$C:$C,Order!$G:$G,"",0,1))</f>
        <v>6063T5</v>
      </c>
      <c r="H1932" s="4">
        <f>IF($C1932="","",_xlfn.XLOOKUP($C1932,Order!$C:$C,Order!$H:$H,"",0,1))</f>
        <v>0.50800000000000001</v>
      </c>
      <c r="I1932" s="36">
        <f>IF($C1932="","",_xlfn.XLOOKUP($C1932,Order!$C:$C,Order!$N:$N,"",0,1))</f>
        <v>0</v>
      </c>
      <c r="J1932" s="4" t="str">
        <f>IF(C1932="","",Order!$N$16)</f>
        <v>ELECT. CHAMPAGNE (FAYH02)</v>
      </c>
      <c r="K1932" s="36">
        <f>IF($C1932="","",_xlfn.XLOOKUP($C1932,Order!$C:$C,Order!$P:$P,"",0,1))</f>
        <v>0</v>
      </c>
      <c r="L1932" s="4">
        <f t="shared" si="30"/>
        <v>0</v>
      </c>
    </row>
    <row r="1933" spans="2:12" ht="23.25" hidden="1" customHeight="1" x14ac:dyDescent="0.25">
      <c r="B1933" s="4">
        <v>1928</v>
      </c>
      <c r="C1933" s="36" t="str">
        <f>IF(Order!$C$219="","",Order!$C$219)</f>
        <v>BX158</v>
      </c>
      <c r="D1933" s="36" t="str">
        <f>IF($C1933="","",_xlfn.XLOOKUP($C1933,Order!$C:$C,Order!$D:$D,"",0,1))</f>
        <v>BX158</v>
      </c>
      <c r="E1933" s="4" t="e" vm="403">
        <f>IF($C1933="","",_xlfn.XLOOKUP($C1933,Order!$C:$C,Order!$E:$E,"",0,1))</f>
        <v>#VALUE!</v>
      </c>
      <c r="F1933" s="4">
        <f>IF($C1933="","",_xlfn.XLOOKUP($C1933,Order!$C:$C,Order!$F:$F,"",0,1))</f>
        <v>6000</v>
      </c>
      <c r="G1933" s="4" t="str">
        <f>IF($C1933="","",_xlfn.XLOOKUP($C1933,Order!$C:$C,Order!$G:$G,"",0,1))</f>
        <v>6063T5</v>
      </c>
      <c r="H1933" s="4">
        <f>IF($C1933="","",_xlfn.XLOOKUP($C1933,Order!$C:$C,Order!$H:$H,"",0,1))</f>
        <v>0.188</v>
      </c>
      <c r="I1933" s="36">
        <f>IF($C1933="","",_xlfn.XLOOKUP($C1933,Order!$C:$C,Order!$N:$N,"",0,1))</f>
        <v>0</v>
      </c>
      <c r="J1933" s="4" t="str">
        <f>IF(C1933="","",Order!$N$16)</f>
        <v>ELECT. CHAMPAGNE (FAYH02)</v>
      </c>
      <c r="K1933" s="36">
        <f>IF($C1933="","",_xlfn.XLOOKUP($C1933,Order!$C:$C,Order!$P:$P,"",0,1))</f>
        <v>0</v>
      </c>
      <c r="L1933" s="4">
        <f t="shared" si="30"/>
        <v>0</v>
      </c>
    </row>
    <row r="1934" spans="2:12" ht="23.25" hidden="1" customHeight="1" x14ac:dyDescent="0.25">
      <c r="B1934" s="4">
        <v>1929</v>
      </c>
      <c r="C1934" s="36" t="str">
        <f>IF(Order!$C$220="","",Order!$C$220)</f>
        <v>BX159</v>
      </c>
      <c r="D1934" s="36" t="str">
        <f>IF($C1934="","",_xlfn.XLOOKUP($C1934,Order!$C:$C,Order!$D:$D,"",0,1))</f>
        <v>BX159</v>
      </c>
      <c r="E1934" s="4" t="e" vm="404">
        <f>IF($C1934="","",_xlfn.XLOOKUP($C1934,Order!$C:$C,Order!$E:$E,"",0,1))</f>
        <v>#VALUE!</v>
      </c>
      <c r="F1934" s="4">
        <f>IF($C1934="","",_xlfn.XLOOKUP($C1934,Order!$C:$C,Order!$F:$F,"",0,1))</f>
        <v>6000</v>
      </c>
      <c r="G1934" s="4" t="str">
        <f>IF($C1934="","",_xlfn.XLOOKUP($C1934,Order!$C:$C,Order!$G:$G,"",0,1))</f>
        <v>6063T5</v>
      </c>
      <c r="H1934" s="4">
        <f>IF($C1934="","",_xlfn.XLOOKUP($C1934,Order!$C:$C,Order!$H:$H,"",0,1))</f>
        <v>0.19700000000000001</v>
      </c>
      <c r="I1934" s="36">
        <f>IF($C1934="","",_xlfn.XLOOKUP($C1934,Order!$C:$C,Order!$N:$N,"",0,1))</f>
        <v>0</v>
      </c>
      <c r="J1934" s="4" t="str">
        <f>IF(C1934="","",Order!$N$16)</f>
        <v>ELECT. CHAMPAGNE (FAYH02)</v>
      </c>
      <c r="K1934" s="36">
        <f>IF($C1934="","",_xlfn.XLOOKUP($C1934,Order!$C:$C,Order!$P:$P,"",0,1))</f>
        <v>0</v>
      </c>
      <c r="L1934" s="4">
        <f t="shared" si="30"/>
        <v>0</v>
      </c>
    </row>
    <row r="1935" spans="2:12" ht="23.25" hidden="1" customHeight="1" x14ac:dyDescent="0.25">
      <c r="B1935" s="4">
        <v>1930</v>
      </c>
      <c r="C1935" s="36" t="str">
        <f>IF(Order!$C$221="","",Order!$C$221)</f>
        <v>BX092</v>
      </c>
      <c r="D1935" s="36" t="str">
        <f>IF($C1935="","",_xlfn.XLOOKUP($C1935,Order!$C:$C,Order!$D:$D,"",0,1))</f>
        <v>BX092</v>
      </c>
      <c r="E1935" s="4" t="e" vm="405">
        <f>IF($C1935="","",_xlfn.XLOOKUP($C1935,Order!$C:$C,Order!$E:$E,"",0,1))</f>
        <v>#VALUE!</v>
      </c>
      <c r="F1935" s="4">
        <f>IF($C1935="","",_xlfn.XLOOKUP($C1935,Order!$C:$C,Order!$F:$F,"",0,1))</f>
        <v>6000</v>
      </c>
      <c r="G1935" s="4" t="str">
        <f>IF($C1935="","",_xlfn.XLOOKUP($C1935,Order!$C:$C,Order!$G:$G,"",0,1))</f>
        <v>6063T5</v>
      </c>
      <c r="H1935" s="4">
        <f>IF($C1935="","",_xlfn.XLOOKUP($C1935,Order!$C:$C,Order!$H:$H,"",0,1))</f>
        <v>0.185</v>
      </c>
      <c r="I1935" s="36">
        <f>IF($C1935="","",_xlfn.XLOOKUP($C1935,Order!$C:$C,Order!$N:$N,"",0,1))</f>
        <v>0</v>
      </c>
      <c r="J1935" s="4" t="str">
        <f>IF(C1935="","",Order!$N$16)</f>
        <v>ELECT. CHAMPAGNE (FAYH02)</v>
      </c>
      <c r="K1935" s="36">
        <f>IF($C1935="","",_xlfn.XLOOKUP($C1935,Order!$C:$C,Order!$P:$P,"",0,1))</f>
        <v>0</v>
      </c>
      <c r="L1935" s="4">
        <f t="shared" si="30"/>
        <v>0</v>
      </c>
    </row>
    <row r="1936" spans="2:12" ht="23.25" hidden="1" customHeight="1" x14ac:dyDescent="0.25">
      <c r="B1936" s="4">
        <v>1931</v>
      </c>
      <c r="C1936" s="36" t="str">
        <f>IF(Order!$C$222="","",Order!$C$222)</f>
        <v>BX189A</v>
      </c>
      <c r="D1936" s="36" t="str">
        <f>IF($C1936="","",_xlfn.XLOOKUP($C1936,Order!$C:$C,Order!$D:$D,"",0,1))</f>
        <v>BX189A</v>
      </c>
      <c r="E1936" s="4" t="e" vm="406">
        <f>IF($C1936="","",_xlfn.XLOOKUP($C1936,Order!$C:$C,Order!$E:$E,"",0,1))</f>
        <v>#VALUE!</v>
      </c>
      <c r="F1936" s="4">
        <f>IF($C1936="","",_xlfn.XLOOKUP($C1936,Order!$C:$C,Order!$F:$F,"",0,1))</f>
        <v>6000</v>
      </c>
      <c r="G1936" s="4" t="str">
        <f>IF($C1936="","",_xlfn.XLOOKUP($C1936,Order!$C:$C,Order!$G:$G,"",0,1))</f>
        <v>6063T5</v>
      </c>
      <c r="H1936" s="4">
        <f>IF($C1936="","",_xlfn.XLOOKUP($C1936,Order!$C:$C,Order!$H:$H,"",0,1))</f>
        <v>0.17299999999999999</v>
      </c>
      <c r="I1936" s="36">
        <f>IF($C1936="","",_xlfn.XLOOKUP($C1936,Order!$C:$C,Order!$N:$N,"",0,1))</f>
        <v>0</v>
      </c>
      <c r="J1936" s="4" t="str">
        <f>IF(C1936="","",Order!$N$16)</f>
        <v>ELECT. CHAMPAGNE (FAYH02)</v>
      </c>
      <c r="K1936" s="36">
        <f>IF($C1936="","",_xlfn.XLOOKUP($C1936,Order!$C:$C,Order!$P:$P,"",0,1))</f>
        <v>0</v>
      </c>
      <c r="L1936" s="4">
        <f t="shared" si="30"/>
        <v>0</v>
      </c>
    </row>
    <row r="1937" spans="2:12" ht="23.25" hidden="1" customHeight="1" x14ac:dyDescent="0.25">
      <c r="B1937" s="4">
        <v>1932</v>
      </c>
      <c r="C1937" s="36" t="str">
        <f>IF(Order!$C$223="","",Order!$C$223)</f>
        <v>BX201</v>
      </c>
      <c r="D1937" s="36" t="str">
        <f>IF($C1937="","",_xlfn.XLOOKUP($C1937,Order!$C:$C,Order!$D:$D,"",0,1))</f>
        <v>BX201</v>
      </c>
      <c r="E1937" s="4" t="e" vm="407">
        <f>IF($C1937="","",_xlfn.XLOOKUP($C1937,Order!$C:$C,Order!$E:$E,"",0,1))</f>
        <v>#VALUE!</v>
      </c>
      <c r="F1937" s="4">
        <f>IF($C1937="","",_xlfn.XLOOKUP($C1937,Order!$C:$C,Order!$F:$F,"",0,1))</f>
        <v>6000</v>
      </c>
      <c r="G1937" s="4" t="str">
        <f>IF($C1937="","",_xlfn.XLOOKUP($C1937,Order!$C:$C,Order!$G:$G,"",0,1))</f>
        <v>6063T5</v>
      </c>
      <c r="H1937" s="4">
        <f>IF($C1937="","",_xlfn.XLOOKUP($C1937,Order!$C:$C,Order!$H:$H,"",0,1))</f>
        <v>0.47699999999999998</v>
      </c>
      <c r="I1937" s="36">
        <f>IF($C1937="","",_xlfn.XLOOKUP($C1937,Order!$C:$C,Order!$N:$N,"",0,1))</f>
        <v>0</v>
      </c>
      <c r="J1937" s="4" t="str">
        <f>IF(C1937="","",Order!$N$16)</f>
        <v>ELECT. CHAMPAGNE (FAYH02)</v>
      </c>
      <c r="K1937" s="36">
        <f>IF($C1937="","",_xlfn.XLOOKUP($C1937,Order!$C:$C,Order!$P:$P,"",0,1))</f>
        <v>0</v>
      </c>
      <c r="L1937" s="4">
        <f t="shared" si="30"/>
        <v>0</v>
      </c>
    </row>
    <row r="1938" spans="2:12" ht="23.25" hidden="1" customHeight="1" x14ac:dyDescent="0.25">
      <c r="B1938" s="4">
        <v>1933</v>
      </c>
      <c r="C1938" s="36" t="str">
        <f>IF(Order!$C$224="","",Order!$C$224)</f>
        <v>AL001</v>
      </c>
      <c r="D1938" s="36" t="str">
        <f>IF($C1938="","",_xlfn.XLOOKUP($C1938,Order!$C:$C,Order!$D:$D,"",0,1))</f>
        <v>AL001AL</v>
      </c>
      <c r="E1938" s="4" t="e" vm="408">
        <f>IF($C1938="","",_xlfn.XLOOKUP($C1938,Order!$C:$C,Order!$E:$E,"",0,1))</f>
        <v>#VALUE!</v>
      </c>
      <c r="F1938" s="4">
        <f>IF($C1938="","",_xlfn.XLOOKUP($C1938,Order!$C:$C,Order!$F:$F,"",0,1))</f>
        <v>6000</v>
      </c>
      <c r="G1938" s="4" t="str">
        <f>IF($C1938="","",_xlfn.XLOOKUP($C1938,Order!$C:$C,Order!$G:$G,"",0,1))</f>
        <v>6063T5</v>
      </c>
      <c r="H1938" s="4">
        <f>IF($C1938="","",_xlfn.XLOOKUP($C1938,Order!$C:$C,Order!$H:$H,"",0,1))</f>
        <v>0.434</v>
      </c>
      <c r="I1938" s="36">
        <f>IF($C1938="","",_xlfn.XLOOKUP($C1938,Order!$C:$C,Order!$N:$N,"",0,1))</f>
        <v>0</v>
      </c>
      <c r="J1938" s="4" t="str">
        <f>IF(C1938="","",Order!$N$16)</f>
        <v>ELECT. CHAMPAGNE (FAYH02)</v>
      </c>
      <c r="K1938" s="36">
        <f>IF($C1938="","",_xlfn.XLOOKUP($C1938,Order!$C:$C,Order!$P:$P,"",0,1))</f>
        <v>0</v>
      </c>
      <c r="L1938" s="4">
        <f t="shared" si="30"/>
        <v>0</v>
      </c>
    </row>
    <row r="1939" spans="2:12" ht="23.25" hidden="1" customHeight="1" x14ac:dyDescent="0.25">
      <c r="B1939" s="4">
        <v>1934</v>
      </c>
      <c r="C1939" s="36" t="str">
        <f>IF(Order!$C$225="","",Order!$C$225)</f>
        <v>AL002</v>
      </c>
      <c r="D1939" s="36" t="str">
        <f>IF($C1939="","",_xlfn.XLOOKUP($C1939,Order!$C:$C,Order!$D:$D,"",0,1))</f>
        <v>AL002AL</v>
      </c>
      <c r="E1939" s="4" t="e" vm="409">
        <f>IF($C1939="","",_xlfn.XLOOKUP($C1939,Order!$C:$C,Order!$E:$E,"",0,1))</f>
        <v>#VALUE!</v>
      </c>
      <c r="F1939" s="4">
        <f>IF($C1939="","",_xlfn.XLOOKUP($C1939,Order!$C:$C,Order!$F:$F,"",0,1))</f>
        <v>6000</v>
      </c>
      <c r="G1939" s="4" t="str">
        <f>IF($C1939="","",_xlfn.XLOOKUP($C1939,Order!$C:$C,Order!$G:$G,"",0,1))</f>
        <v>6063T5</v>
      </c>
      <c r="H1939" s="4">
        <f>IF($C1939="","",_xlfn.XLOOKUP($C1939,Order!$C:$C,Order!$H:$H,"",0,1))</f>
        <v>0.17499999999999999</v>
      </c>
      <c r="I1939" s="36">
        <f>IF($C1939="","",_xlfn.XLOOKUP($C1939,Order!$C:$C,Order!$N:$N,"",0,1))</f>
        <v>0</v>
      </c>
      <c r="J1939" s="4" t="str">
        <f>IF(C1939="","",Order!$N$16)</f>
        <v>ELECT. CHAMPAGNE (FAYH02)</v>
      </c>
      <c r="K1939" s="36">
        <f>IF($C1939="","",_xlfn.XLOOKUP($C1939,Order!$C:$C,Order!$P:$P,"",0,1))</f>
        <v>0</v>
      </c>
      <c r="L1939" s="4">
        <f t="shared" si="30"/>
        <v>0</v>
      </c>
    </row>
    <row r="1940" spans="2:12" ht="23.25" hidden="1" customHeight="1" x14ac:dyDescent="0.25">
      <c r="B1940" s="4">
        <v>1935</v>
      </c>
      <c r="C1940" s="36" t="str">
        <f>IF(Order!$C$226="","",Order!$C$226)</f>
        <v>AL 049</v>
      </c>
      <c r="D1940" s="36" t="str">
        <f>IF($C1940="","",_xlfn.XLOOKUP($C1940,Order!$C:$C,Order!$D:$D,"",0,1))</f>
        <v>AL049</v>
      </c>
      <c r="E1940" s="4" t="e" vm="410">
        <f>IF($C1940="","",_xlfn.XLOOKUP($C1940,Order!$C:$C,Order!$E:$E,"",0,1))</f>
        <v>#VALUE!</v>
      </c>
      <c r="F1940" s="4">
        <f>IF($C1940="","",_xlfn.XLOOKUP($C1940,Order!$C:$C,Order!$F:$F,"",0,1))</f>
        <v>6000</v>
      </c>
      <c r="G1940" s="4" t="str">
        <f>IF($C1940="","",_xlfn.XLOOKUP($C1940,Order!$C:$C,Order!$G:$G,"",0,1))</f>
        <v>6063T5</v>
      </c>
      <c r="H1940" s="4">
        <f>IF($C1940="","",_xlfn.XLOOKUP($C1940,Order!$C:$C,Order!$H:$H,"",0,1))</f>
        <v>0.45300000000000001</v>
      </c>
      <c r="I1940" s="36">
        <f>IF($C1940="","",_xlfn.XLOOKUP($C1940,Order!$C:$C,Order!$N:$N,"",0,1))</f>
        <v>0</v>
      </c>
      <c r="J1940" s="4" t="str">
        <f>IF(C1940="","",Order!$N$16)</f>
        <v>ELECT. CHAMPAGNE (FAYH02)</v>
      </c>
      <c r="K1940" s="36">
        <f>IF($C1940="","",_xlfn.XLOOKUP($C1940,Order!$C:$C,Order!$P:$P,"",0,1))</f>
        <v>0</v>
      </c>
      <c r="L1940" s="4">
        <f t="shared" si="30"/>
        <v>0</v>
      </c>
    </row>
    <row r="1941" spans="2:12" ht="23.25" hidden="1" customHeight="1" x14ac:dyDescent="0.25">
      <c r="B1941" s="4">
        <v>1936</v>
      </c>
      <c r="C1941" s="36" t="str">
        <f>IF(Order!$C$227="","",Order!$C$227)</f>
        <v>AL050</v>
      </c>
      <c r="D1941" s="36" t="str">
        <f>IF($C1941="","",_xlfn.XLOOKUP($C1941,Order!$C:$C,Order!$D:$D,"",0,1))</f>
        <v>AL050</v>
      </c>
      <c r="E1941" s="4" t="e" vm="411">
        <f>IF($C1941="","",_xlfn.XLOOKUP($C1941,Order!$C:$C,Order!$E:$E,"",0,1))</f>
        <v>#VALUE!</v>
      </c>
      <c r="F1941" s="4">
        <f>IF($C1941="","",_xlfn.XLOOKUP($C1941,Order!$C:$C,Order!$F:$F,"",0,1))</f>
        <v>6000</v>
      </c>
      <c r="G1941" s="4" t="str">
        <f>IF($C1941="","",_xlfn.XLOOKUP($C1941,Order!$C:$C,Order!$G:$G,"",0,1))</f>
        <v>6063T5</v>
      </c>
      <c r="H1941" s="4">
        <f>IF($C1941="","",_xlfn.XLOOKUP($C1941,Order!$C:$C,Order!$H:$H,"",0,1))</f>
        <v>0.249</v>
      </c>
      <c r="I1941" s="36">
        <f>IF($C1941="","",_xlfn.XLOOKUP($C1941,Order!$C:$C,Order!$N:$N,"",0,1))</f>
        <v>0</v>
      </c>
      <c r="J1941" s="4" t="str">
        <f>IF(C1941="","",Order!$N$16)</f>
        <v>ELECT. CHAMPAGNE (FAYH02)</v>
      </c>
      <c r="K1941" s="36">
        <f>IF($C1941="","",_xlfn.XLOOKUP($C1941,Order!$C:$C,Order!$P:$P,"",0,1))</f>
        <v>0</v>
      </c>
      <c r="L1941" s="4">
        <f t="shared" si="30"/>
        <v>0</v>
      </c>
    </row>
    <row r="1942" spans="2:12" ht="23.25" hidden="1" customHeight="1" x14ac:dyDescent="0.25">
      <c r="B1942" s="4">
        <v>1937</v>
      </c>
      <c r="C1942" s="36" t="str">
        <f>IF(Order!$C$228="","",Order!$C$228)</f>
        <v>AL003L</v>
      </c>
      <c r="D1942" s="36" t="str">
        <f>IF($C1942="","",_xlfn.XLOOKUP($C1942,Order!$C:$C,Order!$D:$D,"",0,1))</f>
        <v>AL003L</v>
      </c>
      <c r="E1942" s="4" t="e" vm="412">
        <f>IF($C1942="","",_xlfn.XLOOKUP($C1942,Order!$C:$C,Order!$E:$E,"",0,1))</f>
        <v>#VALUE!</v>
      </c>
      <c r="F1942" s="4">
        <f>IF($C1942="","",_xlfn.XLOOKUP($C1942,Order!$C:$C,Order!$F:$F,"",0,1))</f>
        <v>6000</v>
      </c>
      <c r="G1942" s="4" t="str">
        <f>IF($C1942="","",_xlfn.XLOOKUP($C1942,Order!$C:$C,Order!$G:$G,"",0,1))</f>
        <v>6063T5</v>
      </c>
      <c r="H1942" s="4">
        <f>IF($C1942="","",_xlfn.XLOOKUP($C1942,Order!$C:$C,Order!$H:$H,"",0,1))</f>
        <v>0.23</v>
      </c>
      <c r="I1942" s="36">
        <f>IF($C1942="","",_xlfn.XLOOKUP($C1942,Order!$C:$C,Order!$N:$N,"",0,1))</f>
        <v>0</v>
      </c>
      <c r="J1942" s="4" t="str">
        <f>IF(C1942="","",Order!$N$16)</f>
        <v>ELECT. CHAMPAGNE (FAYH02)</v>
      </c>
      <c r="K1942" s="36">
        <f>IF($C1942="","",_xlfn.XLOOKUP($C1942,Order!$C:$C,Order!$P:$P,"",0,1))</f>
        <v>0</v>
      </c>
      <c r="L1942" s="4">
        <f t="shared" si="30"/>
        <v>0</v>
      </c>
    </row>
    <row r="1943" spans="2:12" ht="23.25" hidden="1" customHeight="1" x14ac:dyDescent="0.25">
      <c r="B1943" s="4">
        <v>1938</v>
      </c>
      <c r="C1943" s="36" t="str">
        <f>IF(Order!$C$229="","",Order!$C$229)</f>
        <v>MT0066</v>
      </c>
      <c r="D1943" s="36" t="str">
        <f>IF($C1943="","",_xlfn.XLOOKUP($C1943,Order!$C:$C,Order!$D:$D,"",0,1))</f>
        <v>MT0066(PU010)</v>
      </c>
      <c r="E1943" s="4" t="e" vm="413">
        <f>IF($C1943="","",_xlfn.XLOOKUP($C1943,Order!$C:$C,Order!$E:$E,"",0,1))</f>
        <v>#VALUE!</v>
      </c>
      <c r="F1943" s="4">
        <f>IF($C1943="","",_xlfn.XLOOKUP($C1943,Order!$C:$C,Order!$F:$F,"",0,1))</f>
        <v>6000</v>
      </c>
      <c r="G1943" s="4" t="str">
        <f>IF($C1943="","",_xlfn.XLOOKUP($C1943,Order!$C:$C,Order!$G:$G,"",0,1))</f>
        <v>6063T5</v>
      </c>
      <c r="H1943" s="4">
        <f>IF($C1943="","",_xlfn.XLOOKUP($C1943,Order!$C:$C,Order!$H:$H,"",0,1))</f>
        <v>0.11700000000000001</v>
      </c>
      <c r="I1943" s="36">
        <f>IF($C1943="","",_xlfn.XLOOKUP($C1943,Order!$C:$C,Order!$N:$N,"",0,1))</f>
        <v>0</v>
      </c>
      <c r="J1943" s="4" t="str">
        <f>IF(C1943="","",Order!$N$16)</f>
        <v>ELECT. CHAMPAGNE (FAYH02)</v>
      </c>
      <c r="K1943" s="36">
        <f>IF($C1943="","",_xlfn.XLOOKUP($C1943,Order!$C:$C,Order!$P:$P,"",0,1))</f>
        <v>0</v>
      </c>
      <c r="L1943" s="4">
        <f t="shared" si="30"/>
        <v>0</v>
      </c>
    </row>
    <row r="1944" spans="2:12" ht="23.25" hidden="1" customHeight="1" x14ac:dyDescent="0.25">
      <c r="B1944" s="4">
        <v>1939</v>
      </c>
      <c r="C1944" s="36" t="str">
        <f>IF(Order!$C$230="","",Order!$C$230)</f>
        <v>MT0067</v>
      </c>
      <c r="D1944" s="36" t="str">
        <f>IF($C1944="","",_xlfn.XLOOKUP($C1944,Order!$C:$C,Order!$D:$D,"",0,1))</f>
        <v>MT0067(PU008)</v>
      </c>
      <c r="E1944" s="4" t="e" vm="414">
        <f>IF($C1944="","",_xlfn.XLOOKUP($C1944,Order!$C:$C,Order!$E:$E,"",0,1))</f>
        <v>#VALUE!</v>
      </c>
      <c r="F1944" s="4">
        <f>IF($C1944="","",_xlfn.XLOOKUP($C1944,Order!$C:$C,Order!$F:$F,"",0,1))</f>
        <v>6000</v>
      </c>
      <c r="G1944" s="4" t="str">
        <f>IF($C1944="","",_xlfn.XLOOKUP($C1944,Order!$C:$C,Order!$G:$G,"",0,1))</f>
        <v>6063T5</v>
      </c>
      <c r="H1944" s="4">
        <f>IF($C1944="","",_xlfn.XLOOKUP($C1944,Order!$C:$C,Order!$H:$H,"",0,1))</f>
        <v>0.11</v>
      </c>
      <c r="I1944" s="36">
        <f>IF($C1944="","",_xlfn.XLOOKUP($C1944,Order!$C:$C,Order!$N:$N,"",0,1))</f>
        <v>0</v>
      </c>
      <c r="J1944" s="4" t="str">
        <f>IF(C1944="","",Order!$N$16)</f>
        <v>ELECT. CHAMPAGNE (FAYH02)</v>
      </c>
      <c r="K1944" s="36">
        <f>IF($C1944="","",_xlfn.XLOOKUP($C1944,Order!$C:$C,Order!$P:$P,"",0,1))</f>
        <v>0</v>
      </c>
      <c r="L1944" s="4">
        <f t="shared" si="30"/>
        <v>0</v>
      </c>
    </row>
    <row r="1945" spans="2:12" ht="23.25" hidden="1" customHeight="1" x14ac:dyDescent="0.25">
      <c r="B1945" s="4">
        <v>1940</v>
      </c>
      <c r="C1945" s="36" t="str">
        <f>IF(Order!$C$231="","",Order!$C$231)</f>
        <v>MT0080</v>
      </c>
      <c r="D1945" s="36" t="str">
        <f>IF($C1945="","",_xlfn.XLOOKUP($C1945,Order!$C:$C,Order!$D:$D,"",0,1))</f>
        <v>MT0080</v>
      </c>
      <c r="E1945" s="4" t="e" vm="415">
        <f>IF($C1945="","",_xlfn.XLOOKUP($C1945,Order!$C:$C,Order!$E:$E,"",0,1))</f>
        <v>#VALUE!</v>
      </c>
      <c r="F1945" s="4">
        <f>IF($C1945="","",_xlfn.XLOOKUP($C1945,Order!$C:$C,Order!$F:$F,"",0,1))</f>
        <v>6000</v>
      </c>
      <c r="G1945" s="4" t="str">
        <f>IF($C1945="","",_xlfn.XLOOKUP($C1945,Order!$C:$C,Order!$G:$G,"",0,1))</f>
        <v>6063T5</v>
      </c>
      <c r="H1945" s="4">
        <f>IF($C1945="","",_xlfn.XLOOKUP($C1945,Order!$C:$C,Order!$H:$H,"",0,1))</f>
        <v>0.32200000000000001</v>
      </c>
      <c r="I1945" s="36">
        <f>IF($C1945="","",_xlfn.XLOOKUP($C1945,Order!$C:$C,Order!$N:$N,"",0,1))</f>
        <v>0</v>
      </c>
      <c r="J1945" s="4" t="str">
        <f>IF(C1945="","",Order!$N$16)</f>
        <v>ELECT. CHAMPAGNE (FAYH02)</v>
      </c>
      <c r="K1945" s="36">
        <f>IF($C1945="","",_xlfn.XLOOKUP($C1945,Order!$C:$C,Order!$P:$P,"",0,1))</f>
        <v>0</v>
      </c>
      <c r="L1945" s="4">
        <f t="shared" si="30"/>
        <v>0</v>
      </c>
    </row>
    <row r="1946" spans="2:12" ht="23.25" hidden="1" customHeight="1" x14ac:dyDescent="0.25">
      <c r="B1946" s="4">
        <v>1941</v>
      </c>
      <c r="C1946" s="36" t="str">
        <f>IF(Order!$C$232="","",Order!$C$232)</f>
        <v>MT0088</v>
      </c>
      <c r="D1946" s="36" t="str">
        <f>IF($C1946="","",_xlfn.XLOOKUP($C1946,Order!$C:$C,Order!$D:$D,"",0,1))</f>
        <v>MT0088</v>
      </c>
      <c r="E1946" s="4" t="e" vm="416">
        <f>IF($C1946="","",_xlfn.XLOOKUP($C1946,Order!$C:$C,Order!$E:$E,"",0,1))</f>
        <v>#VALUE!</v>
      </c>
      <c r="F1946" s="4">
        <f>IF($C1946="","",_xlfn.XLOOKUP($C1946,Order!$C:$C,Order!$F:$F,"",0,1))</f>
        <v>6000</v>
      </c>
      <c r="G1946" s="4" t="str">
        <f>IF($C1946="","",_xlfn.XLOOKUP($C1946,Order!$C:$C,Order!$G:$G,"",0,1))</f>
        <v>6063T5</v>
      </c>
      <c r="H1946" s="4">
        <f>IF($C1946="","",_xlfn.XLOOKUP($C1946,Order!$C:$C,Order!$H:$H,"",0,1))</f>
        <v>0.26400000000000001</v>
      </c>
      <c r="I1946" s="36">
        <f>IF($C1946="","",_xlfn.XLOOKUP($C1946,Order!$C:$C,Order!$N:$N,"",0,1))</f>
        <v>0</v>
      </c>
      <c r="J1946" s="4" t="str">
        <f>IF(C1946="","",Order!$N$16)</f>
        <v>ELECT. CHAMPAGNE (FAYH02)</v>
      </c>
      <c r="K1946" s="36">
        <f>IF($C1946="","",_xlfn.XLOOKUP($C1946,Order!$C:$C,Order!$P:$P,"",0,1))</f>
        <v>0</v>
      </c>
      <c r="L1946" s="4">
        <f t="shared" si="30"/>
        <v>0</v>
      </c>
    </row>
    <row r="1947" spans="2:12" ht="23.25" hidden="1" customHeight="1" x14ac:dyDescent="0.25">
      <c r="B1947" s="4">
        <v>1942</v>
      </c>
      <c r="C1947" s="36" t="str">
        <f>IF(Order!$C$233="","",Order!$C$233)</f>
        <v>MT0089</v>
      </c>
      <c r="D1947" s="36" t="str">
        <f>IF($C1947="","",_xlfn.XLOOKUP($C1947,Order!$C:$C,Order!$D:$D,"",0,1))</f>
        <v>MT0089</v>
      </c>
      <c r="E1947" s="4" t="e" vm="417">
        <f>IF($C1947="","",_xlfn.XLOOKUP($C1947,Order!$C:$C,Order!$E:$E,"",0,1))</f>
        <v>#VALUE!</v>
      </c>
      <c r="F1947" s="4">
        <f>IF($C1947="","",_xlfn.XLOOKUP($C1947,Order!$C:$C,Order!$F:$F,"",0,1))</f>
        <v>6000</v>
      </c>
      <c r="G1947" s="4" t="str">
        <f>IF($C1947="","",_xlfn.XLOOKUP($C1947,Order!$C:$C,Order!$G:$G,"",0,1))</f>
        <v>6063T5</v>
      </c>
      <c r="H1947" s="4">
        <f>IF($C1947="","",_xlfn.XLOOKUP($C1947,Order!$C:$C,Order!$H:$H,"",0,1))</f>
        <v>7.9000000000000001E-2</v>
      </c>
      <c r="I1947" s="36">
        <f>IF($C1947="","",_xlfn.XLOOKUP($C1947,Order!$C:$C,Order!$N:$N,"",0,1))</f>
        <v>0</v>
      </c>
      <c r="J1947" s="4" t="str">
        <f>IF(C1947="","",Order!$N$16)</f>
        <v>ELECT. CHAMPAGNE (FAYH02)</v>
      </c>
      <c r="K1947" s="36">
        <f>IF($C1947="","",_xlfn.XLOOKUP($C1947,Order!$C:$C,Order!$P:$P,"",0,1))</f>
        <v>0</v>
      </c>
      <c r="L1947" s="4">
        <f t="shared" si="30"/>
        <v>0</v>
      </c>
    </row>
    <row r="1948" spans="2:12" ht="23.25" hidden="1" customHeight="1" x14ac:dyDescent="0.25">
      <c r="B1948" s="4">
        <v>1943</v>
      </c>
      <c r="C1948" s="36" t="str">
        <f>IF(Order!$C$234="","",Order!$C$234)</f>
        <v>MT0090</v>
      </c>
      <c r="D1948" s="36" t="str">
        <f>IF($C1948="","",_xlfn.XLOOKUP($C1948,Order!$C:$C,Order!$D:$D,"",0,1))</f>
        <v>MT0090</v>
      </c>
      <c r="E1948" s="4" t="e" vm="418">
        <f>IF($C1948="","",_xlfn.XLOOKUP($C1948,Order!$C:$C,Order!$E:$E,"",0,1))</f>
        <v>#VALUE!</v>
      </c>
      <c r="F1948" s="4">
        <f>IF($C1948="","",_xlfn.XLOOKUP($C1948,Order!$C:$C,Order!$F:$F,"",0,1))</f>
        <v>6000</v>
      </c>
      <c r="G1948" s="4" t="str">
        <f>IF($C1948="","",_xlfn.XLOOKUP($C1948,Order!$C:$C,Order!$G:$G,"",0,1))</f>
        <v>6063T5</v>
      </c>
      <c r="H1948" s="4">
        <f>IF($C1948="","",_xlfn.XLOOKUP($C1948,Order!$C:$C,Order!$H:$H,"",0,1))</f>
        <v>0.55600000000000005</v>
      </c>
      <c r="I1948" s="36">
        <f>IF($C1948="","",_xlfn.XLOOKUP($C1948,Order!$C:$C,Order!$N:$N,"",0,1))</f>
        <v>0</v>
      </c>
      <c r="J1948" s="4" t="str">
        <f>IF(C1948="","",Order!$N$16)</f>
        <v>ELECT. CHAMPAGNE (FAYH02)</v>
      </c>
      <c r="K1948" s="36">
        <f>IF($C1948="","",_xlfn.XLOOKUP($C1948,Order!$C:$C,Order!$P:$P,"",0,1))</f>
        <v>0</v>
      </c>
      <c r="L1948" s="4">
        <f t="shared" si="30"/>
        <v>0</v>
      </c>
    </row>
    <row r="1949" spans="2:12" ht="23.25" hidden="1" customHeight="1" x14ac:dyDescent="0.25">
      <c r="B1949" s="4">
        <v>1944</v>
      </c>
      <c r="C1949" s="36" t="str">
        <f>IF(Order!$C$235="","",Order!$C$235)</f>
        <v>BX128</v>
      </c>
      <c r="D1949" s="36" t="str">
        <f>IF($C1949="","",_xlfn.XLOOKUP($C1949,Order!$C:$C,Order!$D:$D,"",0,1))</f>
        <v>BX128</v>
      </c>
      <c r="E1949" s="4" t="e" vm="419">
        <f>IF($C1949="","",_xlfn.XLOOKUP($C1949,Order!$C:$C,Order!$E:$E,"",0,1))</f>
        <v>#VALUE!</v>
      </c>
      <c r="F1949" s="4">
        <f>IF($C1949="","",_xlfn.XLOOKUP($C1949,Order!$C:$C,Order!$F:$F,"",0,1))</f>
        <v>6000</v>
      </c>
      <c r="G1949" s="4" t="str">
        <f>IF($C1949="","",_xlfn.XLOOKUP($C1949,Order!$C:$C,Order!$G:$G,"",0,1))</f>
        <v>6063T5</v>
      </c>
      <c r="H1949" s="4">
        <f>IF($C1949="","",_xlfn.XLOOKUP($C1949,Order!$C:$C,Order!$H:$H,"",0,1))</f>
        <v>0.16900000000000001</v>
      </c>
      <c r="I1949" s="36">
        <f>IF($C1949="","",_xlfn.XLOOKUP($C1949,Order!$C:$C,Order!$N:$N,"",0,1))</f>
        <v>0</v>
      </c>
      <c r="J1949" s="4" t="str">
        <f>IF(C1949="","",Order!$N$16)</f>
        <v>ELECT. CHAMPAGNE (FAYH02)</v>
      </c>
      <c r="K1949" s="36">
        <f>IF($C1949="","",_xlfn.XLOOKUP($C1949,Order!$C:$C,Order!$P:$P,"",0,1))</f>
        <v>0</v>
      </c>
      <c r="L1949" s="4">
        <f t="shared" si="30"/>
        <v>0</v>
      </c>
    </row>
    <row r="1950" spans="2:12" ht="23.25" hidden="1" customHeight="1" x14ac:dyDescent="0.25">
      <c r="B1950" s="4">
        <v>1945</v>
      </c>
      <c r="C1950" s="36" t="str">
        <f>IF(Order!$C$236="","",Order!$C$236)</f>
        <v>BX626</v>
      </c>
      <c r="D1950" s="36" t="str">
        <f>IF($C1950="","",_xlfn.XLOOKUP($C1950,Order!$C:$C,Order!$D:$D,"",0,1))</f>
        <v>BX626</v>
      </c>
      <c r="E1950" s="4" t="e" vm="420">
        <f>IF($C1950="","",_xlfn.XLOOKUP($C1950,Order!$C:$C,Order!$E:$E,"",0,1))</f>
        <v>#VALUE!</v>
      </c>
      <c r="F1950" s="4">
        <f>IF($C1950="","",_xlfn.XLOOKUP($C1950,Order!$C:$C,Order!$F:$F,"",0,1))</f>
        <v>6000</v>
      </c>
      <c r="G1950" s="4" t="str">
        <f>IF($C1950="","",_xlfn.XLOOKUP($C1950,Order!$C:$C,Order!$G:$G,"",0,1))</f>
        <v>6063T5</v>
      </c>
      <c r="H1950" s="4">
        <f>IF($C1950="","",_xlfn.XLOOKUP($C1950,Order!$C:$C,Order!$H:$H,"",0,1))</f>
        <v>0.13800000000000001</v>
      </c>
      <c r="I1950" s="36">
        <f>IF($C1950="","",_xlfn.XLOOKUP($C1950,Order!$C:$C,Order!$N:$N,"",0,1))</f>
        <v>0</v>
      </c>
      <c r="J1950" s="4" t="str">
        <f>IF(C1950="","",Order!$N$16)</f>
        <v>ELECT. CHAMPAGNE (FAYH02)</v>
      </c>
      <c r="K1950" s="36">
        <f>IF($C1950="","",_xlfn.XLOOKUP($C1950,Order!$C:$C,Order!$P:$P,"",0,1))</f>
        <v>0</v>
      </c>
      <c r="L1950" s="4">
        <f t="shared" si="30"/>
        <v>0</v>
      </c>
    </row>
    <row r="1951" spans="2:12" ht="23.25" hidden="1" customHeight="1" x14ac:dyDescent="0.25">
      <c r="B1951" s="4">
        <v>1946</v>
      </c>
      <c r="C1951" s="36" t="str">
        <f>IF(Order!$C$237="","",Order!$C$237)</f>
        <v>BT807</v>
      </c>
      <c r="D1951" s="36" t="str">
        <f>IF($C1951="","",_xlfn.XLOOKUP($C1951,Order!$C:$C,Order!$D:$D,"",0,1))</f>
        <v>BT807</v>
      </c>
      <c r="E1951" s="4" t="e" vm="421">
        <f>IF($C1951="","",_xlfn.XLOOKUP($C1951,Order!$C:$C,Order!$E:$E,"",0,1))</f>
        <v>#VALUE!</v>
      </c>
      <c r="F1951" s="4">
        <f>IF($C1951="","",_xlfn.XLOOKUP($C1951,Order!$C:$C,Order!$F:$F,"",0,1))</f>
        <v>6000</v>
      </c>
      <c r="G1951" s="4" t="str">
        <f>IF($C1951="","",_xlfn.XLOOKUP($C1951,Order!$C:$C,Order!$G:$G,"",0,1))</f>
        <v>6063T5</v>
      </c>
      <c r="H1951" s="4">
        <f>IF($C1951="","",_xlfn.XLOOKUP($C1951,Order!$C:$C,Order!$H:$H,"",0,1))</f>
        <v>0.153</v>
      </c>
      <c r="I1951" s="36">
        <f>IF($C1951="","",_xlfn.XLOOKUP($C1951,Order!$C:$C,Order!$N:$N,"",0,1))</f>
        <v>0</v>
      </c>
      <c r="J1951" s="4" t="str">
        <f>IF(C1951="","",Order!$N$16)</f>
        <v>ELECT. CHAMPAGNE (FAYH02)</v>
      </c>
      <c r="K1951" s="36">
        <f>IF($C1951="","",_xlfn.XLOOKUP($C1951,Order!$C:$C,Order!$P:$P,"",0,1))</f>
        <v>0</v>
      </c>
      <c r="L1951" s="4">
        <f t="shared" si="30"/>
        <v>0</v>
      </c>
    </row>
    <row r="1952" spans="2:12" ht="23.25" hidden="1" customHeight="1" x14ac:dyDescent="0.25">
      <c r="B1952" s="4">
        <v>1947</v>
      </c>
      <c r="C1952" s="36" t="str">
        <f>IF(Order!$C$238="","",Order!$C$238)</f>
        <v>BX013</v>
      </c>
      <c r="D1952" s="36" t="str">
        <f>IF($C1952="","",_xlfn.XLOOKUP($C1952,Order!$C:$C,Order!$D:$D,"",0,1))</f>
        <v>BX013</v>
      </c>
      <c r="E1952" s="4" t="e" vm="422">
        <f>IF($C1952="","",_xlfn.XLOOKUP($C1952,Order!$C:$C,Order!$E:$E,"",0,1))</f>
        <v>#VALUE!</v>
      </c>
      <c r="F1952" s="4">
        <f>IF($C1952="","",_xlfn.XLOOKUP($C1952,Order!$C:$C,Order!$F:$F,"",0,1))</f>
        <v>6000</v>
      </c>
      <c r="G1952" s="4" t="str">
        <f>IF($C1952="","",_xlfn.XLOOKUP($C1952,Order!$C:$C,Order!$G:$G,"",0,1))</f>
        <v>6063T5</v>
      </c>
      <c r="H1952" s="4">
        <f>IF($C1952="","",_xlfn.XLOOKUP($C1952,Order!$C:$C,Order!$H:$H,"",0,1))</f>
        <v>0</v>
      </c>
      <c r="I1952" s="36">
        <f>IF($C1952="","",_xlfn.XLOOKUP($C1952,Order!$C:$C,Order!$N:$N,"",0,1))</f>
        <v>0</v>
      </c>
      <c r="J1952" s="4" t="str">
        <f>IF(C1952="","",Order!$N$16)</f>
        <v>ELECT. CHAMPAGNE (FAYH02)</v>
      </c>
      <c r="K1952" s="36">
        <f>IF($C1952="","",_xlfn.XLOOKUP($C1952,Order!$C:$C,Order!$P:$P,"",0,1))</f>
        <v>0</v>
      </c>
      <c r="L1952" s="4">
        <f t="shared" si="30"/>
        <v>0</v>
      </c>
    </row>
    <row r="1953" spans="2:12" ht="23.25" hidden="1" customHeight="1" x14ac:dyDescent="0.25">
      <c r="B1953" s="4">
        <v>1948</v>
      </c>
      <c r="C1953" s="36" t="str">
        <f>IF(Order!$C$239="","",Order!$C$239)</f>
        <v>BX014</v>
      </c>
      <c r="D1953" s="36" t="str">
        <f>IF($C1953="","",_xlfn.XLOOKUP($C1953,Order!$C:$C,Order!$D:$D,"",0,1))</f>
        <v>BX014</v>
      </c>
      <c r="E1953" s="4" t="e" vm="423">
        <f>IF($C1953="","",_xlfn.XLOOKUP($C1953,Order!$C:$C,Order!$E:$E,"",0,1))</f>
        <v>#VALUE!</v>
      </c>
      <c r="F1953" s="4">
        <f>IF($C1953="","",_xlfn.XLOOKUP($C1953,Order!$C:$C,Order!$F:$F,"",0,1))</f>
        <v>6000</v>
      </c>
      <c r="G1953" s="4" t="str">
        <f>IF($C1953="","",_xlfn.XLOOKUP($C1953,Order!$C:$C,Order!$G:$G,"",0,1))</f>
        <v>6063T5</v>
      </c>
      <c r="H1953" s="4">
        <f>IF($C1953="","",_xlfn.XLOOKUP($C1953,Order!$C:$C,Order!$H:$H,"",0,1))</f>
        <v>0</v>
      </c>
      <c r="I1953" s="36">
        <f>IF($C1953="","",_xlfn.XLOOKUP($C1953,Order!$C:$C,Order!$N:$N,"",0,1))</f>
        <v>0</v>
      </c>
      <c r="J1953" s="4" t="str">
        <f>IF(C1953="","",Order!$N$16)</f>
        <v>ELECT. CHAMPAGNE (FAYH02)</v>
      </c>
      <c r="K1953" s="36">
        <f>IF($C1953="","",_xlfn.XLOOKUP($C1953,Order!$C:$C,Order!$P:$P,"",0,1))</f>
        <v>0</v>
      </c>
      <c r="L1953" s="4">
        <f t="shared" si="30"/>
        <v>0</v>
      </c>
    </row>
    <row r="1954" spans="2:12" ht="23.25" hidden="1" customHeight="1" x14ac:dyDescent="0.25">
      <c r="B1954" s="4">
        <v>1949</v>
      </c>
      <c r="C1954" s="36" t="str">
        <f>IF(Order!$C$240="","",Order!$C$240)</f>
        <v>BX016</v>
      </c>
      <c r="D1954" s="36" t="str">
        <f>IF($C1954="","",_xlfn.XLOOKUP($C1954,Order!$C:$C,Order!$D:$D,"",0,1))</f>
        <v>BX016</v>
      </c>
      <c r="E1954" s="4" t="e" vm="424">
        <f>IF($C1954="","",_xlfn.XLOOKUP($C1954,Order!$C:$C,Order!$E:$E,"",0,1))</f>
        <v>#VALUE!</v>
      </c>
      <c r="F1954" s="4">
        <f>IF($C1954="","",_xlfn.XLOOKUP($C1954,Order!$C:$C,Order!$F:$F,"",0,1))</f>
        <v>6000</v>
      </c>
      <c r="G1954" s="4" t="str">
        <f>IF($C1954="","",_xlfn.XLOOKUP($C1954,Order!$C:$C,Order!$G:$G,"",0,1))</f>
        <v>6063T5</v>
      </c>
      <c r="H1954" s="4">
        <f>IF($C1954="","",_xlfn.XLOOKUP($C1954,Order!$C:$C,Order!$H:$H,"",0,1))</f>
        <v>0</v>
      </c>
      <c r="I1954" s="36">
        <f>IF($C1954="","",_xlfn.XLOOKUP($C1954,Order!$C:$C,Order!$N:$N,"",0,1))</f>
        <v>0</v>
      </c>
      <c r="J1954" s="4" t="str">
        <f>IF(C1954="","",Order!$N$16)</f>
        <v>ELECT. CHAMPAGNE (FAYH02)</v>
      </c>
      <c r="K1954" s="36">
        <f>IF($C1954="","",_xlfn.XLOOKUP($C1954,Order!$C:$C,Order!$P:$P,"",0,1))</f>
        <v>0</v>
      </c>
      <c r="L1954" s="4">
        <f t="shared" si="30"/>
        <v>0</v>
      </c>
    </row>
    <row r="1955" spans="2:12" ht="23.25" hidden="1" customHeight="1" x14ac:dyDescent="0.25">
      <c r="B1955" s="4">
        <v>1950</v>
      </c>
      <c r="C1955" s="36" t="str">
        <f>IF(Order!$C$241="","",Order!$C$241)</f>
        <v>MT0079 (Infeiror de engenharia 10 mm)</v>
      </c>
      <c r="D1955" s="36" t="str">
        <f>IF($C1955="","",_xlfn.XLOOKUP($C1955,Order!$C:$C,Order!$D:$D,"",0,1))</f>
        <v>MT0079</v>
      </c>
      <c r="E1955" s="4" t="e" vm="425">
        <f>IF($C1955="","",_xlfn.XLOOKUP($C1955,Order!$C:$C,Order!$E:$E,"",0,1))</f>
        <v>#VALUE!</v>
      </c>
      <c r="F1955" s="4">
        <f>IF($C1955="","",_xlfn.XLOOKUP($C1955,Order!$C:$C,Order!$F:$F,"",0,1))</f>
        <v>6000</v>
      </c>
      <c r="G1955" s="4" t="str">
        <f>IF($C1955="","",_xlfn.XLOOKUP($C1955,Order!$C:$C,Order!$G:$G,"",0,1))</f>
        <v>6063T5</v>
      </c>
      <c r="H1955" s="4">
        <f>IF($C1955="","",_xlfn.XLOOKUP($C1955,Order!$C:$C,Order!$H:$H,"",0,1))</f>
        <v>0.439</v>
      </c>
      <c r="I1955" s="36">
        <f>IF($C1955="","",_xlfn.XLOOKUP($C1955,Order!$C:$C,Order!$N:$N,"",0,1))</f>
        <v>0</v>
      </c>
      <c r="J1955" s="4" t="str">
        <f>IF(C1955="","",Order!$N$16)</f>
        <v>ELECT. CHAMPAGNE (FAYH02)</v>
      </c>
      <c r="K1955" s="36">
        <f>IF($C1955="","",_xlfn.XLOOKUP($C1955,Order!$C:$C,Order!$P:$P,"",0,1))</f>
        <v>0</v>
      </c>
      <c r="L1955" s="4">
        <f t="shared" si="30"/>
        <v>0</v>
      </c>
    </row>
    <row r="1956" spans="2:12" ht="23.25" hidden="1" customHeight="1" x14ac:dyDescent="0.25">
      <c r="B1956" s="4">
        <v>1951</v>
      </c>
      <c r="C1956" s="36" t="str">
        <f>IF(Order!$C$242="","",Order!$C$242)</f>
        <v>MT0092 (Inferior engenharia de 10mm)</v>
      </c>
      <c r="D1956" s="36" t="str">
        <f>IF($C1956="","",_xlfn.XLOOKUP($C1956,Order!$C:$C,Order!$D:$D,"",0,1))</f>
        <v>MT0092</v>
      </c>
      <c r="E1956" s="4" t="e" vm="426">
        <f>IF($C1956="","",_xlfn.XLOOKUP($C1956,Order!$C:$C,Order!$E:$E,"",0,1))</f>
        <v>#VALUE!</v>
      </c>
      <c r="F1956" s="4">
        <f>IF($C1956="","",_xlfn.XLOOKUP($C1956,Order!$C:$C,Order!$F:$F,"",0,1))</f>
        <v>6000</v>
      </c>
      <c r="G1956" s="4" t="str">
        <f>IF($C1956="","",_xlfn.XLOOKUP($C1956,Order!$C:$C,Order!$G:$G,"",0,1))</f>
        <v>6063T5</v>
      </c>
      <c r="H1956" s="4">
        <f>IF($C1956="","",_xlfn.XLOOKUP($C1956,Order!$C:$C,Order!$H:$H,"",0,1))</f>
        <v>0.39700000000000002</v>
      </c>
      <c r="I1956" s="36">
        <f>IF($C1956="","",_xlfn.XLOOKUP($C1956,Order!$C:$C,Order!$N:$N,"",0,1))</f>
        <v>0</v>
      </c>
      <c r="J1956" s="4" t="str">
        <f>IF(C1956="","",Order!$N$16)</f>
        <v>ELECT. CHAMPAGNE (FAYH02)</v>
      </c>
      <c r="K1956" s="36">
        <f>IF($C1956="","",_xlfn.XLOOKUP($C1956,Order!$C:$C,Order!$P:$P,"",0,1))</f>
        <v>0</v>
      </c>
      <c r="L1956" s="4">
        <f t="shared" si="30"/>
        <v>0</v>
      </c>
    </row>
    <row r="1957" spans="2:12" ht="23.25" hidden="1" customHeight="1" x14ac:dyDescent="0.25">
      <c r="B1957" s="4">
        <v>1952</v>
      </c>
      <c r="C1957" s="36" t="str">
        <f>IF(Order!$C$243="","",Order!$C$243)</f>
        <v>MT0093 (Superior engenharia 10 mm)</v>
      </c>
      <c r="D1957" s="36" t="str">
        <f>IF($C1957="","",_xlfn.XLOOKUP($C1957,Order!$C:$C,Order!$D:$D,"",0,1))</f>
        <v>MT0093</v>
      </c>
      <c r="E1957" s="4" t="e" vm="427">
        <f>IF($C1957="","",_xlfn.XLOOKUP($C1957,Order!$C:$C,Order!$E:$E,"",0,1))</f>
        <v>#VALUE!</v>
      </c>
      <c r="F1957" s="4">
        <f>IF($C1957="","",_xlfn.XLOOKUP($C1957,Order!$C:$C,Order!$F:$F,"",0,1))</f>
        <v>6000</v>
      </c>
      <c r="G1957" s="4" t="str">
        <f>IF($C1957="","",_xlfn.XLOOKUP($C1957,Order!$C:$C,Order!$G:$G,"",0,1))</f>
        <v>6063T5</v>
      </c>
      <c r="H1957" s="4">
        <f>IF($C1957="","",_xlfn.XLOOKUP($C1957,Order!$C:$C,Order!$H:$H,"",0,1))</f>
        <v>0.70499999999999996</v>
      </c>
      <c r="I1957" s="36">
        <f>IF($C1957="","",_xlfn.XLOOKUP($C1957,Order!$C:$C,Order!$N:$N,"",0,1))</f>
        <v>0</v>
      </c>
      <c r="J1957" s="4" t="str">
        <f>IF(C1957="","",Order!$N$16)</f>
        <v>ELECT. CHAMPAGNE (FAYH02)</v>
      </c>
      <c r="K1957" s="36">
        <f>IF($C1957="","",_xlfn.XLOOKUP($C1957,Order!$C:$C,Order!$P:$P,"",0,1))</f>
        <v>0</v>
      </c>
      <c r="L1957" s="4">
        <f t="shared" si="30"/>
        <v>0</v>
      </c>
    </row>
    <row r="1958" spans="2:12" ht="23.25" hidden="1" customHeight="1" x14ac:dyDescent="0.25">
      <c r="B1958" s="4">
        <v>1953</v>
      </c>
      <c r="C1958" s="36" t="str">
        <f>IF(Order!$C$244="","",Order!$C$244)</f>
        <v>MT0094 (Capa engenharia de 10 mm)</v>
      </c>
      <c r="D1958" s="36" t="str">
        <f>IF($C1958="","",_xlfn.XLOOKUP($C1958,Order!$C:$C,Order!$D:$D,"",0,1))</f>
        <v>MT0094</v>
      </c>
      <c r="E1958" s="4" t="e" vm="428">
        <f>IF($C1958="","",_xlfn.XLOOKUP($C1958,Order!$C:$C,Order!$E:$E,"",0,1))</f>
        <v>#VALUE!</v>
      </c>
      <c r="F1958" s="4">
        <f>IF($C1958="","",_xlfn.XLOOKUP($C1958,Order!$C:$C,Order!$F:$F,"",0,1))</f>
        <v>6000</v>
      </c>
      <c r="G1958" s="4" t="str">
        <f>IF($C1958="","",_xlfn.XLOOKUP($C1958,Order!$C:$C,Order!$G:$G,"",0,1))</f>
        <v>6063T5</v>
      </c>
      <c r="H1958" s="4">
        <f>IF($C1958="","",_xlfn.XLOOKUP($C1958,Order!$C:$C,Order!$H:$H,"",0,1))</f>
        <v>0.29399999999999998</v>
      </c>
      <c r="I1958" s="36">
        <f>IF($C1958="","",_xlfn.XLOOKUP($C1958,Order!$C:$C,Order!$N:$N,"",0,1))</f>
        <v>0</v>
      </c>
      <c r="J1958" s="4" t="str">
        <f>IF(C1958="","",Order!$N$16)</f>
        <v>ELECT. CHAMPAGNE (FAYH02)</v>
      </c>
      <c r="K1958" s="36">
        <f>IF($C1958="","",_xlfn.XLOOKUP($C1958,Order!$C:$C,Order!$P:$P,"",0,1))</f>
        <v>0</v>
      </c>
      <c r="L1958" s="4">
        <f t="shared" si="30"/>
        <v>0</v>
      </c>
    </row>
    <row r="1959" spans="2:12" ht="23.25" hidden="1" customHeight="1" x14ac:dyDescent="0.25">
      <c r="B1959" s="4">
        <v>1954</v>
      </c>
      <c r="C1959" s="36" t="str">
        <f>IF(Order!$C$245="","",Order!$C$245)</f>
        <v>MT0095 (BX330-Click Engenharia de 10 mm)</v>
      </c>
      <c r="D1959" s="36" t="str">
        <f>IF($C1959="","",_xlfn.XLOOKUP($C1959,Order!$C:$C,Order!$D:$D,"",0,1))</f>
        <v>MT0095</v>
      </c>
      <c r="E1959" s="4" t="e" vm="429">
        <f>IF($C1959="","",_xlfn.XLOOKUP($C1959,Order!$C:$C,Order!$E:$E,"",0,1))</f>
        <v>#VALUE!</v>
      </c>
      <c r="F1959" s="4">
        <f>IF($C1959="","",_xlfn.XLOOKUP($C1959,Order!$C:$C,Order!$F:$F,"",0,1))</f>
        <v>6000</v>
      </c>
      <c r="G1959" s="4" t="str">
        <f>IF($C1959="","",_xlfn.XLOOKUP($C1959,Order!$C:$C,Order!$G:$G,"",0,1))</f>
        <v>6063T5</v>
      </c>
      <c r="H1959" s="4">
        <f>IF($C1959="","",_xlfn.XLOOKUP($C1959,Order!$C:$C,Order!$H:$H,"",0,1))</f>
        <v>8.6999999999999994E-2</v>
      </c>
      <c r="I1959" s="36">
        <f>IF($C1959="","",_xlfn.XLOOKUP($C1959,Order!$C:$C,Order!$N:$N,"",0,1))</f>
        <v>0</v>
      </c>
      <c r="J1959" s="4" t="str">
        <f>IF(C1959="","",Order!$N$16)</f>
        <v>ELECT. CHAMPAGNE (FAYH02)</v>
      </c>
      <c r="K1959" s="36">
        <f>IF($C1959="","",_xlfn.XLOOKUP($C1959,Order!$C:$C,Order!$P:$P,"",0,1))</f>
        <v>0</v>
      </c>
      <c r="L1959" s="4">
        <f t="shared" si="30"/>
        <v>0</v>
      </c>
    </row>
    <row r="1960" spans="2:12" ht="23.25" hidden="1" customHeight="1" x14ac:dyDescent="0.25">
      <c r="B1960" s="4">
        <v>1955</v>
      </c>
      <c r="C1960" s="36" t="str">
        <f>IF(Order!$C$246="","",Order!$C$246)</f>
        <v>BX054 (Inferior simples 10mm)</v>
      </c>
      <c r="D1960" s="36" t="str">
        <f>IF($C1960="","",_xlfn.XLOOKUP($C1960,Order!$C:$C,Order!$D:$D,"",0,1))</f>
        <v>BX054</v>
      </c>
      <c r="E1960" s="4" t="e" vm="430">
        <f>IF($C1960="","",_xlfn.XLOOKUP($C1960,Order!$C:$C,Order!$E:$E,"",0,1))</f>
        <v>#VALUE!</v>
      </c>
      <c r="F1960" s="4">
        <f>IF($C1960="","",_xlfn.XLOOKUP($C1960,Order!$C:$C,Order!$F:$F,"",0,1))</f>
        <v>6000</v>
      </c>
      <c r="G1960" s="4" t="str">
        <f>IF($C1960="","",_xlfn.XLOOKUP($C1960,Order!$C:$C,Order!$G:$G,"",0,1))</f>
        <v>6063T5</v>
      </c>
      <c r="H1960" s="4">
        <f>IF($C1960="","",_xlfn.XLOOKUP($C1960,Order!$C:$C,Order!$H:$H,"",0,1))</f>
        <v>0.28799999999999998</v>
      </c>
      <c r="I1960" s="36">
        <f>IF($C1960="","",_xlfn.XLOOKUP($C1960,Order!$C:$C,Order!$N:$N,"",0,1))</f>
        <v>0</v>
      </c>
      <c r="J1960" s="4" t="str">
        <f>IF(C1960="","",Order!$N$16)</f>
        <v>ELECT. CHAMPAGNE (FAYH02)</v>
      </c>
      <c r="K1960" s="36">
        <f>IF($C1960="","",_xlfn.XLOOKUP($C1960,Order!$C:$C,Order!$P:$P,"",0,1))</f>
        <v>0</v>
      </c>
      <c r="L1960" s="4">
        <f t="shared" si="30"/>
        <v>0</v>
      </c>
    </row>
    <row r="1961" spans="2:12" ht="23.25" hidden="1" customHeight="1" x14ac:dyDescent="0.25">
      <c r="B1961" s="4">
        <v>1956</v>
      </c>
      <c r="C1961" s="36" t="str">
        <f>IF(Order!$C$247="","",Order!$C$247)</f>
        <v>BX130</v>
      </c>
      <c r="D1961" s="36" t="str">
        <f>IF($C1961="","",_xlfn.XLOOKUP($C1961,Order!$C:$C,Order!$D:$D,"",0,1))</f>
        <v>BX130</v>
      </c>
      <c r="E1961" s="4" t="e" vm="431">
        <f>IF($C1961="","",_xlfn.XLOOKUP($C1961,Order!$C:$C,Order!$E:$E,"",0,1))</f>
        <v>#VALUE!</v>
      </c>
      <c r="F1961" s="4">
        <f>IF($C1961="","",_xlfn.XLOOKUP($C1961,Order!$C:$C,Order!$F:$F,"",0,1))</f>
        <v>6000</v>
      </c>
      <c r="G1961" s="4" t="str">
        <f>IF($C1961="","",_xlfn.XLOOKUP($C1961,Order!$C:$C,Order!$G:$G,"",0,1))</f>
        <v>6063T5</v>
      </c>
      <c r="H1961" s="4">
        <f>IF($C1961="","",_xlfn.XLOOKUP($C1961,Order!$C:$C,Order!$H:$H,"",0,1))</f>
        <v>0.14199999999999999</v>
      </c>
      <c r="I1961" s="36">
        <f>IF($C1961="","",_xlfn.XLOOKUP($C1961,Order!$C:$C,Order!$N:$N,"",0,1))</f>
        <v>0</v>
      </c>
      <c r="J1961" s="4" t="str">
        <f>IF(C1961="","",Order!$N$16)</f>
        <v>ELECT. CHAMPAGNE (FAYH02)</v>
      </c>
      <c r="K1961" s="36">
        <f>IF($C1961="","",_xlfn.XLOOKUP($C1961,Order!$C:$C,Order!$P:$P,"",0,1))</f>
        <v>0</v>
      </c>
      <c r="L1961" s="4">
        <f t="shared" si="30"/>
        <v>0</v>
      </c>
    </row>
    <row r="1962" spans="2:12" ht="23.25" hidden="1" customHeight="1" x14ac:dyDescent="0.25">
      <c r="B1962" s="4">
        <v>1957</v>
      </c>
      <c r="C1962" s="36" t="str">
        <f>IF(Order!$C$248="","",Order!$C$248)</f>
        <v>BX238</v>
      </c>
      <c r="D1962" s="36" t="str">
        <f>IF($C1962="","",_xlfn.XLOOKUP($C1962,Order!$C:$C,Order!$D:$D,"",0,1))</f>
        <v>BX238</v>
      </c>
      <c r="E1962" s="4" t="e" vm="432">
        <f>IF($C1962="","",_xlfn.XLOOKUP($C1962,Order!$C:$C,Order!$E:$E,"",0,1))</f>
        <v>#VALUE!</v>
      </c>
      <c r="F1962" s="4">
        <f>IF($C1962="","",_xlfn.XLOOKUP($C1962,Order!$C:$C,Order!$F:$F,"",0,1))</f>
        <v>6000</v>
      </c>
      <c r="G1962" s="4" t="str">
        <f>IF($C1962="","",_xlfn.XLOOKUP($C1962,Order!$C:$C,Order!$G:$G,"",0,1))</f>
        <v>6063T5</v>
      </c>
      <c r="H1962" s="4">
        <f>IF($C1962="","",_xlfn.XLOOKUP($C1962,Order!$C:$C,Order!$H:$H,"",0,1))</f>
        <v>0.35699999999999998</v>
      </c>
      <c r="I1962" s="36">
        <f>IF($C1962="","",_xlfn.XLOOKUP($C1962,Order!$C:$C,Order!$N:$N,"",0,1))</f>
        <v>0</v>
      </c>
      <c r="J1962" s="4" t="str">
        <f>IF(C1962="","",Order!$N$16)</f>
        <v>ELECT. CHAMPAGNE (FAYH02)</v>
      </c>
      <c r="K1962" s="36">
        <f>IF($C1962="","",_xlfn.XLOOKUP($C1962,Order!$C:$C,Order!$P:$P,"",0,1))</f>
        <v>0</v>
      </c>
      <c r="L1962" s="4">
        <f t="shared" si="30"/>
        <v>0</v>
      </c>
    </row>
    <row r="1963" spans="2:12" ht="23.25" hidden="1" customHeight="1" x14ac:dyDescent="0.25">
      <c r="B1963" s="4">
        <v>1958</v>
      </c>
      <c r="C1963" s="36" t="str">
        <f>IF(Order!$C$249="","",Order!$C$249)</f>
        <v/>
      </c>
      <c r="D1963" s="36" t="str">
        <f>IF($C1963="","",_xlfn.XLOOKUP($C1963,Order!$C:$C,Order!$D:$D,"",0,1))</f>
        <v/>
      </c>
      <c r="E1963" s="4" t="str">
        <f>IF($C1963="","",_xlfn.XLOOKUP($C1963,Order!$C:$C,Order!$E:$E,"",0,1))</f>
        <v/>
      </c>
      <c r="F1963" s="4" t="str">
        <f>IF($C1963="","",_xlfn.XLOOKUP($C1963,Order!$C:$C,Order!$F:$F,"",0,1))</f>
        <v/>
      </c>
      <c r="G1963" s="4" t="str">
        <f>IF($C1963="","",_xlfn.XLOOKUP($C1963,Order!$C:$C,Order!$G:$G,"",0,1))</f>
        <v/>
      </c>
      <c r="H1963" s="4" t="str">
        <f>IF($C1963="","",_xlfn.XLOOKUP($C1963,Order!$C:$C,Order!$H:$H,"",0,1))</f>
        <v/>
      </c>
      <c r="I1963" s="36" t="str">
        <f>IF($C1963="","",_xlfn.XLOOKUP($C1963,Order!$C:$C,Order!$N:$N,"",0,1))</f>
        <v/>
      </c>
      <c r="J1963" s="4" t="str">
        <f>IF(C1963="","",Order!$N$16)</f>
        <v/>
      </c>
      <c r="K1963" s="36" t="str">
        <f>IF($C1963="","",_xlfn.XLOOKUP($C1963,Order!$C:$C,Order!$P:$P,"",0,1))</f>
        <v/>
      </c>
      <c r="L1963" s="4" t="str">
        <f t="shared" si="30"/>
        <v/>
      </c>
    </row>
    <row r="1964" spans="2:12" ht="23.25" hidden="1" customHeight="1" x14ac:dyDescent="0.25">
      <c r="B1964" s="4">
        <v>1959</v>
      </c>
      <c r="C1964" s="36" t="str">
        <f>IF(Order!$C$250="","",Order!$C$250)</f>
        <v>KP062</v>
      </c>
      <c r="D1964" s="36" t="str">
        <f>IF($C1964="","",_xlfn.XLOOKUP($C1964,Order!$C:$C,Order!$D:$D,"",0,1))</f>
        <v>KP062</v>
      </c>
      <c r="E1964" s="4" t="e" vm="433">
        <f>IF($C1964="","",_xlfn.XLOOKUP($C1964,Order!$C:$C,Order!$E:$E,"",0,1))</f>
        <v>#VALUE!</v>
      </c>
      <c r="F1964" s="4">
        <f>IF($C1964="","",_xlfn.XLOOKUP($C1964,Order!$C:$C,Order!$F:$F,"",0,1))</f>
        <v>6000</v>
      </c>
      <c r="G1964" s="4" t="str">
        <f>IF($C1964="","",_xlfn.XLOOKUP($C1964,Order!$C:$C,Order!$G:$G,"",0,1))</f>
        <v>6063T5</v>
      </c>
      <c r="H1964" s="4">
        <f>IF($C1964="","",_xlfn.XLOOKUP($C1964,Order!$C:$C,Order!$H:$H,"",0,1))</f>
        <v>0.17499999999999999</v>
      </c>
      <c r="I1964" s="36">
        <f>IF($C1964="","",_xlfn.XLOOKUP($C1964,Order!$C:$C,Order!$N:$N,"",0,1))</f>
        <v>0</v>
      </c>
      <c r="J1964" s="4" t="str">
        <f>IF(C1964="","",Order!$N$16)</f>
        <v>ELECT. CHAMPAGNE (FAYH02)</v>
      </c>
      <c r="K1964" s="36">
        <f>IF($C1964="","",_xlfn.XLOOKUP($C1964,Order!$C:$C,Order!$P:$P,"",0,1))</f>
        <v>0</v>
      </c>
      <c r="L1964" s="4">
        <f t="shared" si="30"/>
        <v>0</v>
      </c>
    </row>
    <row r="1965" spans="2:12" ht="23.25" hidden="1" customHeight="1" x14ac:dyDescent="0.25">
      <c r="B1965" s="4">
        <v>1960</v>
      </c>
      <c r="C1965" s="36" t="str">
        <f>IF(Order!$C$251="","",Order!$C$251)</f>
        <v>KP063</v>
      </c>
      <c r="D1965" s="36" t="str">
        <f>IF($C1965="","",_xlfn.XLOOKUP($C1965,Order!$C:$C,Order!$D:$D,"",0,1))</f>
        <v>KP063</v>
      </c>
      <c r="E1965" s="4" t="e" vm="434">
        <f>IF($C1965="","",_xlfn.XLOOKUP($C1965,Order!$C:$C,Order!$E:$E,"",0,1))</f>
        <v>#VALUE!</v>
      </c>
      <c r="F1965" s="4">
        <f>IF($C1965="","",_xlfn.XLOOKUP($C1965,Order!$C:$C,Order!$F:$F,"",0,1))</f>
        <v>6000</v>
      </c>
      <c r="G1965" s="4" t="str">
        <f>IF($C1965="","",_xlfn.XLOOKUP($C1965,Order!$C:$C,Order!$G:$G,"",0,1))</f>
        <v>6063T5</v>
      </c>
      <c r="H1965" s="4">
        <f>IF($C1965="","",_xlfn.XLOOKUP($C1965,Order!$C:$C,Order!$H:$H,"",0,1))</f>
        <v>0.30199999999999999</v>
      </c>
      <c r="I1965" s="36">
        <f>IF($C1965="","",_xlfn.XLOOKUP($C1965,Order!$C:$C,Order!$N:$N,"",0,1))</f>
        <v>0</v>
      </c>
      <c r="J1965" s="4" t="str">
        <f>IF(C1965="","",Order!$N$16)</f>
        <v>ELECT. CHAMPAGNE (FAYH02)</v>
      </c>
      <c r="K1965" s="36">
        <f>IF($C1965="","",_xlfn.XLOOKUP($C1965,Order!$C:$C,Order!$P:$P,"",0,1))</f>
        <v>0</v>
      </c>
      <c r="L1965" s="4">
        <f t="shared" si="30"/>
        <v>0</v>
      </c>
    </row>
    <row r="1966" spans="2:12" ht="23.25" hidden="1" customHeight="1" x14ac:dyDescent="0.25">
      <c r="B1966" s="4">
        <v>1961</v>
      </c>
      <c r="C1966" s="36" t="str">
        <f>IF(Order!$C$252="","",Order!$C$252)</f>
        <v>KP064</v>
      </c>
      <c r="D1966" s="36" t="str">
        <f>IF($C1966="","",_xlfn.XLOOKUP($C1966,Order!$C:$C,Order!$D:$D,"",0,1))</f>
        <v>KP064</v>
      </c>
      <c r="E1966" s="4" t="e" vm="435">
        <f>IF($C1966="","",_xlfn.XLOOKUP($C1966,Order!$C:$C,Order!$E:$E,"",0,1))</f>
        <v>#VALUE!</v>
      </c>
      <c r="F1966" s="4">
        <f>IF($C1966="","",_xlfn.XLOOKUP($C1966,Order!$C:$C,Order!$F:$F,"",0,1))</f>
        <v>6000</v>
      </c>
      <c r="G1966" s="4" t="str">
        <f>IF($C1966="","",_xlfn.XLOOKUP($C1966,Order!$C:$C,Order!$G:$G,"",0,1))</f>
        <v>6063T5</v>
      </c>
      <c r="H1966" s="4">
        <f>IF($C1966="","",_xlfn.XLOOKUP($C1966,Order!$C:$C,Order!$H:$H,"",0,1))</f>
        <v>0.308</v>
      </c>
      <c r="I1966" s="36">
        <f>IF($C1966="","",_xlfn.XLOOKUP($C1966,Order!$C:$C,Order!$N:$N,"",0,1))</f>
        <v>0</v>
      </c>
      <c r="J1966" s="4" t="str">
        <f>IF(C1966="","",Order!$N$16)</f>
        <v>ELECT. CHAMPAGNE (FAYH02)</v>
      </c>
      <c r="K1966" s="36">
        <f>IF($C1966="","",_xlfn.XLOOKUP($C1966,Order!$C:$C,Order!$P:$P,"",0,1))</f>
        <v>0</v>
      </c>
      <c r="L1966" s="4">
        <f t="shared" si="30"/>
        <v>0</v>
      </c>
    </row>
    <row r="1967" spans="2:12" ht="23.25" hidden="1" customHeight="1" x14ac:dyDescent="0.25">
      <c r="B1967" s="4">
        <v>1962</v>
      </c>
      <c r="C1967" s="36" t="str">
        <f>IF(Order!$C$253="","",Order!$C$253)</f>
        <v>DS004</v>
      </c>
      <c r="D1967" s="36" t="str">
        <f>IF($C1967="","",_xlfn.XLOOKUP($C1967,Order!$C:$C,Order!$D:$D,"",0,1))</f>
        <v>DS004</v>
      </c>
      <c r="E1967" s="4" t="e" vm="436">
        <f>IF($C1967="","",_xlfn.XLOOKUP($C1967,Order!$C:$C,Order!$E:$E,"",0,1))</f>
        <v>#VALUE!</v>
      </c>
      <c r="F1967" s="4">
        <f>IF($C1967="","",_xlfn.XLOOKUP($C1967,Order!$C:$C,Order!$F:$F,"",0,1))</f>
        <v>6000</v>
      </c>
      <c r="G1967" s="4" t="str">
        <f>IF($C1967="","",_xlfn.XLOOKUP($C1967,Order!$C:$C,Order!$G:$G,"",0,1))</f>
        <v>6063T5</v>
      </c>
      <c r="H1967" s="4">
        <f>IF($C1967="","",_xlfn.XLOOKUP($C1967,Order!$C:$C,Order!$H:$H,"",0,1))</f>
        <v>0.33200000000000002</v>
      </c>
      <c r="I1967" s="36">
        <f>IF($C1967="","",_xlfn.XLOOKUP($C1967,Order!$C:$C,Order!$N:$N,"",0,1))</f>
        <v>0</v>
      </c>
      <c r="J1967" s="4" t="str">
        <f>IF(C1967="","",Order!$N$16)</f>
        <v>ELECT. CHAMPAGNE (FAYH02)</v>
      </c>
      <c r="K1967" s="36">
        <f>IF($C1967="","",_xlfn.XLOOKUP($C1967,Order!$C:$C,Order!$P:$P,"",0,1))</f>
        <v>0</v>
      </c>
      <c r="L1967" s="4">
        <f t="shared" si="30"/>
        <v>0</v>
      </c>
    </row>
    <row r="1968" spans="2:12" ht="23.25" hidden="1" customHeight="1" x14ac:dyDescent="0.25">
      <c r="B1968" s="4">
        <v>1963</v>
      </c>
      <c r="C1968" s="36" t="str">
        <f>IF(Order!$C$254="","",Order!$C$254)</f>
        <v>SU079</v>
      </c>
      <c r="D1968" s="36" t="str">
        <f>IF($C1968="","",_xlfn.XLOOKUP($C1968,Order!$C:$C,Order!$D:$D,"",0,1))</f>
        <v>SU079</v>
      </c>
      <c r="E1968" s="4" t="e" vm="437">
        <f>IF($C1968="","",_xlfn.XLOOKUP($C1968,Order!$C:$C,Order!$E:$E,"",0,1))</f>
        <v>#VALUE!</v>
      </c>
      <c r="F1968" s="4">
        <f>IF($C1968="","",_xlfn.XLOOKUP($C1968,Order!$C:$C,Order!$F:$F,"",0,1))</f>
        <v>6000</v>
      </c>
      <c r="G1968" s="4" t="str">
        <f>IF($C1968="","",_xlfn.XLOOKUP($C1968,Order!$C:$C,Order!$G:$G,"",0,1))</f>
        <v>6063T5</v>
      </c>
      <c r="H1968" s="4">
        <f>IF($C1968="","",_xlfn.XLOOKUP($C1968,Order!$C:$C,Order!$H:$H,"",0,1))</f>
        <v>0.30099999999999999</v>
      </c>
      <c r="I1968" s="36">
        <f>IF($C1968="","",_xlfn.XLOOKUP($C1968,Order!$C:$C,Order!$N:$N,"",0,1))</f>
        <v>0</v>
      </c>
      <c r="J1968" s="4" t="str">
        <f>IF(C1968="","",Order!$N$16)</f>
        <v>ELECT. CHAMPAGNE (FAYH02)</v>
      </c>
      <c r="K1968" s="36">
        <f>IF($C1968="","",_xlfn.XLOOKUP($C1968,Order!$C:$C,Order!$P:$P,"",0,1))</f>
        <v>0</v>
      </c>
      <c r="L1968" s="4">
        <f t="shared" si="30"/>
        <v>0</v>
      </c>
    </row>
    <row r="1969" spans="2:12" ht="23.25" hidden="1" customHeight="1" x14ac:dyDescent="0.25">
      <c r="B1969" s="4">
        <v>1964</v>
      </c>
      <c r="C1969" s="36" t="str">
        <f>IF(Order!$C$255="","",Order!$C$255)</f>
        <v>SU086</v>
      </c>
      <c r="D1969" s="36" t="str">
        <f>IF($C1969="","",_xlfn.XLOOKUP($C1969,Order!$C:$C,Order!$D:$D,"",0,1))</f>
        <v>SU086</v>
      </c>
      <c r="E1969" s="4" t="e" vm="438">
        <f>IF($C1969="","",_xlfn.XLOOKUP($C1969,Order!$C:$C,Order!$E:$E,"",0,1))</f>
        <v>#VALUE!</v>
      </c>
      <c r="F1969" s="4">
        <f>IF($C1969="","",_xlfn.XLOOKUP($C1969,Order!$C:$C,Order!$F:$F,"",0,1))</f>
        <v>6000</v>
      </c>
      <c r="G1969" s="4" t="str">
        <f>IF($C1969="","",_xlfn.XLOOKUP($C1969,Order!$C:$C,Order!$G:$G,"",0,1))</f>
        <v>6063T5</v>
      </c>
      <c r="H1969" s="4">
        <f>IF($C1969="","",_xlfn.XLOOKUP($C1969,Order!$C:$C,Order!$H:$H,"",0,1))</f>
        <v>0.57899999999999996</v>
      </c>
      <c r="I1969" s="36">
        <f>IF($C1969="","",_xlfn.XLOOKUP($C1969,Order!$C:$C,Order!$N:$N,"",0,1))</f>
        <v>0</v>
      </c>
      <c r="J1969" s="4" t="str">
        <f>IF(C1969="","",Order!$N$16)</f>
        <v>ELECT. CHAMPAGNE (FAYH02)</v>
      </c>
      <c r="K1969" s="36">
        <f>IF($C1969="","",_xlfn.XLOOKUP($C1969,Order!$C:$C,Order!$P:$P,"",0,1))</f>
        <v>0</v>
      </c>
      <c r="L1969" s="4">
        <f t="shared" si="30"/>
        <v>0</v>
      </c>
    </row>
    <row r="1970" spans="2:12" ht="23.25" hidden="1" customHeight="1" x14ac:dyDescent="0.25">
      <c r="B1970" s="4">
        <v>1965</v>
      </c>
      <c r="C1970" s="36" t="str">
        <f>IF(Order!$C$256="","",Order!$C$256)</f>
        <v>SU090</v>
      </c>
      <c r="D1970" s="36" t="str">
        <f>IF($C1970="","",_xlfn.XLOOKUP($C1970,Order!$C:$C,Order!$D:$D,"",0,1))</f>
        <v>SU090</v>
      </c>
      <c r="E1970" s="4" t="e" vm="439">
        <f>IF($C1970="","",_xlfn.XLOOKUP($C1970,Order!$C:$C,Order!$E:$E,"",0,1))</f>
        <v>#VALUE!</v>
      </c>
      <c r="F1970" s="4">
        <f>IF($C1970="","",_xlfn.XLOOKUP($C1970,Order!$C:$C,Order!$F:$F,"",0,1))</f>
        <v>6000</v>
      </c>
      <c r="G1970" s="4" t="str">
        <f>IF($C1970="","",_xlfn.XLOOKUP($C1970,Order!$C:$C,Order!$G:$G,"",0,1))</f>
        <v>6063T5</v>
      </c>
      <c r="H1970" s="4">
        <f>IF($C1970="","",_xlfn.XLOOKUP($C1970,Order!$C:$C,Order!$H:$H,"",0,1))</f>
        <v>0.48399999999999999</v>
      </c>
      <c r="I1970" s="36">
        <f>IF($C1970="","",_xlfn.XLOOKUP($C1970,Order!$C:$C,Order!$N:$N,"",0,1))</f>
        <v>0</v>
      </c>
      <c r="J1970" s="4" t="str">
        <f>IF(C1970="","",Order!$N$16)</f>
        <v>ELECT. CHAMPAGNE (FAYH02)</v>
      </c>
      <c r="K1970" s="36">
        <f>IF($C1970="","",_xlfn.XLOOKUP($C1970,Order!$C:$C,Order!$P:$P,"",0,1))</f>
        <v>0</v>
      </c>
      <c r="L1970" s="4">
        <f t="shared" si="30"/>
        <v>0</v>
      </c>
    </row>
    <row r="1971" spans="2:12" ht="23.25" hidden="1" customHeight="1" x14ac:dyDescent="0.25">
      <c r="B1971" s="4">
        <v>1966</v>
      </c>
      <c r="C1971" s="36" t="str">
        <f>IF(Order!$C$257="","",Order!$C$257)</f>
        <v>SU091</v>
      </c>
      <c r="D1971" s="36" t="str">
        <f>IF($C1971="","",_xlfn.XLOOKUP($C1971,Order!$C:$C,Order!$D:$D,"",0,1))</f>
        <v>SU091</v>
      </c>
      <c r="E1971" s="4" t="e" vm="440">
        <f>IF($C1971="","",_xlfn.XLOOKUP($C1971,Order!$C:$C,Order!$E:$E,"",0,1))</f>
        <v>#VALUE!</v>
      </c>
      <c r="F1971" s="4">
        <f>IF($C1971="","",_xlfn.XLOOKUP($C1971,Order!$C:$C,Order!$F:$F,"",0,1))</f>
        <v>6000</v>
      </c>
      <c r="G1971" s="4" t="str">
        <f>IF($C1971="","",_xlfn.XLOOKUP($C1971,Order!$C:$C,Order!$G:$G,"",0,1))</f>
        <v>6063T5</v>
      </c>
      <c r="H1971" s="4">
        <f>IF($C1971="","",_xlfn.XLOOKUP($C1971,Order!$C:$C,Order!$H:$H,"",0,1))</f>
        <v>0.42699999999999999</v>
      </c>
      <c r="I1971" s="36">
        <f>IF($C1971="","",_xlfn.XLOOKUP($C1971,Order!$C:$C,Order!$N:$N,"",0,1))</f>
        <v>0</v>
      </c>
      <c r="J1971" s="4" t="str">
        <f>IF(C1971="","",Order!$N$16)</f>
        <v>ELECT. CHAMPAGNE (FAYH02)</v>
      </c>
      <c r="K1971" s="36">
        <f>IF($C1971="","",_xlfn.XLOOKUP($C1971,Order!$C:$C,Order!$P:$P,"",0,1))</f>
        <v>0</v>
      </c>
      <c r="L1971" s="4">
        <f t="shared" si="30"/>
        <v>0</v>
      </c>
    </row>
    <row r="1972" spans="2:12" ht="23.25" hidden="1" customHeight="1" x14ac:dyDescent="0.25">
      <c r="B1972" s="4">
        <v>1967</v>
      </c>
      <c r="C1972" s="36" t="str">
        <f>IF(Order!$C$258="","",Order!$C$258)</f>
        <v>SU103</v>
      </c>
      <c r="D1972" s="36" t="str">
        <f>IF($C1972="","",_xlfn.XLOOKUP($C1972,Order!$C:$C,Order!$D:$D,"",0,1))</f>
        <v>SU103</v>
      </c>
      <c r="E1972" s="4" t="e" vm="441">
        <f>IF($C1972="","",_xlfn.XLOOKUP($C1972,Order!$C:$C,Order!$E:$E,"",0,1))</f>
        <v>#VALUE!</v>
      </c>
      <c r="F1972" s="4">
        <f>IF($C1972="","",_xlfn.XLOOKUP($C1972,Order!$C:$C,Order!$F:$F,"",0,1))</f>
        <v>6000</v>
      </c>
      <c r="G1972" s="4" t="str">
        <f>IF($C1972="","",_xlfn.XLOOKUP($C1972,Order!$C:$C,Order!$G:$G,"",0,1))</f>
        <v>6063T5</v>
      </c>
      <c r="H1972" s="4">
        <f>IF($C1972="","",_xlfn.XLOOKUP($C1972,Order!$C:$C,Order!$H:$H,"",0,1))</f>
        <v>0.14299999999999999</v>
      </c>
      <c r="I1972" s="36">
        <f>IF($C1972="","",_xlfn.XLOOKUP($C1972,Order!$C:$C,Order!$N:$N,"",0,1))</f>
        <v>0</v>
      </c>
      <c r="J1972" s="4" t="str">
        <f>IF(C1972="","",Order!$N$16)</f>
        <v>ELECT. CHAMPAGNE (FAYH02)</v>
      </c>
      <c r="K1972" s="36">
        <f>IF($C1972="","",_xlfn.XLOOKUP($C1972,Order!$C:$C,Order!$P:$P,"",0,1))</f>
        <v>0</v>
      </c>
      <c r="L1972" s="4">
        <f t="shared" si="30"/>
        <v>0</v>
      </c>
    </row>
    <row r="1973" spans="2:12" ht="23.25" hidden="1" customHeight="1" x14ac:dyDescent="0.25">
      <c r="B1973" s="4">
        <v>1968</v>
      </c>
      <c r="C1973" s="36" t="str">
        <f>IF(Order!$C$259="","",Order!$C$259)</f>
        <v>SU276</v>
      </c>
      <c r="D1973" s="36" t="str">
        <f>IF($C1973="","",_xlfn.XLOOKUP($C1973,Order!$C:$C,Order!$D:$D,"",0,1))</f>
        <v>SU276</v>
      </c>
      <c r="E1973" s="4" t="e" vm="442">
        <f>IF($C1973="","",_xlfn.XLOOKUP($C1973,Order!$C:$C,Order!$E:$E,"",0,1))</f>
        <v>#VALUE!</v>
      </c>
      <c r="F1973" s="4">
        <f>IF($C1973="","",_xlfn.XLOOKUP($C1973,Order!$C:$C,Order!$F:$F,"",0,1))</f>
        <v>6000</v>
      </c>
      <c r="G1973" s="4" t="str">
        <f>IF($C1973="","",_xlfn.XLOOKUP($C1973,Order!$C:$C,Order!$G:$G,"",0,1))</f>
        <v>6063T5</v>
      </c>
      <c r="H1973" s="4">
        <f>IF($C1973="","",_xlfn.XLOOKUP($C1973,Order!$C:$C,Order!$H:$H,"",0,1))</f>
        <v>0.17199999999999999</v>
      </c>
      <c r="I1973" s="36">
        <f>IF($C1973="","",_xlfn.XLOOKUP($C1973,Order!$C:$C,Order!$N:$N,"",0,1))</f>
        <v>0</v>
      </c>
      <c r="J1973" s="4" t="str">
        <f>IF(C1973="","",Order!$N$16)</f>
        <v>ELECT. CHAMPAGNE (FAYH02)</v>
      </c>
      <c r="K1973" s="36">
        <f>IF($C1973="","",_xlfn.XLOOKUP($C1973,Order!$C:$C,Order!$P:$P,"",0,1))</f>
        <v>0</v>
      </c>
      <c r="L1973" s="4">
        <f t="shared" si="30"/>
        <v>0</v>
      </c>
    </row>
    <row r="1974" spans="2:12" ht="23.25" hidden="1" customHeight="1" x14ac:dyDescent="0.25">
      <c r="B1974" s="4">
        <v>1969</v>
      </c>
      <c r="C1974" s="36" t="str">
        <f>IF(Order!$C$260="","",Order!$C$260)</f>
        <v>SU302</v>
      </c>
      <c r="D1974" s="36" t="str">
        <f>IF($C1974="","",_xlfn.XLOOKUP($C1974,Order!$C:$C,Order!$D:$D,"",0,1))</f>
        <v>SU302</v>
      </c>
      <c r="E1974" s="4" t="e" vm="443">
        <f>IF($C1974="","",_xlfn.XLOOKUP($C1974,Order!$C:$C,Order!$E:$E,"",0,1))</f>
        <v>#VALUE!</v>
      </c>
      <c r="F1974" s="4">
        <f>IF($C1974="","",_xlfn.XLOOKUP($C1974,Order!$C:$C,Order!$F:$F,"",0,1))</f>
        <v>6000</v>
      </c>
      <c r="G1974" s="4" t="str">
        <f>IF($C1974="","",_xlfn.XLOOKUP($C1974,Order!$C:$C,Order!$G:$G,"",0,1))</f>
        <v>6063T5</v>
      </c>
      <c r="H1974" s="4">
        <f>IF($C1974="","",_xlfn.XLOOKUP($C1974,Order!$C:$C,Order!$H:$H,"",0,1))</f>
        <v>0.22700000000000001</v>
      </c>
      <c r="I1974" s="36">
        <f>IF($C1974="","",_xlfn.XLOOKUP($C1974,Order!$C:$C,Order!$N:$N,"",0,1))</f>
        <v>0</v>
      </c>
      <c r="J1974" s="4" t="str">
        <f>IF(C1974="","",Order!$N$16)</f>
        <v>ELECT. CHAMPAGNE (FAYH02)</v>
      </c>
      <c r="K1974" s="36">
        <f>IF($C1974="","",_xlfn.XLOOKUP($C1974,Order!$C:$C,Order!$P:$P,"",0,1))</f>
        <v>0</v>
      </c>
      <c r="L1974" s="4">
        <f t="shared" si="30"/>
        <v>0</v>
      </c>
    </row>
    <row r="1975" spans="2:12" ht="23.25" hidden="1" customHeight="1" x14ac:dyDescent="0.25">
      <c r="B1975" s="4">
        <v>1970</v>
      </c>
      <c r="C1975" s="36" t="str">
        <f>IF(Order!$C$261="","",Order!$C$261)</f>
        <v>SU779</v>
      </c>
      <c r="D1975" s="36" t="str">
        <f>IF($C1975="","",_xlfn.XLOOKUP($C1975,Order!$C:$C,Order!$D:$D,"",0,1))</f>
        <v>SU779</v>
      </c>
      <c r="E1975" s="4" t="e" vm="444">
        <f>IF($C1975="","",_xlfn.XLOOKUP($C1975,Order!$C:$C,Order!$E:$E,"",0,1))</f>
        <v>#VALUE!</v>
      </c>
      <c r="F1975" s="4">
        <f>IF($C1975="","",_xlfn.XLOOKUP($C1975,Order!$C:$C,Order!$F:$F,"",0,1))</f>
        <v>6000</v>
      </c>
      <c r="G1975" s="4" t="str">
        <f>IF($C1975="","",_xlfn.XLOOKUP($C1975,Order!$C:$C,Order!$G:$G,"",0,1))</f>
        <v>6063T5</v>
      </c>
      <c r="H1975" s="4">
        <f>IF($C1975="","",_xlfn.XLOOKUP($C1975,Order!$C:$C,Order!$H:$H,"",0,1))</f>
        <v>0.378</v>
      </c>
      <c r="I1975" s="36">
        <f>IF($C1975="","",_xlfn.XLOOKUP($C1975,Order!$C:$C,Order!$N:$N,"",0,1))</f>
        <v>0</v>
      </c>
      <c r="J1975" s="4" t="str">
        <f>IF(C1975="","",Order!$N$16)</f>
        <v>ELECT. CHAMPAGNE (FAYH02)</v>
      </c>
      <c r="K1975" s="36">
        <f>IF($C1975="","",_xlfn.XLOOKUP($C1975,Order!$C:$C,Order!$P:$P,"",0,1))</f>
        <v>0</v>
      </c>
      <c r="L1975" s="4">
        <f t="shared" si="30"/>
        <v>0</v>
      </c>
    </row>
    <row r="1976" spans="2:12" ht="23.25" hidden="1" customHeight="1" x14ac:dyDescent="0.25">
      <c r="B1976" s="4">
        <v>1971</v>
      </c>
      <c r="C1976" s="36" t="str">
        <f>IF(Order!$C$262="","",Order!$C$262)</f>
        <v>SU004</v>
      </c>
      <c r="D1976" s="36" t="str">
        <f>IF($C1976="","",_xlfn.XLOOKUP($C1976,Order!$C:$C,Order!$D:$D,"",0,1))</f>
        <v>SU004</v>
      </c>
      <c r="E1976" s="4" t="e" vm="445">
        <f>IF($C1976="","",_xlfn.XLOOKUP($C1976,Order!$C:$C,Order!$E:$E,"",0,1))</f>
        <v>#VALUE!</v>
      </c>
      <c r="F1976" s="4">
        <f>IF($C1976="","",_xlfn.XLOOKUP($C1976,Order!$C:$C,Order!$F:$F,"",0,1))</f>
        <v>6000</v>
      </c>
      <c r="G1976" s="4" t="str">
        <f>IF($C1976="","",_xlfn.XLOOKUP($C1976,Order!$C:$C,Order!$G:$G,"",0,1))</f>
        <v>6063T5</v>
      </c>
      <c r="H1976" s="4">
        <f>IF($C1976="","",_xlfn.XLOOKUP($C1976,Order!$C:$C,Order!$H:$H,"",0,1))</f>
        <v>0.47799999999999998</v>
      </c>
      <c r="I1976" s="36">
        <f>IF($C1976="","",_xlfn.XLOOKUP($C1976,Order!$C:$C,Order!$N:$N,"",0,1))</f>
        <v>0</v>
      </c>
      <c r="J1976" s="4" t="str">
        <f>IF(C1976="","",Order!$N$16)</f>
        <v>ELECT. CHAMPAGNE (FAYH02)</v>
      </c>
      <c r="K1976" s="36">
        <f>IF($C1976="","",_xlfn.XLOOKUP($C1976,Order!$C:$C,Order!$P:$P,"",0,1))</f>
        <v>0</v>
      </c>
      <c r="L1976" s="4">
        <f t="shared" si="30"/>
        <v>0</v>
      </c>
    </row>
    <row r="1977" spans="2:12" ht="23.25" hidden="1" customHeight="1" x14ac:dyDescent="0.25">
      <c r="B1977" s="4">
        <v>1972</v>
      </c>
      <c r="C1977" s="36" t="str">
        <f>IF(Order!$C$263="","",Order!$C$263)</f>
        <v>SU005</v>
      </c>
      <c r="D1977" s="36" t="str">
        <f>IF($C1977="","",_xlfn.XLOOKUP($C1977,Order!$C:$C,Order!$D:$D,"",0,1))</f>
        <v>SU005</v>
      </c>
      <c r="E1977" s="4" t="e" vm="446">
        <f>IF($C1977="","",_xlfn.XLOOKUP($C1977,Order!$C:$C,Order!$E:$E,"",0,1))</f>
        <v>#VALUE!</v>
      </c>
      <c r="F1977" s="4">
        <f>IF($C1977="","",_xlfn.XLOOKUP($C1977,Order!$C:$C,Order!$F:$F,"",0,1))</f>
        <v>6000</v>
      </c>
      <c r="G1977" s="4" t="str">
        <f>IF($C1977="","",_xlfn.XLOOKUP($C1977,Order!$C:$C,Order!$G:$G,"",0,1))</f>
        <v>6063T5</v>
      </c>
      <c r="H1977" s="4">
        <f>IF($C1977="","",_xlfn.XLOOKUP($C1977,Order!$C:$C,Order!$H:$H,"",0,1))</f>
        <v>1.012</v>
      </c>
      <c r="I1977" s="36">
        <f>IF($C1977="","",_xlfn.XLOOKUP($C1977,Order!$C:$C,Order!$N:$N,"",0,1))</f>
        <v>0</v>
      </c>
      <c r="J1977" s="4" t="str">
        <f>IF(C1977="","",Order!$N$16)</f>
        <v>ELECT. CHAMPAGNE (FAYH02)</v>
      </c>
      <c r="K1977" s="36">
        <f>IF($C1977="","",_xlfn.XLOOKUP($C1977,Order!$C:$C,Order!$P:$P,"",0,1))</f>
        <v>0</v>
      </c>
      <c r="L1977" s="4">
        <f t="shared" si="30"/>
        <v>0</v>
      </c>
    </row>
    <row r="1978" spans="2:12" ht="23.25" hidden="1" customHeight="1" x14ac:dyDescent="0.25">
      <c r="B1978" s="4">
        <v>1973</v>
      </c>
      <c r="C1978" s="36" t="str">
        <f>IF(Order!$C$264="","",Order!$C$264)</f>
        <v>SU006</v>
      </c>
      <c r="D1978" s="36" t="str">
        <f>IF($C1978="","",_xlfn.XLOOKUP($C1978,Order!$C:$C,Order!$D:$D,"",0,1))</f>
        <v>SU006</v>
      </c>
      <c r="E1978" s="4" t="e" vm="447">
        <f>IF($C1978="","",_xlfn.XLOOKUP($C1978,Order!$C:$C,Order!$E:$E,"",0,1))</f>
        <v>#VALUE!</v>
      </c>
      <c r="F1978" s="4">
        <f>IF($C1978="","",_xlfn.XLOOKUP($C1978,Order!$C:$C,Order!$F:$F,"",0,1))</f>
        <v>6000</v>
      </c>
      <c r="G1978" s="4" t="str">
        <f>IF($C1978="","",_xlfn.XLOOKUP($C1978,Order!$C:$C,Order!$G:$G,"",0,1))</f>
        <v>6063T5</v>
      </c>
      <c r="H1978" s="4">
        <f>IF($C1978="","",_xlfn.XLOOKUP($C1978,Order!$C:$C,Order!$H:$H,"",0,1))</f>
        <v>0.98399999999999999</v>
      </c>
      <c r="I1978" s="36">
        <f>IF($C1978="","",_xlfn.XLOOKUP($C1978,Order!$C:$C,Order!$N:$N,"",0,1))</f>
        <v>0</v>
      </c>
      <c r="J1978" s="4" t="str">
        <f>IF(C1978="","",Order!$N$16)</f>
        <v>ELECT. CHAMPAGNE (FAYH02)</v>
      </c>
      <c r="K1978" s="36">
        <f>IF($C1978="","",_xlfn.XLOOKUP($C1978,Order!$C:$C,Order!$P:$P,"",0,1))</f>
        <v>0</v>
      </c>
      <c r="L1978" s="4">
        <f t="shared" si="30"/>
        <v>0</v>
      </c>
    </row>
    <row r="1979" spans="2:12" ht="23.25" hidden="1" customHeight="1" x14ac:dyDescent="0.25">
      <c r="B1979" s="4">
        <v>1974</v>
      </c>
      <c r="C1979" s="36" t="str">
        <f>IF(Order!$C$265="","",Order!$C$265)</f>
        <v>SU007</v>
      </c>
      <c r="D1979" s="36" t="str">
        <f>IF($C1979="","",_xlfn.XLOOKUP($C1979,Order!$C:$C,Order!$D:$D,"",0,1))</f>
        <v>SU007</v>
      </c>
      <c r="E1979" s="4" t="e" vm="448">
        <f>IF($C1979="","",_xlfn.XLOOKUP($C1979,Order!$C:$C,Order!$E:$E,"",0,1))</f>
        <v>#VALUE!</v>
      </c>
      <c r="F1979" s="4">
        <f>IF($C1979="","",_xlfn.XLOOKUP($C1979,Order!$C:$C,Order!$F:$F,"",0,1))</f>
        <v>6000</v>
      </c>
      <c r="G1979" s="4" t="str">
        <f>IF($C1979="","",_xlfn.XLOOKUP($C1979,Order!$C:$C,Order!$G:$G,"",0,1))</f>
        <v>6063T5</v>
      </c>
      <c r="H1979" s="4">
        <f>IF($C1979="","",_xlfn.XLOOKUP($C1979,Order!$C:$C,Order!$H:$H,"",0,1))</f>
        <v>0.38100000000000001</v>
      </c>
      <c r="I1979" s="36">
        <f>IF($C1979="","",_xlfn.XLOOKUP($C1979,Order!$C:$C,Order!$N:$N,"",0,1))</f>
        <v>0</v>
      </c>
      <c r="J1979" s="4" t="str">
        <f>IF(C1979="","",Order!$N$16)</f>
        <v>ELECT. CHAMPAGNE (FAYH02)</v>
      </c>
      <c r="K1979" s="36">
        <f>IF($C1979="","",_xlfn.XLOOKUP($C1979,Order!$C:$C,Order!$P:$P,"",0,1))</f>
        <v>0</v>
      </c>
      <c r="L1979" s="4">
        <f t="shared" si="30"/>
        <v>0</v>
      </c>
    </row>
    <row r="1980" spans="2:12" ht="23.25" hidden="1" customHeight="1" x14ac:dyDescent="0.25">
      <c r="B1980" s="4">
        <v>1975</v>
      </c>
      <c r="C1980" s="36" t="str">
        <f>IF(Order!$C$266="","",Order!$C$266)</f>
        <v>SU009</v>
      </c>
      <c r="D1980" s="36" t="str">
        <f>IF($C1980="","",_xlfn.XLOOKUP($C1980,Order!$C:$C,Order!$D:$D,"",0,1))</f>
        <v>SU009</v>
      </c>
      <c r="E1980" s="4" t="e" vm="449">
        <f>IF($C1980="","",_xlfn.XLOOKUP($C1980,Order!$C:$C,Order!$E:$E,"",0,1))</f>
        <v>#VALUE!</v>
      </c>
      <c r="F1980" s="4">
        <f>IF($C1980="","",_xlfn.XLOOKUP($C1980,Order!$C:$C,Order!$F:$F,"",0,1))</f>
        <v>6000</v>
      </c>
      <c r="G1980" s="4" t="str">
        <f>IF($C1980="","",_xlfn.XLOOKUP($C1980,Order!$C:$C,Order!$G:$G,"",0,1))</f>
        <v>6063T5</v>
      </c>
      <c r="H1980" s="4">
        <f>IF($C1980="","",_xlfn.XLOOKUP($C1980,Order!$C:$C,Order!$H:$H,"",0,1))</f>
        <v>1.0669999999999999</v>
      </c>
      <c r="I1980" s="36">
        <f>IF($C1980="","",_xlfn.XLOOKUP($C1980,Order!$C:$C,Order!$N:$N,"",0,1))</f>
        <v>0</v>
      </c>
      <c r="J1980" s="4" t="str">
        <f>IF(C1980="","",Order!$N$16)</f>
        <v>ELECT. CHAMPAGNE (FAYH02)</v>
      </c>
      <c r="K1980" s="36">
        <f>IF($C1980="","",_xlfn.XLOOKUP($C1980,Order!$C:$C,Order!$P:$P,"",0,1))</f>
        <v>0</v>
      </c>
      <c r="L1980" s="4">
        <f t="shared" si="30"/>
        <v>0</v>
      </c>
    </row>
    <row r="1981" spans="2:12" ht="23.25" hidden="1" customHeight="1" x14ac:dyDescent="0.25">
      <c r="B1981" s="4">
        <v>1976</v>
      </c>
      <c r="C1981" s="36" t="str">
        <f>IF(Order!$C$267="","",Order!$C$267)</f>
        <v>SU010</v>
      </c>
      <c r="D1981" s="36" t="str">
        <f>IF($C1981="","",_xlfn.XLOOKUP($C1981,Order!$C:$C,Order!$D:$D,"",0,1))</f>
        <v>SU010</v>
      </c>
      <c r="E1981" s="4" t="e" vm="450">
        <f>IF($C1981="","",_xlfn.XLOOKUP($C1981,Order!$C:$C,Order!$E:$E,"",0,1))</f>
        <v>#VALUE!</v>
      </c>
      <c r="F1981" s="4">
        <f>IF($C1981="","",_xlfn.XLOOKUP($C1981,Order!$C:$C,Order!$F:$F,"",0,1))</f>
        <v>6000</v>
      </c>
      <c r="G1981" s="4" t="str">
        <f>IF($C1981="","",_xlfn.XLOOKUP($C1981,Order!$C:$C,Order!$G:$G,"",0,1))</f>
        <v>6063T5</v>
      </c>
      <c r="H1981" s="4">
        <f>IF($C1981="","",_xlfn.XLOOKUP($C1981,Order!$C:$C,Order!$H:$H,"",0,1))</f>
        <v>1.0349999999999999</v>
      </c>
      <c r="I1981" s="36">
        <f>IF($C1981="","",_xlfn.XLOOKUP($C1981,Order!$C:$C,Order!$N:$N,"",0,1))</f>
        <v>0</v>
      </c>
      <c r="J1981" s="4" t="str">
        <f>IF(C1981="","",Order!$N$16)</f>
        <v>ELECT. CHAMPAGNE (FAYH02)</v>
      </c>
      <c r="K1981" s="36">
        <f>IF($C1981="","",_xlfn.XLOOKUP($C1981,Order!$C:$C,Order!$P:$P,"",0,1))</f>
        <v>0</v>
      </c>
      <c r="L1981" s="4">
        <f t="shared" si="30"/>
        <v>0</v>
      </c>
    </row>
    <row r="1982" spans="2:12" ht="23.25" hidden="1" customHeight="1" x14ac:dyDescent="0.25">
      <c r="B1982" s="4">
        <v>1977</v>
      </c>
      <c r="C1982" s="36" t="str">
        <f>IF(Order!$C$268="","",Order!$C$268)</f>
        <v>SU011</v>
      </c>
      <c r="D1982" s="36" t="str">
        <f>IF($C1982="","",_xlfn.XLOOKUP($C1982,Order!$C:$C,Order!$D:$D,"",0,1))</f>
        <v>SU011</v>
      </c>
      <c r="E1982" s="4" t="e" vm="451">
        <f>IF($C1982="","",_xlfn.XLOOKUP($C1982,Order!$C:$C,Order!$E:$E,"",0,1))</f>
        <v>#VALUE!</v>
      </c>
      <c r="F1982" s="4">
        <f>IF($C1982="","",_xlfn.XLOOKUP($C1982,Order!$C:$C,Order!$F:$F,"",0,1))</f>
        <v>6000</v>
      </c>
      <c r="G1982" s="4" t="str">
        <f>IF($C1982="","",_xlfn.XLOOKUP($C1982,Order!$C:$C,Order!$G:$G,"",0,1))</f>
        <v>6063T5</v>
      </c>
      <c r="H1982" s="4">
        <f>IF($C1982="","",_xlfn.XLOOKUP($C1982,Order!$C:$C,Order!$H:$H,"",0,1))</f>
        <v>0.97299999999999998</v>
      </c>
      <c r="I1982" s="36">
        <f>IF($C1982="","",_xlfn.XLOOKUP($C1982,Order!$C:$C,Order!$N:$N,"",0,1))</f>
        <v>0</v>
      </c>
      <c r="J1982" s="4" t="str">
        <f>IF(C1982="","",Order!$N$16)</f>
        <v>ELECT. CHAMPAGNE (FAYH02)</v>
      </c>
      <c r="K1982" s="36">
        <f>IF($C1982="","",_xlfn.XLOOKUP($C1982,Order!$C:$C,Order!$P:$P,"",0,1))</f>
        <v>0</v>
      </c>
      <c r="L1982" s="4">
        <f t="shared" si="30"/>
        <v>0</v>
      </c>
    </row>
    <row r="1983" spans="2:12" ht="23.25" hidden="1" customHeight="1" x14ac:dyDescent="0.25">
      <c r="B1983" s="4">
        <v>1978</v>
      </c>
      <c r="C1983" s="36" t="str">
        <f>IF(Order!$C$269="","",Order!$C$269)</f>
        <v>SU012</v>
      </c>
      <c r="D1983" s="36" t="str">
        <f>IF($C1983="","",_xlfn.XLOOKUP($C1983,Order!$C:$C,Order!$D:$D,"",0,1))</f>
        <v>SU012</v>
      </c>
      <c r="E1983" s="4" t="e" vm="452">
        <f>IF($C1983="","",_xlfn.XLOOKUP($C1983,Order!$C:$C,Order!$E:$E,"",0,1))</f>
        <v>#VALUE!</v>
      </c>
      <c r="F1983" s="4">
        <f>IF($C1983="","",_xlfn.XLOOKUP($C1983,Order!$C:$C,Order!$F:$F,"",0,1))</f>
        <v>6000</v>
      </c>
      <c r="G1983" s="4" t="str">
        <f>IF($C1983="","",_xlfn.XLOOKUP($C1983,Order!$C:$C,Order!$G:$G,"",0,1))</f>
        <v>6063T5</v>
      </c>
      <c r="H1983" s="4">
        <f>IF($C1983="","",_xlfn.XLOOKUP($C1983,Order!$C:$C,Order!$H:$H,"",0,1))</f>
        <v>0.47499999999999998</v>
      </c>
      <c r="I1983" s="36">
        <f>IF($C1983="","",_xlfn.XLOOKUP($C1983,Order!$C:$C,Order!$N:$N,"",0,1))</f>
        <v>0</v>
      </c>
      <c r="J1983" s="4" t="str">
        <f>IF(C1983="","",Order!$N$16)</f>
        <v>ELECT. CHAMPAGNE (FAYH02)</v>
      </c>
      <c r="K1983" s="36">
        <f>IF($C1983="","",_xlfn.XLOOKUP($C1983,Order!$C:$C,Order!$P:$P,"",0,1))</f>
        <v>0</v>
      </c>
      <c r="L1983" s="4">
        <f t="shared" si="30"/>
        <v>0</v>
      </c>
    </row>
    <row r="1984" spans="2:12" ht="23.25" hidden="1" customHeight="1" x14ac:dyDescent="0.25">
      <c r="B1984" s="4">
        <v>1979</v>
      </c>
      <c r="C1984" s="36" t="str">
        <f>IF(Order!$C$270="","",Order!$C$270)</f>
        <v>SU121</v>
      </c>
      <c r="D1984" s="36" t="str">
        <f>IF($C1984="","",_xlfn.XLOOKUP($C1984,Order!$C:$C,Order!$D:$D,"",0,1))</f>
        <v>SU121</v>
      </c>
      <c r="E1984" s="4" t="e" vm="453">
        <f>IF($C1984="","",_xlfn.XLOOKUP($C1984,Order!$C:$C,Order!$E:$E,"",0,1))</f>
        <v>#VALUE!</v>
      </c>
      <c r="F1984" s="4">
        <f>IF($C1984="","",_xlfn.XLOOKUP($C1984,Order!$C:$C,Order!$F:$F,"",0,1))</f>
        <v>6000</v>
      </c>
      <c r="G1984" s="4" t="str">
        <f>IF($C1984="","",_xlfn.XLOOKUP($C1984,Order!$C:$C,Order!$G:$G,"",0,1))</f>
        <v>6063T5</v>
      </c>
      <c r="H1984" s="4">
        <f>IF($C1984="","",_xlfn.XLOOKUP($C1984,Order!$C:$C,Order!$H:$H,"",0,1))</f>
        <v>1.423</v>
      </c>
      <c r="I1984" s="36">
        <f>IF($C1984="","",_xlfn.XLOOKUP($C1984,Order!$C:$C,Order!$N:$N,"",0,1))</f>
        <v>0</v>
      </c>
      <c r="J1984" s="4" t="str">
        <f>IF(C1984="","",Order!$N$16)</f>
        <v>ELECT. CHAMPAGNE (FAYH02)</v>
      </c>
      <c r="K1984" s="36">
        <f>IF($C1984="","",_xlfn.XLOOKUP($C1984,Order!$C:$C,Order!$P:$P,"",0,1))</f>
        <v>0</v>
      </c>
      <c r="L1984" s="4">
        <f t="shared" si="30"/>
        <v>0</v>
      </c>
    </row>
    <row r="1985" spans="2:12" ht="23.25" hidden="1" customHeight="1" x14ac:dyDescent="0.25">
      <c r="B1985" s="4">
        <v>1980</v>
      </c>
      <c r="C1985" s="36" t="str">
        <f>IF(Order!$C$271="","",Order!$C$271)</f>
        <v>SU122</v>
      </c>
      <c r="D1985" s="36" t="str">
        <f>IF($C1985="","",_xlfn.XLOOKUP($C1985,Order!$C:$C,Order!$D:$D,"",0,1))</f>
        <v>SU122</v>
      </c>
      <c r="E1985" s="4" t="e" vm="454">
        <f>IF($C1985="","",_xlfn.XLOOKUP($C1985,Order!$C:$C,Order!$E:$E,"",0,1))</f>
        <v>#VALUE!</v>
      </c>
      <c r="F1985" s="4">
        <f>IF($C1985="","",_xlfn.XLOOKUP($C1985,Order!$C:$C,Order!$F:$F,"",0,1))</f>
        <v>6000</v>
      </c>
      <c r="G1985" s="4" t="str">
        <f>IF($C1985="","",_xlfn.XLOOKUP($C1985,Order!$C:$C,Order!$G:$G,"",0,1))</f>
        <v>6063T5</v>
      </c>
      <c r="H1985" s="4">
        <f>IF($C1985="","",_xlfn.XLOOKUP($C1985,Order!$C:$C,Order!$H:$H,"",0,1))</f>
        <v>1.46</v>
      </c>
      <c r="I1985" s="36">
        <f>IF($C1985="","",_xlfn.XLOOKUP($C1985,Order!$C:$C,Order!$N:$N,"",0,1))</f>
        <v>0</v>
      </c>
      <c r="J1985" s="4" t="str">
        <f>IF(C1985="","",Order!$N$16)</f>
        <v>ELECT. CHAMPAGNE (FAYH02)</v>
      </c>
      <c r="K1985" s="36">
        <f>IF($C1985="","",_xlfn.XLOOKUP($C1985,Order!$C:$C,Order!$P:$P,"",0,1))</f>
        <v>0</v>
      </c>
      <c r="L1985" s="4">
        <f t="shared" si="30"/>
        <v>0</v>
      </c>
    </row>
    <row r="1986" spans="2:12" ht="23.25" hidden="1" customHeight="1" x14ac:dyDescent="0.25">
      <c r="B1986" s="4">
        <v>1981</v>
      </c>
      <c r="C1986" s="36" t="str">
        <f>IF(Order!$C$272="","",Order!$C$272)</f>
        <v>SU123</v>
      </c>
      <c r="D1986" s="36" t="str">
        <f>IF($C1986="","",_xlfn.XLOOKUP($C1986,Order!$C:$C,Order!$D:$D,"",0,1))</f>
        <v>SU123</v>
      </c>
      <c r="E1986" s="4" t="e" vm="455">
        <f>IF($C1986="","",_xlfn.XLOOKUP($C1986,Order!$C:$C,Order!$E:$E,"",0,1))</f>
        <v>#VALUE!</v>
      </c>
      <c r="F1986" s="4">
        <f>IF($C1986="","",_xlfn.XLOOKUP($C1986,Order!$C:$C,Order!$F:$F,"",0,1))</f>
        <v>6000</v>
      </c>
      <c r="G1986" s="4" t="str">
        <f>IF($C1986="","",_xlfn.XLOOKUP($C1986,Order!$C:$C,Order!$G:$G,"",0,1))</f>
        <v>6063T5</v>
      </c>
      <c r="H1986" s="4">
        <f>IF($C1986="","",_xlfn.XLOOKUP($C1986,Order!$C:$C,Order!$H:$H,"",0,1))</f>
        <v>0.84799999999999998</v>
      </c>
      <c r="I1986" s="36">
        <f>IF($C1986="","",_xlfn.XLOOKUP($C1986,Order!$C:$C,Order!$N:$N,"",0,1))</f>
        <v>0</v>
      </c>
      <c r="J1986" s="4" t="str">
        <f>IF(C1986="","",Order!$N$16)</f>
        <v>ELECT. CHAMPAGNE (FAYH02)</v>
      </c>
      <c r="K1986" s="36">
        <f>IF($C1986="","",_xlfn.XLOOKUP($C1986,Order!$C:$C,Order!$P:$P,"",0,1))</f>
        <v>0</v>
      </c>
      <c r="L1986" s="4">
        <f t="shared" si="30"/>
        <v>0</v>
      </c>
    </row>
    <row r="1987" spans="2:12" ht="23.25" hidden="1" customHeight="1" x14ac:dyDescent="0.25">
      <c r="B1987" s="4">
        <v>1982</v>
      </c>
      <c r="C1987" s="36" t="str">
        <f>IF(Order!$C$273="","",Order!$C$273)</f>
        <v>SU230</v>
      </c>
      <c r="D1987" s="36" t="str">
        <f>IF($C1987="","",_xlfn.XLOOKUP($C1987,Order!$C:$C,Order!$D:$D,"",0,1))</f>
        <v>SU230</v>
      </c>
      <c r="E1987" s="4" t="e" vm="456">
        <f>IF($C1987="","",_xlfn.XLOOKUP($C1987,Order!$C:$C,Order!$E:$E,"",0,1))</f>
        <v>#VALUE!</v>
      </c>
      <c r="F1987" s="4">
        <f>IF($C1987="","",_xlfn.XLOOKUP($C1987,Order!$C:$C,Order!$F:$F,"",0,1))</f>
        <v>6000</v>
      </c>
      <c r="G1987" s="4" t="str">
        <f>IF($C1987="","",_xlfn.XLOOKUP($C1987,Order!$C:$C,Order!$G:$G,"",0,1))</f>
        <v>6063T5</v>
      </c>
      <c r="H1987" s="4">
        <f>IF($C1987="","",_xlfn.XLOOKUP($C1987,Order!$C:$C,Order!$H:$H,"",0,1))</f>
        <v>0.88100000000000001</v>
      </c>
      <c r="I1987" s="36">
        <f>IF($C1987="","",_xlfn.XLOOKUP($C1987,Order!$C:$C,Order!$N:$N,"",0,1))</f>
        <v>0</v>
      </c>
      <c r="J1987" s="4" t="str">
        <f>IF(C1987="","",Order!$N$16)</f>
        <v>ELECT. CHAMPAGNE (FAYH02)</v>
      </c>
      <c r="K1987" s="36">
        <f>IF($C1987="","",_xlfn.XLOOKUP($C1987,Order!$C:$C,Order!$P:$P,"",0,1))</f>
        <v>0</v>
      </c>
      <c r="L1987" s="4">
        <f t="shared" si="30"/>
        <v>0</v>
      </c>
    </row>
    <row r="1988" spans="2:12" ht="23.25" hidden="1" customHeight="1" x14ac:dyDescent="0.25">
      <c r="B1988" s="4">
        <v>1983</v>
      </c>
      <c r="C1988" s="36" t="str">
        <f>IF(Order!$C$274="","",Order!$C$274)</f>
        <v>SU238</v>
      </c>
      <c r="D1988" s="36" t="str">
        <f>IF($C1988="","",_xlfn.XLOOKUP($C1988,Order!$C:$C,Order!$D:$D,"",0,1))</f>
        <v>SU238</v>
      </c>
      <c r="E1988" s="4" t="e" vm="457">
        <f>IF($C1988="","",_xlfn.XLOOKUP($C1988,Order!$C:$C,Order!$E:$E,"",0,1))</f>
        <v>#VALUE!</v>
      </c>
      <c r="F1988" s="4">
        <f>IF($C1988="","",_xlfn.XLOOKUP($C1988,Order!$C:$C,Order!$F:$F,"",0,1))</f>
        <v>6000</v>
      </c>
      <c r="G1988" s="4" t="str">
        <f>IF($C1988="","",_xlfn.XLOOKUP($C1988,Order!$C:$C,Order!$G:$G,"",0,1))</f>
        <v>6063T5</v>
      </c>
      <c r="H1988" s="4">
        <f>IF($C1988="","",_xlfn.XLOOKUP($C1988,Order!$C:$C,Order!$H:$H,"",0,1))</f>
        <v>0.72699999999999998</v>
      </c>
      <c r="I1988" s="36">
        <f>IF($C1988="","",_xlfn.XLOOKUP($C1988,Order!$C:$C,Order!$N:$N,"",0,1))</f>
        <v>0</v>
      </c>
      <c r="J1988" s="4" t="str">
        <f>IF(C1988="","",Order!$N$16)</f>
        <v>ELECT. CHAMPAGNE (FAYH02)</v>
      </c>
      <c r="K1988" s="36">
        <f>IF($C1988="","",_xlfn.XLOOKUP($C1988,Order!$C:$C,Order!$P:$P,"",0,1))</f>
        <v>0</v>
      </c>
      <c r="L1988" s="4">
        <f t="shared" si="30"/>
        <v>0</v>
      </c>
    </row>
    <row r="1989" spans="2:12" ht="23.25" hidden="1" customHeight="1" x14ac:dyDescent="0.25">
      <c r="B1989" s="4">
        <v>1984</v>
      </c>
      <c r="C1989" s="36" t="str">
        <f>IF(Order!$C$275="","",Order!$C$275)</f>
        <v>SU250</v>
      </c>
      <c r="D1989" s="36" t="str">
        <f>IF($C1989="","",_xlfn.XLOOKUP($C1989,Order!$C:$C,Order!$D:$D,"",0,1))</f>
        <v>SU250</v>
      </c>
      <c r="E1989" s="4" t="e" vm="458">
        <f>IF($C1989="","",_xlfn.XLOOKUP($C1989,Order!$C:$C,Order!$E:$E,"",0,1))</f>
        <v>#VALUE!</v>
      </c>
      <c r="F1989" s="4">
        <f>IF($C1989="","",_xlfn.XLOOKUP($C1989,Order!$C:$C,Order!$F:$F,"",0,1))</f>
        <v>6000</v>
      </c>
      <c r="G1989" s="4" t="str">
        <f>IF($C1989="","",_xlfn.XLOOKUP($C1989,Order!$C:$C,Order!$G:$G,"",0,1))</f>
        <v>6063T5</v>
      </c>
      <c r="H1989" s="4">
        <f>IF($C1989="","",_xlfn.XLOOKUP($C1989,Order!$C:$C,Order!$H:$H,"",0,1))</f>
        <v>0.89400000000000002</v>
      </c>
      <c r="I1989" s="36">
        <f>IF($C1989="","",_xlfn.XLOOKUP($C1989,Order!$C:$C,Order!$N:$N,"",0,1))</f>
        <v>0</v>
      </c>
      <c r="J1989" s="4" t="str">
        <f>IF(C1989="","",Order!$N$16)</f>
        <v>ELECT. CHAMPAGNE (FAYH02)</v>
      </c>
      <c r="K1989" s="36">
        <f>IF($C1989="","",_xlfn.XLOOKUP($C1989,Order!$C:$C,Order!$P:$P,"",0,1))</f>
        <v>0</v>
      </c>
      <c r="L1989" s="4">
        <f t="shared" si="30"/>
        <v>0</v>
      </c>
    </row>
    <row r="1990" spans="2:12" ht="23.25" hidden="1" customHeight="1" x14ac:dyDescent="0.25">
      <c r="B1990" s="4">
        <v>1985</v>
      </c>
      <c r="C1990" s="36" t="str">
        <f>IF(Order!$C$276="","",Order!$C$276)</f>
        <v>SU279</v>
      </c>
      <c r="D1990" s="36" t="str">
        <f>IF($C1990="","",_xlfn.XLOOKUP($C1990,Order!$C:$C,Order!$D:$D,"",0,1))</f>
        <v>SU279</v>
      </c>
      <c r="E1990" s="4" t="e" vm="459">
        <f>IF($C1990="","",_xlfn.XLOOKUP($C1990,Order!$C:$C,Order!$E:$E,"",0,1))</f>
        <v>#VALUE!</v>
      </c>
      <c r="F1990" s="4">
        <f>IF($C1990="","",_xlfn.XLOOKUP($C1990,Order!$C:$C,Order!$F:$F,"",0,1))</f>
        <v>6000</v>
      </c>
      <c r="G1990" s="4" t="str">
        <f>IF($C1990="","",_xlfn.XLOOKUP($C1990,Order!$C:$C,Order!$G:$G,"",0,1))</f>
        <v>6063T5</v>
      </c>
      <c r="H1990" s="4">
        <f>IF($C1990="","",_xlfn.XLOOKUP($C1990,Order!$C:$C,Order!$H:$H,"",0,1))</f>
        <v>0.45800000000000002</v>
      </c>
      <c r="I1990" s="36">
        <f>IF($C1990="","",_xlfn.XLOOKUP($C1990,Order!$C:$C,Order!$N:$N,"",0,1))</f>
        <v>0</v>
      </c>
      <c r="J1990" s="4" t="str">
        <f>IF(C1990="","",Order!$N$16)</f>
        <v>ELECT. CHAMPAGNE (FAYH02)</v>
      </c>
      <c r="K1990" s="36">
        <f>IF($C1990="","",_xlfn.XLOOKUP($C1990,Order!$C:$C,Order!$P:$P,"",0,1))</f>
        <v>0</v>
      </c>
      <c r="L1990" s="4">
        <f t="shared" si="30"/>
        <v>0</v>
      </c>
    </row>
    <row r="1991" spans="2:12" ht="23.25" hidden="1" customHeight="1" x14ac:dyDescent="0.25">
      <c r="B1991" s="4">
        <v>1986</v>
      </c>
      <c r="C1991" s="36" t="str">
        <f>IF(Order!$C$277="","",Order!$C$277)</f>
        <v>SU352</v>
      </c>
      <c r="D1991" s="36" t="str">
        <f>IF($C1991="","",_xlfn.XLOOKUP($C1991,Order!$C:$C,Order!$D:$D,"",0,1))</f>
        <v>SU352</v>
      </c>
      <c r="E1991" s="4" t="e" vm="460">
        <f>IF($C1991="","",_xlfn.XLOOKUP($C1991,Order!$C:$C,Order!$E:$E,"",0,1))</f>
        <v>#VALUE!</v>
      </c>
      <c r="F1991" s="4">
        <f>IF($C1991="","",_xlfn.XLOOKUP($C1991,Order!$C:$C,Order!$F:$F,"",0,1))</f>
        <v>6000</v>
      </c>
      <c r="G1991" s="4" t="str">
        <f>IF($C1991="","",_xlfn.XLOOKUP($C1991,Order!$C:$C,Order!$G:$G,"",0,1))</f>
        <v>6063T5</v>
      </c>
      <c r="H1991" s="4">
        <f>IF($C1991="","",_xlfn.XLOOKUP($C1991,Order!$C:$C,Order!$H:$H,"",0,1))</f>
        <v>1.127</v>
      </c>
      <c r="I1991" s="36">
        <f>IF($C1991="","",_xlfn.XLOOKUP($C1991,Order!$C:$C,Order!$N:$N,"",0,1))</f>
        <v>0</v>
      </c>
      <c r="J1991" s="4" t="str">
        <f>IF(C1991="","",Order!$N$16)</f>
        <v>ELECT. CHAMPAGNE (FAYH02)</v>
      </c>
      <c r="K1991" s="36">
        <f>IF($C1991="","",_xlfn.XLOOKUP($C1991,Order!$C:$C,Order!$P:$P,"",0,1))</f>
        <v>0</v>
      </c>
      <c r="L1991" s="4">
        <f t="shared" ref="L1991:L2054" si="31">IF(C1991="","",F1991/1000*H1991*I1991)</f>
        <v>0</v>
      </c>
    </row>
    <row r="1992" spans="2:12" ht="23.25" hidden="1" customHeight="1" x14ac:dyDescent="0.25">
      <c r="B1992" s="4">
        <v>1987</v>
      </c>
      <c r="C1992" s="36" t="str">
        <f>IF(Order!$C$278="","",Order!$C$278)</f>
        <v>FU350</v>
      </c>
      <c r="D1992" s="36" t="str">
        <f>IF($C1992="","",_xlfn.XLOOKUP($C1992,Order!$C:$C,Order!$D:$D,"",0,1))</f>
        <v>FU350</v>
      </c>
      <c r="E1992" s="4" t="e" vm="461">
        <f>IF($C1992="","",_xlfn.XLOOKUP($C1992,Order!$C:$C,Order!$E:$E,"",0,1))</f>
        <v>#VALUE!</v>
      </c>
      <c r="F1992" s="4">
        <f>IF($C1992="","",_xlfn.XLOOKUP($C1992,Order!$C:$C,Order!$F:$F,"",0,1))</f>
        <v>6000</v>
      </c>
      <c r="G1992" s="4" t="str">
        <f>IF($C1992="","",_xlfn.XLOOKUP($C1992,Order!$C:$C,Order!$G:$G,"",0,1))</f>
        <v>6063T5</v>
      </c>
      <c r="H1992" s="4">
        <f>IF($C1992="","",_xlfn.XLOOKUP($C1992,Order!$C:$C,Order!$H:$H,"",0,1))</f>
        <v>0.45400000000000001</v>
      </c>
      <c r="I1992" s="36">
        <f>IF($C1992="","",_xlfn.XLOOKUP($C1992,Order!$C:$C,Order!$N:$N,"",0,1))</f>
        <v>0</v>
      </c>
      <c r="J1992" s="4" t="str">
        <f>IF(C1992="","",Order!$N$16)</f>
        <v>ELECT. CHAMPAGNE (FAYH02)</v>
      </c>
      <c r="K1992" s="36">
        <f>IF($C1992="","",_xlfn.XLOOKUP($C1992,Order!$C:$C,Order!$P:$P,"",0,1))</f>
        <v>0</v>
      </c>
      <c r="L1992" s="4">
        <f t="shared" si="31"/>
        <v>0</v>
      </c>
    </row>
    <row r="1993" spans="2:12" ht="23.25" hidden="1" customHeight="1" x14ac:dyDescent="0.25">
      <c r="B1993" s="4">
        <v>1988</v>
      </c>
      <c r="C1993" s="36" t="str">
        <f>IF(Order!$C$279="","",Order!$C$279)</f>
        <v>FU362</v>
      </c>
      <c r="D1993" s="36" t="str">
        <f>IF($C1993="","",_xlfn.XLOOKUP($C1993,Order!$C:$C,Order!$D:$D,"",0,1))</f>
        <v>FU362</v>
      </c>
      <c r="E1993" s="4" t="e" vm="462">
        <f>IF($C1993="","",_xlfn.XLOOKUP($C1993,Order!$C:$C,Order!$E:$E,"",0,1))</f>
        <v>#VALUE!</v>
      </c>
      <c r="F1993" s="4">
        <f>IF($C1993="","",_xlfn.XLOOKUP($C1993,Order!$C:$C,Order!$F:$F,"",0,1))</f>
        <v>6000</v>
      </c>
      <c r="G1993" s="4" t="str">
        <f>IF($C1993="","",_xlfn.XLOOKUP($C1993,Order!$C:$C,Order!$G:$G,"",0,1))</f>
        <v>6063T5</v>
      </c>
      <c r="H1993" s="4">
        <f>IF($C1993="","",_xlfn.XLOOKUP($C1993,Order!$C:$C,Order!$H:$H,"",0,1))</f>
        <v>0.66800000000000004</v>
      </c>
      <c r="I1993" s="36">
        <f>IF($C1993="","",_xlfn.XLOOKUP($C1993,Order!$C:$C,Order!$N:$N,"",0,1))</f>
        <v>0</v>
      </c>
      <c r="J1993" s="4" t="str">
        <f>IF(C1993="","",Order!$N$16)</f>
        <v>ELECT. CHAMPAGNE (FAYH02)</v>
      </c>
      <c r="K1993" s="36">
        <f>IF($C1993="","",_xlfn.XLOOKUP($C1993,Order!$C:$C,Order!$P:$P,"",0,1))</f>
        <v>0</v>
      </c>
      <c r="L1993" s="4">
        <f t="shared" si="31"/>
        <v>0</v>
      </c>
    </row>
    <row r="1994" spans="2:12" ht="23.25" hidden="1" customHeight="1" x14ac:dyDescent="0.25">
      <c r="B1994" s="4">
        <v>1989</v>
      </c>
      <c r="C1994" s="36" t="str">
        <f>IF(Order!$C$280="","",Order!$C$280)</f>
        <v>FU363</v>
      </c>
      <c r="D1994" s="36" t="str">
        <f>IF($C1994="","",_xlfn.XLOOKUP($C1994,Order!$C:$C,Order!$D:$D,"",0,1))</f>
        <v>FU363</v>
      </c>
      <c r="E1994" s="4" t="e" vm="463">
        <f>IF($C1994="","",_xlfn.XLOOKUP($C1994,Order!$C:$C,Order!$E:$E,"",0,1))</f>
        <v>#VALUE!</v>
      </c>
      <c r="F1994" s="4">
        <f>IF($C1994="","",_xlfn.XLOOKUP($C1994,Order!$C:$C,Order!$F:$F,"",0,1))</f>
        <v>6000</v>
      </c>
      <c r="G1994" s="4" t="str">
        <f>IF($C1994="","",_xlfn.XLOOKUP($C1994,Order!$C:$C,Order!$G:$G,"",0,1))</f>
        <v>6063T5</v>
      </c>
      <c r="H1994" s="4">
        <f>IF($C1994="","",_xlfn.XLOOKUP($C1994,Order!$C:$C,Order!$H:$H,"",0,1))</f>
        <v>0.65300000000000002</v>
      </c>
      <c r="I1994" s="36">
        <f>IF($C1994="","",_xlfn.XLOOKUP($C1994,Order!$C:$C,Order!$N:$N,"",0,1))</f>
        <v>0</v>
      </c>
      <c r="J1994" s="4" t="str">
        <f>IF(C1994="","",Order!$N$16)</f>
        <v>ELECT. CHAMPAGNE (FAYH02)</v>
      </c>
      <c r="K1994" s="36">
        <f>IF($C1994="","",_xlfn.XLOOKUP($C1994,Order!$C:$C,Order!$P:$P,"",0,1))</f>
        <v>0</v>
      </c>
      <c r="L1994" s="4">
        <f t="shared" si="31"/>
        <v>0</v>
      </c>
    </row>
    <row r="1995" spans="2:12" ht="23.25" hidden="1" customHeight="1" x14ac:dyDescent="0.25">
      <c r="B1995" s="4">
        <v>1990</v>
      </c>
      <c r="C1995" s="36" t="str">
        <f>IF(Order!$C$281="","",Order!$C$281)</f>
        <v>FU364</v>
      </c>
      <c r="D1995" s="36" t="str">
        <f>IF($C1995="","",_xlfn.XLOOKUP($C1995,Order!$C:$C,Order!$D:$D,"",0,1))</f>
        <v>FU364</v>
      </c>
      <c r="E1995" s="4" t="e" vm="464">
        <f>IF($C1995="","",_xlfn.XLOOKUP($C1995,Order!$C:$C,Order!$E:$E,"",0,1))</f>
        <v>#VALUE!</v>
      </c>
      <c r="F1995" s="4">
        <f>IF($C1995="","",_xlfn.XLOOKUP($C1995,Order!$C:$C,Order!$F:$F,"",0,1))</f>
        <v>6000</v>
      </c>
      <c r="G1995" s="4" t="str">
        <f>IF($C1995="","",_xlfn.XLOOKUP($C1995,Order!$C:$C,Order!$G:$G,"",0,1))</f>
        <v>6063T5</v>
      </c>
      <c r="H1995" s="4">
        <f>IF($C1995="","",_xlfn.XLOOKUP($C1995,Order!$C:$C,Order!$H:$H,"",0,1))</f>
        <v>0.61</v>
      </c>
      <c r="I1995" s="36">
        <f>IF($C1995="","",_xlfn.XLOOKUP($C1995,Order!$C:$C,Order!$N:$N,"",0,1))</f>
        <v>0</v>
      </c>
      <c r="J1995" s="4" t="str">
        <f>IF(C1995="","",Order!$N$16)</f>
        <v>ELECT. CHAMPAGNE (FAYH02)</v>
      </c>
      <c r="K1995" s="36">
        <f>IF($C1995="","",_xlfn.XLOOKUP($C1995,Order!$C:$C,Order!$P:$P,"",0,1))</f>
        <v>0</v>
      </c>
      <c r="L1995" s="4">
        <f t="shared" si="31"/>
        <v>0</v>
      </c>
    </row>
    <row r="1996" spans="2:12" ht="23.25" hidden="1" customHeight="1" x14ac:dyDescent="0.25">
      <c r="B1996" s="4">
        <v>1991</v>
      </c>
      <c r="C1996" s="36" t="str">
        <f>IF(Order!$C$282="","",Order!$C$282)</f>
        <v>FU899</v>
      </c>
      <c r="D1996" s="36" t="str">
        <f>IF($C1996="","",_xlfn.XLOOKUP($C1996,Order!$C:$C,Order!$D:$D,"",0,1))</f>
        <v>FU899</v>
      </c>
      <c r="E1996" s="4" t="e" vm="465">
        <f>IF($C1996="","",_xlfn.XLOOKUP($C1996,Order!$C:$C,Order!$E:$E,"",0,1))</f>
        <v>#VALUE!</v>
      </c>
      <c r="F1996" s="4">
        <f>IF($C1996="","",_xlfn.XLOOKUP($C1996,Order!$C:$C,Order!$F:$F,"",0,1))</f>
        <v>6000</v>
      </c>
      <c r="G1996" s="4" t="str">
        <f>IF($C1996="","",_xlfn.XLOOKUP($C1996,Order!$C:$C,Order!$G:$G,"",0,1))</f>
        <v>6063T5</v>
      </c>
      <c r="H1996" s="4">
        <f>IF($C1996="","",_xlfn.XLOOKUP($C1996,Order!$C:$C,Order!$H:$H,"",0,1))</f>
        <v>0.52900000000000003</v>
      </c>
      <c r="I1996" s="36">
        <f>IF($C1996="","",_xlfn.XLOOKUP($C1996,Order!$C:$C,Order!$N:$N,"",0,1))</f>
        <v>0</v>
      </c>
      <c r="J1996" s="4" t="str">
        <f>IF(C1996="","",Order!$N$16)</f>
        <v>ELECT. CHAMPAGNE (FAYH02)</v>
      </c>
      <c r="K1996" s="36">
        <f>IF($C1996="","",_xlfn.XLOOKUP($C1996,Order!$C:$C,Order!$P:$P,"",0,1))</f>
        <v>0</v>
      </c>
      <c r="L1996" s="4">
        <f t="shared" si="31"/>
        <v>0</v>
      </c>
    </row>
    <row r="1997" spans="2:12" ht="23.25" hidden="1" customHeight="1" x14ac:dyDescent="0.25">
      <c r="B1997" s="4">
        <v>1992</v>
      </c>
      <c r="C1997" s="36" t="str">
        <f>IF(Order!$C$283="","",Order!$C$283)</f>
        <v>FU900</v>
      </c>
      <c r="D1997" s="36" t="str">
        <f>IF($C1997="","",_xlfn.XLOOKUP($C1997,Order!$C:$C,Order!$D:$D,"",0,1))</f>
        <v>FU900</v>
      </c>
      <c r="E1997" s="4" t="e" vm="466">
        <f>IF($C1997="","",_xlfn.XLOOKUP($C1997,Order!$C:$C,Order!$E:$E,"",0,1))</f>
        <v>#VALUE!</v>
      </c>
      <c r="F1997" s="4">
        <f>IF($C1997="","",_xlfn.XLOOKUP($C1997,Order!$C:$C,Order!$F:$F,"",0,1))</f>
        <v>6000</v>
      </c>
      <c r="G1997" s="4" t="str">
        <f>IF($C1997="","",_xlfn.XLOOKUP($C1997,Order!$C:$C,Order!$G:$G,"",0,1))</f>
        <v>6063T5</v>
      </c>
      <c r="H1997" s="4">
        <f>IF($C1997="","",_xlfn.XLOOKUP($C1997,Order!$C:$C,Order!$H:$H,"",0,1))</f>
        <v>0.48499999999999999</v>
      </c>
      <c r="I1997" s="36">
        <f>IF($C1997="","",_xlfn.XLOOKUP($C1997,Order!$C:$C,Order!$N:$N,"",0,1))</f>
        <v>0</v>
      </c>
      <c r="J1997" s="4" t="str">
        <f>IF(C1997="","",Order!$N$16)</f>
        <v>ELECT. CHAMPAGNE (FAYH02)</v>
      </c>
      <c r="K1997" s="36">
        <f>IF($C1997="","",_xlfn.XLOOKUP($C1997,Order!$C:$C,Order!$P:$P,"",0,1))</f>
        <v>0</v>
      </c>
      <c r="L1997" s="4">
        <f t="shared" si="31"/>
        <v>0</v>
      </c>
    </row>
    <row r="1998" spans="2:12" ht="23.25" hidden="1" customHeight="1" x14ac:dyDescent="0.25">
      <c r="B1998" s="4">
        <v>1993</v>
      </c>
      <c r="C1998" s="36" t="str">
        <f>IF(Order!$C$284="","",Order!$C$284)</f>
        <v>FU901</v>
      </c>
      <c r="D1998" s="36" t="str">
        <f>IF($C1998="","",_xlfn.XLOOKUP($C1998,Order!$C:$C,Order!$D:$D,"",0,1))</f>
        <v>FU901</v>
      </c>
      <c r="E1998" s="4" t="e" vm="467">
        <f>IF($C1998="","",_xlfn.XLOOKUP($C1998,Order!$C:$C,Order!$E:$E,"",0,1))</f>
        <v>#VALUE!</v>
      </c>
      <c r="F1998" s="4">
        <f>IF($C1998="","",_xlfn.XLOOKUP($C1998,Order!$C:$C,Order!$F:$F,"",0,1))</f>
        <v>6000</v>
      </c>
      <c r="G1998" s="4" t="str">
        <f>IF($C1998="","",_xlfn.XLOOKUP($C1998,Order!$C:$C,Order!$G:$G,"",0,1))</f>
        <v>6063T5</v>
      </c>
      <c r="H1998" s="4">
        <f>IF($C1998="","",_xlfn.XLOOKUP($C1998,Order!$C:$C,Order!$H:$H,"",0,1))</f>
        <v>0.54100000000000004</v>
      </c>
      <c r="I1998" s="36">
        <f>IF($C1998="","",_xlfn.XLOOKUP($C1998,Order!$C:$C,Order!$N:$N,"",0,1))</f>
        <v>0</v>
      </c>
      <c r="J1998" s="4" t="str">
        <f>IF(C1998="","",Order!$N$16)</f>
        <v>ELECT. CHAMPAGNE (FAYH02)</v>
      </c>
      <c r="K1998" s="36">
        <f>IF($C1998="","",_xlfn.XLOOKUP($C1998,Order!$C:$C,Order!$P:$P,"",0,1))</f>
        <v>0</v>
      </c>
      <c r="L1998" s="4">
        <f t="shared" si="31"/>
        <v>0</v>
      </c>
    </row>
    <row r="1999" spans="2:12" ht="23.25" hidden="1" customHeight="1" x14ac:dyDescent="0.25">
      <c r="B1999" s="4">
        <v>1994</v>
      </c>
      <c r="C1999" s="36" t="str">
        <f>IF(Order!$C$285="","",Order!$C$285)</f>
        <v>MT0113</v>
      </c>
      <c r="D1999" s="36" t="str">
        <f>IF($C1999="","",_xlfn.XLOOKUP($C1999,Order!$C:$C,Order!$D:$D,"",0,1))</f>
        <v>MT0113</v>
      </c>
      <c r="E1999" s="4" t="e" vm="468">
        <f>IF($C1999="","",_xlfn.XLOOKUP($C1999,Order!$C:$C,Order!$E:$E,"",0,1))</f>
        <v>#VALUE!</v>
      </c>
      <c r="F1999" s="4">
        <f>IF($C1999="","",_xlfn.XLOOKUP($C1999,Order!$C:$C,Order!$F:$F,"",0,1))</f>
        <v>6000</v>
      </c>
      <c r="G1999" s="4" t="str">
        <f>IF($C1999="","",_xlfn.XLOOKUP($C1999,Order!$C:$C,Order!$G:$G,"",0,1))</f>
        <v>6063T5</v>
      </c>
      <c r="H1999" s="4">
        <f>IF($C1999="","",_xlfn.XLOOKUP($C1999,Order!$C:$C,Order!$H:$H,"",0,1))</f>
        <v>0.54400000000000004</v>
      </c>
      <c r="I1999" s="36">
        <f>IF($C1999="","",_xlfn.XLOOKUP($C1999,Order!$C:$C,Order!$N:$N,"",0,1))</f>
        <v>0</v>
      </c>
      <c r="J1999" s="4" t="str">
        <f>IF(C1999="","",Order!$N$16)</f>
        <v>ELECT. CHAMPAGNE (FAYH02)</v>
      </c>
      <c r="K1999" s="36">
        <f>IF($C1999="","",_xlfn.XLOOKUP($C1999,Order!$C:$C,Order!$P:$P,"",0,1))</f>
        <v>0</v>
      </c>
      <c r="L1999" s="4">
        <f t="shared" si="31"/>
        <v>0</v>
      </c>
    </row>
    <row r="2000" spans="2:12" ht="23.25" hidden="1" customHeight="1" x14ac:dyDescent="0.25">
      <c r="B2000" s="4">
        <v>1995</v>
      </c>
      <c r="C2000" s="36" t="str">
        <f>IF(Order!$C$286="","",Order!$C$286)</f>
        <v>MT0117</v>
      </c>
      <c r="D2000" s="36" t="str">
        <f>IF($C2000="","",_xlfn.XLOOKUP($C2000,Order!$C:$C,Order!$D:$D,"",0,1))</f>
        <v>MT0117</v>
      </c>
      <c r="E2000" s="4" t="e" vm="469">
        <f>IF($C2000="","",_xlfn.XLOOKUP($C2000,Order!$C:$C,Order!$E:$E,"",0,1))</f>
        <v>#VALUE!</v>
      </c>
      <c r="F2000" s="4">
        <f>IF($C2000="","",_xlfn.XLOOKUP($C2000,Order!$C:$C,Order!$F:$F,"",0,1))</f>
        <v>6000</v>
      </c>
      <c r="G2000" s="4" t="str">
        <f>IF($C2000="","",_xlfn.XLOOKUP($C2000,Order!$C:$C,Order!$G:$G,"",0,1))</f>
        <v>6063T5</v>
      </c>
      <c r="H2000" s="4">
        <f>IF($C2000="","",_xlfn.XLOOKUP($C2000,Order!$C:$C,Order!$H:$H,"",0,1))</f>
        <v>0.76300000000000001</v>
      </c>
      <c r="I2000" s="36">
        <f>IF($C2000="","",_xlfn.XLOOKUP($C2000,Order!$C:$C,Order!$N:$N,"",0,1))</f>
        <v>0</v>
      </c>
      <c r="J2000" s="4" t="str">
        <f>IF(C2000="","",Order!$N$16)</f>
        <v>ELECT. CHAMPAGNE (FAYH02)</v>
      </c>
      <c r="K2000" s="36">
        <f>IF($C2000="","",_xlfn.XLOOKUP($C2000,Order!$C:$C,Order!$P:$P,"",0,1))</f>
        <v>0</v>
      </c>
      <c r="L2000" s="4">
        <f t="shared" si="31"/>
        <v>0</v>
      </c>
    </row>
    <row r="2001" spans="2:12" ht="23.25" hidden="1" customHeight="1" x14ac:dyDescent="0.25">
      <c r="B2001" s="4">
        <v>1996</v>
      </c>
      <c r="C2001" s="36" t="str">
        <f>IF(Order!$C$287="","",Order!$C$287)</f>
        <v>MT0121</v>
      </c>
      <c r="D2001" s="36" t="str">
        <f>IF($C2001="","",_xlfn.XLOOKUP($C2001,Order!$C:$C,Order!$D:$D,"",0,1))</f>
        <v>MT0121</v>
      </c>
      <c r="E2001" s="4" t="e" vm="470">
        <f>IF($C2001="","",_xlfn.XLOOKUP($C2001,Order!$C:$C,Order!$E:$E,"",0,1))</f>
        <v>#VALUE!</v>
      </c>
      <c r="F2001" s="4">
        <f>IF($C2001="","",_xlfn.XLOOKUP($C2001,Order!$C:$C,Order!$F:$F,"",0,1))</f>
        <v>6000</v>
      </c>
      <c r="G2001" s="4" t="str">
        <f>IF($C2001="","",_xlfn.XLOOKUP($C2001,Order!$C:$C,Order!$G:$G,"",0,1))</f>
        <v>6063T5</v>
      </c>
      <c r="H2001" s="4">
        <f>IF($C2001="","",_xlfn.XLOOKUP($C2001,Order!$C:$C,Order!$H:$H,"",0,1))</f>
        <v>0.91500000000000004</v>
      </c>
      <c r="I2001" s="36">
        <f>IF($C2001="","",_xlfn.XLOOKUP($C2001,Order!$C:$C,Order!$N:$N,"",0,1))</f>
        <v>0</v>
      </c>
      <c r="J2001" s="4" t="str">
        <f>IF(C2001="","",Order!$N$16)</f>
        <v>ELECT. CHAMPAGNE (FAYH02)</v>
      </c>
      <c r="K2001" s="36">
        <f>IF($C2001="","",_xlfn.XLOOKUP($C2001,Order!$C:$C,Order!$P:$P,"",0,1))</f>
        <v>0</v>
      </c>
      <c r="L2001" s="4">
        <f t="shared" si="31"/>
        <v>0</v>
      </c>
    </row>
    <row r="2002" spans="2:12" ht="23.25" hidden="1" customHeight="1" x14ac:dyDescent="0.25">
      <c r="B2002" s="4">
        <v>1997</v>
      </c>
      <c r="C2002" s="36" t="str">
        <f>IF(Order!$C$288="","",Order!$C$288)</f>
        <v>BX823</v>
      </c>
      <c r="D2002" s="36" t="str">
        <f>IF($C2002="","",_xlfn.XLOOKUP($C2002,Order!$C:$C,Order!$D:$D,"",0,1))</f>
        <v>BX823</v>
      </c>
      <c r="E2002" s="4" t="e" vm="471">
        <f>IF($C2002="","",_xlfn.XLOOKUP($C2002,Order!$C:$C,Order!$E:$E,"",0,1))</f>
        <v>#VALUE!</v>
      </c>
      <c r="F2002" s="4">
        <f>IF($C2002="","",_xlfn.XLOOKUP($C2002,Order!$C:$C,Order!$F:$F,"",0,1))</f>
        <v>6000</v>
      </c>
      <c r="G2002" s="4" t="str">
        <f>IF($C2002="","",_xlfn.XLOOKUP($C2002,Order!$C:$C,Order!$G:$G,"",0,1))</f>
        <v>6063T5</v>
      </c>
      <c r="H2002" s="4">
        <f>IF($C2002="","",_xlfn.XLOOKUP($C2002,Order!$C:$C,Order!$H:$H,"",0,1))</f>
        <v>0</v>
      </c>
      <c r="I2002" s="36">
        <f>IF($C2002="","",_xlfn.XLOOKUP($C2002,Order!$C:$C,Order!$N:$N,"",0,1))</f>
        <v>0</v>
      </c>
      <c r="J2002" s="4" t="str">
        <f>IF(C2002="","",Order!$N$16)</f>
        <v>ELECT. CHAMPAGNE (FAYH02)</v>
      </c>
      <c r="K2002" s="36">
        <f>IF($C2002="","",_xlfn.XLOOKUP($C2002,Order!$C:$C,Order!$P:$P,"",0,1))</f>
        <v>0</v>
      </c>
      <c r="L2002" s="4">
        <f t="shared" si="31"/>
        <v>0</v>
      </c>
    </row>
    <row r="2003" spans="2:12" ht="23.25" hidden="1" customHeight="1" x14ac:dyDescent="0.25">
      <c r="B2003" s="4">
        <v>1998</v>
      </c>
      <c r="C2003" s="36" t="str">
        <f>IF(Order!$C$289="","",Order!$C$289)</f>
        <v>BX824</v>
      </c>
      <c r="D2003" s="36" t="str">
        <f>IF($C2003="","",_xlfn.XLOOKUP($C2003,Order!$C:$C,Order!$D:$D,"",0,1))</f>
        <v>BX824</v>
      </c>
      <c r="E2003" s="4" t="e" vm="472">
        <f>IF($C2003="","",_xlfn.XLOOKUP($C2003,Order!$C:$C,Order!$E:$E,"",0,1))</f>
        <v>#VALUE!</v>
      </c>
      <c r="F2003" s="4">
        <f>IF($C2003="","",_xlfn.XLOOKUP($C2003,Order!$C:$C,Order!$F:$F,"",0,1))</f>
        <v>6000</v>
      </c>
      <c r="G2003" s="4" t="str">
        <f>IF($C2003="","",_xlfn.XLOOKUP($C2003,Order!$C:$C,Order!$G:$G,"",0,1))</f>
        <v>6063T5</v>
      </c>
      <c r="H2003" s="4">
        <f>IF($C2003="","",_xlfn.XLOOKUP($C2003,Order!$C:$C,Order!$H:$H,"",0,1))</f>
        <v>0.47299999999999998</v>
      </c>
      <c r="I2003" s="36">
        <f>IF($C2003="","",_xlfn.XLOOKUP($C2003,Order!$C:$C,Order!$N:$N,"",0,1))</f>
        <v>0</v>
      </c>
      <c r="J2003" s="4" t="str">
        <f>IF(C2003="","",Order!$N$16)</f>
        <v>ELECT. CHAMPAGNE (FAYH02)</v>
      </c>
      <c r="K2003" s="36">
        <f>IF($C2003="","",_xlfn.XLOOKUP($C2003,Order!$C:$C,Order!$P:$P,"",0,1))</f>
        <v>0</v>
      </c>
      <c r="L2003" s="4">
        <f t="shared" si="31"/>
        <v>0</v>
      </c>
    </row>
    <row r="2004" spans="2:12" ht="23.25" hidden="1" customHeight="1" x14ac:dyDescent="0.25">
      <c r="B2004" s="4">
        <v>1999</v>
      </c>
      <c r="C2004" s="36" t="str">
        <f>IF(Order!$C$290="","",Order!$C$290)</f>
        <v>BX825</v>
      </c>
      <c r="D2004" s="36" t="str">
        <f>IF($C2004="","",_xlfn.XLOOKUP($C2004,Order!$C:$C,Order!$D:$D,"",0,1))</f>
        <v>BX825</v>
      </c>
      <c r="E2004" s="4" t="e" vm="473">
        <f>IF($C2004="","",_xlfn.XLOOKUP($C2004,Order!$C:$C,Order!$E:$E,"",0,1))</f>
        <v>#VALUE!</v>
      </c>
      <c r="F2004" s="4">
        <f>IF($C2004="","",_xlfn.XLOOKUP($C2004,Order!$C:$C,Order!$F:$F,"",0,1))</f>
        <v>6000</v>
      </c>
      <c r="G2004" s="4" t="str">
        <f>IF($C2004="","",_xlfn.XLOOKUP($C2004,Order!$C:$C,Order!$G:$G,"",0,1))</f>
        <v>6063T5</v>
      </c>
      <c r="H2004" s="4">
        <f>IF($C2004="","",_xlfn.XLOOKUP($C2004,Order!$C:$C,Order!$H:$H,"",0,1))</f>
        <v>0</v>
      </c>
      <c r="I2004" s="36">
        <f>IF($C2004="","",_xlfn.XLOOKUP($C2004,Order!$C:$C,Order!$N:$N,"",0,1))</f>
        <v>0</v>
      </c>
      <c r="J2004" s="4" t="str">
        <f>IF(C2004="","",Order!$N$16)</f>
        <v>ELECT. CHAMPAGNE (FAYH02)</v>
      </c>
      <c r="K2004" s="36">
        <f>IF($C2004="","",_xlfn.XLOOKUP($C2004,Order!$C:$C,Order!$P:$P,"",0,1))</f>
        <v>0</v>
      </c>
      <c r="L2004" s="4">
        <f t="shared" si="31"/>
        <v>0</v>
      </c>
    </row>
    <row r="2005" spans="2:12" ht="23.25" hidden="1" customHeight="1" x14ac:dyDescent="0.25">
      <c r="B2005" s="4">
        <v>2000</v>
      </c>
      <c r="C2005" s="36" t="str">
        <f>IF(Order!$C$291="","",Order!$C$291)</f>
        <v>BX826</v>
      </c>
      <c r="D2005" s="36" t="str">
        <f>IF($C2005="","",_xlfn.XLOOKUP($C2005,Order!$C:$C,Order!$D:$D,"",0,1))</f>
        <v>BX826</v>
      </c>
      <c r="E2005" s="4" t="e" vm="474">
        <f>IF($C2005="","",_xlfn.XLOOKUP($C2005,Order!$C:$C,Order!$E:$E,"",0,1))</f>
        <v>#VALUE!</v>
      </c>
      <c r="F2005" s="4">
        <f>IF($C2005="","",_xlfn.XLOOKUP($C2005,Order!$C:$C,Order!$F:$F,"",0,1))</f>
        <v>6000</v>
      </c>
      <c r="G2005" s="4" t="str">
        <f>IF($C2005="","",_xlfn.XLOOKUP($C2005,Order!$C:$C,Order!$G:$G,"",0,1))</f>
        <v>6063T5</v>
      </c>
      <c r="H2005" s="4">
        <f>IF($C2005="","",_xlfn.XLOOKUP($C2005,Order!$C:$C,Order!$H:$H,"",0,1))</f>
        <v>0.53800000000000003</v>
      </c>
      <c r="I2005" s="36">
        <f>IF($C2005="","",_xlfn.XLOOKUP($C2005,Order!$C:$C,Order!$N:$N,"",0,1))</f>
        <v>0</v>
      </c>
      <c r="J2005" s="4" t="str">
        <f>IF(C2005="","",Order!$N$16)</f>
        <v>ELECT. CHAMPAGNE (FAYH02)</v>
      </c>
      <c r="K2005" s="36">
        <f>IF($C2005="","",_xlfn.XLOOKUP($C2005,Order!$C:$C,Order!$P:$P,"",0,1))</f>
        <v>0</v>
      </c>
      <c r="L2005" s="4">
        <f t="shared" si="31"/>
        <v>0</v>
      </c>
    </row>
    <row r="2006" spans="2:12" ht="23.25" hidden="1" customHeight="1" x14ac:dyDescent="0.25">
      <c r="B2006" s="4">
        <v>2001</v>
      </c>
      <c r="C2006" s="36" t="str">
        <f>IF(Order!$C$292="","",Order!$C$292)</f>
        <v>BX827</v>
      </c>
      <c r="D2006" s="36" t="str">
        <f>IF($C2006="","",_xlfn.XLOOKUP($C2006,Order!$C:$C,Order!$D:$D,"",0,1))</f>
        <v>BX827</v>
      </c>
      <c r="E2006" s="4" t="e" vm="475">
        <f>IF($C2006="","",_xlfn.XLOOKUP($C2006,Order!$C:$C,Order!$E:$E,"",0,1))</f>
        <v>#VALUE!</v>
      </c>
      <c r="F2006" s="4">
        <f>IF($C2006="","",_xlfn.XLOOKUP($C2006,Order!$C:$C,Order!$F:$F,"",0,1))</f>
        <v>6000</v>
      </c>
      <c r="G2006" s="4" t="str">
        <f>IF($C2006="","",_xlfn.XLOOKUP($C2006,Order!$C:$C,Order!$G:$G,"",0,1))</f>
        <v>6063T5</v>
      </c>
      <c r="H2006" s="4">
        <f>IF($C2006="","",_xlfn.XLOOKUP($C2006,Order!$C:$C,Order!$H:$H,"",0,1))</f>
        <v>0</v>
      </c>
      <c r="I2006" s="36">
        <f>IF($C2006="","",_xlfn.XLOOKUP($C2006,Order!$C:$C,Order!$N:$N,"",0,1))</f>
        <v>0</v>
      </c>
      <c r="J2006" s="4" t="str">
        <f>IF(C2006="","",Order!$N$16)</f>
        <v>ELECT. CHAMPAGNE (FAYH02)</v>
      </c>
      <c r="K2006" s="36">
        <f>IF($C2006="","",_xlfn.XLOOKUP($C2006,Order!$C:$C,Order!$P:$P,"",0,1))</f>
        <v>0</v>
      </c>
      <c r="L2006" s="4">
        <f t="shared" si="31"/>
        <v>0</v>
      </c>
    </row>
    <row r="2007" spans="2:12" ht="23.25" hidden="1" customHeight="1" x14ac:dyDescent="0.25">
      <c r="B2007" s="4">
        <v>2002</v>
      </c>
      <c r="C2007" s="36" t="str">
        <f>IF(Order!$C$293="","",Order!$C$293)</f>
        <v>BX1087</v>
      </c>
      <c r="D2007" s="36" t="str">
        <f>IF($C2007="","",_xlfn.XLOOKUP($C2007,Order!$C:$C,Order!$D:$D,"",0,1))</f>
        <v>BX1087</v>
      </c>
      <c r="E2007" s="4" t="e" vm="476">
        <f>IF($C2007="","",_xlfn.XLOOKUP($C2007,Order!$C:$C,Order!$E:$E,"",0,1))</f>
        <v>#VALUE!</v>
      </c>
      <c r="F2007" s="4">
        <f>IF($C2007="","",_xlfn.XLOOKUP($C2007,Order!$C:$C,Order!$F:$F,"",0,1))</f>
        <v>6000</v>
      </c>
      <c r="G2007" s="4" t="str">
        <f>IF($C2007="","",_xlfn.XLOOKUP($C2007,Order!$C:$C,Order!$G:$G,"",0,1))</f>
        <v>6063T5</v>
      </c>
      <c r="H2007" s="4">
        <f>IF($C2007="","",_xlfn.XLOOKUP($C2007,Order!$C:$C,Order!$H:$H,"",0,1))</f>
        <v>0.58399999999999996</v>
      </c>
      <c r="I2007" s="36">
        <f>IF($C2007="","",_xlfn.XLOOKUP($C2007,Order!$C:$C,Order!$N:$N,"",0,1))</f>
        <v>0</v>
      </c>
      <c r="J2007" s="4" t="str">
        <f>IF(C2007="","",Order!$N$16)</f>
        <v>ELECT. CHAMPAGNE (FAYH02)</v>
      </c>
      <c r="K2007" s="36">
        <f>IF($C2007="","",_xlfn.XLOOKUP($C2007,Order!$C:$C,Order!$P:$P,"",0,1))</f>
        <v>0</v>
      </c>
      <c r="L2007" s="4">
        <f t="shared" si="31"/>
        <v>0</v>
      </c>
    </row>
    <row r="2008" spans="2:12" ht="23.25" hidden="1" customHeight="1" x14ac:dyDescent="0.25">
      <c r="B2008" s="4">
        <v>2003</v>
      </c>
      <c r="C2008" s="36" t="str">
        <f>IF(Order!$C$294="","",Order!$C$294)</f>
        <v>ME013</v>
      </c>
      <c r="D2008" s="36" t="str">
        <f>IF($C2008="","",_xlfn.XLOOKUP($C2008,Order!$C:$C,Order!$D:$D,"",0,1))</f>
        <v>ME013</v>
      </c>
      <c r="E2008" s="4" t="e" vm="477">
        <f>IF($C2008="","",_xlfn.XLOOKUP($C2008,Order!$C:$C,Order!$E:$E,"",0,1))</f>
        <v>#VALUE!</v>
      </c>
      <c r="F2008" s="4">
        <f>IF($C2008="","",_xlfn.XLOOKUP($C2008,Order!$C:$C,Order!$F:$F,"",0,1))</f>
        <v>6000</v>
      </c>
      <c r="G2008" s="4" t="str">
        <f>IF($C2008="","",_xlfn.XLOOKUP($C2008,Order!$C:$C,Order!$G:$G,"",0,1))</f>
        <v>6063T5</v>
      </c>
      <c r="H2008" s="4">
        <f>IF($C2008="","",_xlfn.XLOOKUP($C2008,Order!$C:$C,Order!$H:$H,"",0,1))</f>
        <v>0.27600000000000002</v>
      </c>
      <c r="I2008" s="36">
        <f>IF($C2008="","",_xlfn.XLOOKUP($C2008,Order!$C:$C,Order!$N:$N,"",0,1))</f>
        <v>0</v>
      </c>
      <c r="J2008" s="4" t="str">
        <f>IF(C2008="","",Order!$N$16)</f>
        <v>ELECT. CHAMPAGNE (FAYH02)</v>
      </c>
      <c r="K2008" s="36">
        <f>IF($C2008="","",_xlfn.XLOOKUP($C2008,Order!$C:$C,Order!$P:$P,"",0,1))</f>
        <v>0</v>
      </c>
      <c r="L2008" s="4">
        <f t="shared" si="31"/>
        <v>0</v>
      </c>
    </row>
    <row r="2009" spans="2:12" ht="23.25" hidden="1" customHeight="1" x14ac:dyDescent="0.25">
      <c r="B2009" s="4">
        <v>2004</v>
      </c>
      <c r="C2009" s="36" t="str">
        <f>IF(Order!$C$295="","",Order!$C$295)</f>
        <v/>
      </c>
      <c r="D2009" s="36" t="str">
        <f>IF($C2009="","",_xlfn.XLOOKUP($C2009,Order!$C:$C,Order!$D:$D,"",0,1))</f>
        <v/>
      </c>
      <c r="E2009" s="4" t="str">
        <f>IF($C2009="","",_xlfn.XLOOKUP($C2009,Order!$C:$C,Order!$E:$E,"",0,1))</f>
        <v/>
      </c>
      <c r="F2009" s="4" t="str">
        <f>IF($C2009="","",_xlfn.XLOOKUP($C2009,Order!$C:$C,Order!$F:$F,"",0,1))</f>
        <v/>
      </c>
      <c r="G2009" s="4" t="str">
        <f>IF($C2009="","",_xlfn.XLOOKUP($C2009,Order!$C:$C,Order!$G:$G,"",0,1))</f>
        <v/>
      </c>
      <c r="H2009" s="4" t="str">
        <f>IF($C2009="","",_xlfn.XLOOKUP($C2009,Order!$C:$C,Order!$H:$H,"",0,1))</f>
        <v/>
      </c>
      <c r="I2009" s="36" t="str">
        <f>IF($C2009="","",_xlfn.XLOOKUP($C2009,Order!$C:$C,Order!$N:$N,"",0,1))</f>
        <v/>
      </c>
      <c r="J2009" s="4" t="str">
        <f>IF(C2009="","",Order!$N$16)</f>
        <v/>
      </c>
      <c r="K2009" s="36" t="str">
        <f>IF($C2009="","",_xlfn.XLOOKUP($C2009,Order!$C:$C,Order!$P:$P,"",0,1))</f>
        <v/>
      </c>
      <c r="L2009" s="4" t="str">
        <f t="shared" si="31"/>
        <v/>
      </c>
    </row>
    <row r="2010" spans="2:12" ht="23.25" hidden="1" customHeight="1" x14ac:dyDescent="0.25">
      <c r="B2010" s="4">
        <v>2005</v>
      </c>
      <c r="C2010" s="36" t="str">
        <f>IF(Order!$C$296="","",Order!$C$296)</f>
        <v/>
      </c>
      <c r="D2010" s="36" t="str">
        <f>IF($C2010="","",_xlfn.XLOOKUP($C2010,Order!$C:$C,Order!$D:$D,"",0,1))</f>
        <v/>
      </c>
      <c r="E2010" s="4" t="str">
        <f>IF($C2010="","",_xlfn.XLOOKUP($C2010,Order!$C:$C,Order!$E:$E,"",0,1))</f>
        <v/>
      </c>
      <c r="F2010" s="4" t="str">
        <f>IF($C2010="","",_xlfn.XLOOKUP($C2010,Order!$C:$C,Order!$F:$F,"",0,1))</f>
        <v/>
      </c>
      <c r="G2010" s="4" t="str">
        <f>IF($C2010="","",_xlfn.XLOOKUP($C2010,Order!$C:$C,Order!$G:$G,"",0,1))</f>
        <v/>
      </c>
      <c r="H2010" s="4" t="str">
        <f>IF($C2010="","",_xlfn.XLOOKUP($C2010,Order!$C:$C,Order!$H:$H,"",0,1))</f>
        <v/>
      </c>
      <c r="I2010" s="36" t="str">
        <f>IF($C2010="","",_xlfn.XLOOKUP($C2010,Order!$C:$C,Order!$N:$N,"",0,1))</f>
        <v/>
      </c>
      <c r="J2010" s="4" t="str">
        <f>IF(C2010="","",Order!$N$16)</f>
        <v/>
      </c>
      <c r="K2010" s="36" t="str">
        <f>IF($C2010="","",_xlfn.XLOOKUP($C2010,Order!$C:$C,Order!$P:$P,"",0,1))</f>
        <v/>
      </c>
      <c r="L2010" s="4" t="str">
        <f t="shared" si="31"/>
        <v/>
      </c>
    </row>
    <row r="2011" spans="2:12" ht="23.25" hidden="1" customHeight="1" x14ac:dyDescent="0.25">
      <c r="B2011" s="4">
        <v>2006</v>
      </c>
      <c r="C2011" s="36" t="str">
        <f>IF(Order!$C$297="","",Order!$C$297)</f>
        <v/>
      </c>
      <c r="D2011" s="36" t="str">
        <f>IF($C2011="","",_xlfn.XLOOKUP($C2011,Order!$C:$C,Order!$D:$D,"",0,1))</f>
        <v/>
      </c>
      <c r="E2011" s="4" t="str">
        <f>IF($C2011="","",_xlfn.XLOOKUP($C2011,Order!$C:$C,Order!$E:$E,"",0,1))</f>
        <v/>
      </c>
      <c r="F2011" s="4" t="str">
        <f>IF($C2011="","",_xlfn.XLOOKUP($C2011,Order!$C:$C,Order!$F:$F,"",0,1))</f>
        <v/>
      </c>
      <c r="G2011" s="4" t="str">
        <f>IF($C2011="","",_xlfn.XLOOKUP($C2011,Order!$C:$C,Order!$G:$G,"",0,1))</f>
        <v/>
      </c>
      <c r="H2011" s="4" t="str">
        <f>IF($C2011="","",_xlfn.XLOOKUP($C2011,Order!$C:$C,Order!$H:$H,"",0,1))</f>
        <v/>
      </c>
      <c r="I2011" s="36" t="str">
        <f>IF($C2011="","",_xlfn.XLOOKUP($C2011,Order!$C:$C,Order!$N:$N,"",0,1))</f>
        <v/>
      </c>
      <c r="J2011" s="4" t="str">
        <f>IF(C2011="","",Order!$N$16)</f>
        <v/>
      </c>
      <c r="K2011" s="36" t="str">
        <f>IF($C2011="","",_xlfn.XLOOKUP($C2011,Order!$C:$C,Order!$P:$P,"",0,1))</f>
        <v/>
      </c>
      <c r="L2011" s="4" t="str">
        <f t="shared" si="31"/>
        <v/>
      </c>
    </row>
    <row r="2012" spans="2:12" ht="23.25" hidden="1" customHeight="1" x14ac:dyDescent="0.25">
      <c r="B2012" s="4">
        <v>2007</v>
      </c>
      <c r="C2012" s="36" t="str">
        <f>IF(Order!$C$298="","",Order!$C$298)</f>
        <v/>
      </c>
      <c r="D2012" s="36" t="str">
        <f>IF($C2012="","",_xlfn.XLOOKUP($C2012,Order!$C:$C,Order!$D:$D,"",0,1))</f>
        <v/>
      </c>
      <c r="E2012" s="4" t="str">
        <f>IF($C2012="","",_xlfn.XLOOKUP($C2012,Order!$C:$C,Order!$E:$E,"",0,1))</f>
        <v/>
      </c>
      <c r="F2012" s="4" t="str">
        <f>IF($C2012="","",_xlfn.XLOOKUP($C2012,Order!$C:$C,Order!$F:$F,"",0,1))</f>
        <v/>
      </c>
      <c r="G2012" s="4" t="str">
        <f>IF($C2012="","",_xlfn.XLOOKUP($C2012,Order!$C:$C,Order!$G:$G,"",0,1))</f>
        <v/>
      </c>
      <c r="H2012" s="4" t="str">
        <f>IF($C2012="","",_xlfn.XLOOKUP($C2012,Order!$C:$C,Order!$H:$H,"",0,1))</f>
        <v/>
      </c>
      <c r="I2012" s="36" t="str">
        <f>IF($C2012="","",_xlfn.XLOOKUP($C2012,Order!$C:$C,Order!$N:$N,"",0,1))</f>
        <v/>
      </c>
      <c r="J2012" s="4" t="str">
        <f>IF(C2012="","",Order!$N$16)</f>
        <v/>
      </c>
      <c r="K2012" s="36" t="str">
        <f>IF($C2012="","",_xlfn.XLOOKUP($C2012,Order!$C:$C,Order!$P:$P,"",0,1))</f>
        <v/>
      </c>
      <c r="L2012" s="4" t="str">
        <f t="shared" si="31"/>
        <v/>
      </c>
    </row>
    <row r="2013" spans="2:12" ht="23.25" hidden="1" customHeight="1" x14ac:dyDescent="0.25">
      <c r="B2013" s="4">
        <v>2008</v>
      </c>
      <c r="C2013" s="36" t="str">
        <f>IF(Order!$C$299="","",Order!$C$299)</f>
        <v/>
      </c>
      <c r="D2013" s="36" t="str">
        <f>IF($C2013="","",_xlfn.XLOOKUP($C2013,Order!$C:$C,Order!$D:$D,"",0,1))</f>
        <v/>
      </c>
      <c r="E2013" s="4" t="str">
        <f>IF($C2013="","",_xlfn.XLOOKUP($C2013,Order!$C:$C,Order!$E:$E,"",0,1))</f>
        <v/>
      </c>
      <c r="F2013" s="4" t="str">
        <f>IF($C2013="","",_xlfn.XLOOKUP($C2013,Order!$C:$C,Order!$F:$F,"",0,1))</f>
        <v/>
      </c>
      <c r="G2013" s="4" t="str">
        <f>IF($C2013="","",_xlfn.XLOOKUP($C2013,Order!$C:$C,Order!$G:$G,"",0,1))</f>
        <v/>
      </c>
      <c r="H2013" s="4" t="str">
        <f>IF($C2013="","",_xlfn.XLOOKUP($C2013,Order!$C:$C,Order!$H:$H,"",0,1))</f>
        <v/>
      </c>
      <c r="I2013" s="36" t="str">
        <f>IF($C2013="","",_xlfn.XLOOKUP($C2013,Order!$C:$C,Order!$N:$N,"",0,1))</f>
        <v/>
      </c>
      <c r="J2013" s="4" t="str">
        <f>IF(C2013="","",Order!$N$16)</f>
        <v/>
      </c>
      <c r="K2013" s="36" t="str">
        <f>IF($C2013="","",_xlfn.XLOOKUP($C2013,Order!$C:$C,Order!$P:$P,"",0,1))</f>
        <v/>
      </c>
      <c r="L2013" s="4" t="str">
        <f t="shared" si="31"/>
        <v/>
      </c>
    </row>
    <row r="2014" spans="2:12" ht="23.25" hidden="1" customHeight="1" x14ac:dyDescent="0.25">
      <c r="B2014" s="4">
        <v>2009</v>
      </c>
      <c r="C2014" s="36" t="str">
        <f>IF(Order!$C$300="","",Order!$C$300)</f>
        <v/>
      </c>
      <c r="D2014" s="36" t="str">
        <f>IF($C2014="","",_xlfn.XLOOKUP($C2014,Order!$C:$C,Order!$D:$D,"",0,1))</f>
        <v/>
      </c>
      <c r="E2014" s="4" t="str">
        <f>IF($C2014="","",_xlfn.XLOOKUP($C2014,Order!$C:$C,Order!$E:$E,"",0,1))</f>
        <v/>
      </c>
      <c r="F2014" s="4" t="str">
        <f>IF($C2014="","",_xlfn.XLOOKUP($C2014,Order!$C:$C,Order!$F:$F,"",0,1))</f>
        <v/>
      </c>
      <c r="G2014" s="4" t="str">
        <f>IF($C2014="","",_xlfn.XLOOKUP($C2014,Order!$C:$C,Order!$G:$G,"",0,1))</f>
        <v/>
      </c>
      <c r="H2014" s="4" t="str">
        <f>IF($C2014="","",_xlfn.XLOOKUP($C2014,Order!$C:$C,Order!$H:$H,"",0,1))</f>
        <v/>
      </c>
      <c r="I2014" s="36" t="str">
        <f>IF($C2014="","",_xlfn.XLOOKUP($C2014,Order!$C:$C,Order!$N:$N,"",0,1))</f>
        <v/>
      </c>
      <c r="J2014" s="4" t="str">
        <f>IF(C2014="","",Order!$N$16)</f>
        <v/>
      </c>
      <c r="K2014" s="36" t="str">
        <f>IF($C2014="","",_xlfn.XLOOKUP($C2014,Order!$C:$C,Order!$P:$P,"",0,1))</f>
        <v/>
      </c>
      <c r="L2014" s="4" t="str">
        <f t="shared" si="31"/>
        <v/>
      </c>
    </row>
    <row r="2015" spans="2:12" ht="23.25" hidden="1" customHeight="1" x14ac:dyDescent="0.25">
      <c r="B2015" s="4">
        <v>2010</v>
      </c>
      <c r="C2015" s="36" t="str">
        <f>IF(Order!$C$301="","",Order!$C$301)</f>
        <v/>
      </c>
      <c r="D2015" s="36" t="str">
        <f>IF($C2015="","",_xlfn.XLOOKUP($C2015,Order!$C:$C,Order!$D:$D,"",0,1))</f>
        <v/>
      </c>
      <c r="E2015" s="4" t="str">
        <f>IF($C2015="","",_xlfn.XLOOKUP($C2015,Order!$C:$C,Order!$E:$E,"",0,1))</f>
        <v/>
      </c>
      <c r="F2015" s="4" t="str">
        <f>IF($C2015="","",_xlfn.XLOOKUP($C2015,Order!$C:$C,Order!$F:$F,"",0,1))</f>
        <v/>
      </c>
      <c r="G2015" s="4" t="str">
        <f>IF($C2015="","",_xlfn.XLOOKUP($C2015,Order!$C:$C,Order!$G:$G,"",0,1))</f>
        <v/>
      </c>
      <c r="H2015" s="4" t="str">
        <f>IF($C2015="","",_xlfn.XLOOKUP($C2015,Order!$C:$C,Order!$H:$H,"",0,1))</f>
        <v/>
      </c>
      <c r="I2015" s="36" t="str">
        <f>IF($C2015="","",_xlfn.XLOOKUP($C2015,Order!$C:$C,Order!$N:$N,"",0,1))</f>
        <v/>
      </c>
      <c r="J2015" s="4" t="str">
        <f>IF(C2015="","",Order!$N$16)</f>
        <v/>
      </c>
      <c r="K2015" s="36" t="str">
        <f>IF($C2015="","",_xlfn.XLOOKUP($C2015,Order!$C:$C,Order!$P:$P,"",0,1))</f>
        <v/>
      </c>
      <c r="L2015" s="4" t="str">
        <f t="shared" si="31"/>
        <v/>
      </c>
    </row>
    <row r="2016" spans="2:12" ht="23.25" hidden="1" customHeight="1" x14ac:dyDescent="0.25">
      <c r="B2016" s="4">
        <v>2011</v>
      </c>
      <c r="C2016" s="36" t="str">
        <f>IF(Order!$C$302="","",Order!$C$302)</f>
        <v/>
      </c>
      <c r="D2016" s="36" t="str">
        <f>IF($C2016="","",_xlfn.XLOOKUP($C2016,Order!$C:$C,Order!$D:$D,"",0,1))</f>
        <v/>
      </c>
      <c r="E2016" s="4" t="str">
        <f>IF($C2016="","",_xlfn.XLOOKUP($C2016,Order!$C:$C,Order!$E:$E,"",0,1))</f>
        <v/>
      </c>
      <c r="F2016" s="4" t="str">
        <f>IF($C2016="","",_xlfn.XLOOKUP($C2016,Order!$C:$C,Order!$F:$F,"",0,1))</f>
        <v/>
      </c>
      <c r="G2016" s="4" t="str">
        <f>IF($C2016="","",_xlfn.XLOOKUP($C2016,Order!$C:$C,Order!$G:$G,"",0,1))</f>
        <v/>
      </c>
      <c r="H2016" s="4" t="str">
        <f>IF($C2016="","",_xlfn.XLOOKUP($C2016,Order!$C:$C,Order!$H:$H,"",0,1))</f>
        <v/>
      </c>
      <c r="I2016" s="36" t="str">
        <f>IF($C2016="","",_xlfn.XLOOKUP($C2016,Order!$C:$C,Order!$N:$N,"",0,1))</f>
        <v/>
      </c>
      <c r="J2016" s="4" t="str">
        <f>IF(C2016="","",Order!$N$16)</f>
        <v/>
      </c>
      <c r="K2016" s="36" t="str">
        <f>IF($C2016="","",_xlfn.XLOOKUP($C2016,Order!$C:$C,Order!$P:$P,"",0,1))</f>
        <v/>
      </c>
      <c r="L2016" s="4" t="str">
        <f t="shared" si="31"/>
        <v/>
      </c>
    </row>
    <row r="2017" spans="2:12" ht="23.25" hidden="1" customHeight="1" x14ac:dyDescent="0.25">
      <c r="B2017" s="4">
        <v>2012</v>
      </c>
      <c r="C2017" s="36" t="str">
        <f>IF(Order!$C$303="","",Order!$C$303)</f>
        <v/>
      </c>
      <c r="D2017" s="36" t="str">
        <f>IF($C2017="","",_xlfn.XLOOKUP($C2017,Order!$C:$C,Order!$D:$D,"",0,1))</f>
        <v/>
      </c>
      <c r="E2017" s="4" t="str">
        <f>IF($C2017="","",_xlfn.XLOOKUP($C2017,Order!$C:$C,Order!$E:$E,"",0,1))</f>
        <v/>
      </c>
      <c r="F2017" s="4" t="str">
        <f>IF($C2017="","",_xlfn.XLOOKUP($C2017,Order!$C:$C,Order!$F:$F,"",0,1))</f>
        <v/>
      </c>
      <c r="G2017" s="4" t="str">
        <f>IF($C2017="","",_xlfn.XLOOKUP($C2017,Order!$C:$C,Order!$G:$G,"",0,1))</f>
        <v/>
      </c>
      <c r="H2017" s="4" t="str">
        <f>IF($C2017="","",_xlfn.XLOOKUP($C2017,Order!$C:$C,Order!$H:$H,"",0,1))</f>
        <v/>
      </c>
      <c r="I2017" s="36" t="str">
        <f>IF($C2017="","",_xlfn.XLOOKUP($C2017,Order!$C:$C,Order!$N:$N,"",0,1))</f>
        <v/>
      </c>
      <c r="J2017" s="4" t="str">
        <f>IF(C2017="","",Order!$N$16)</f>
        <v/>
      </c>
      <c r="K2017" s="36" t="str">
        <f>IF($C2017="","",_xlfn.XLOOKUP($C2017,Order!$C:$C,Order!$P:$P,"",0,1))</f>
        <v/>
      </c>
      <c r="L2017" s="4" t="str">
        <f t="shared" si="31"/>
        <v/>
      </c>
    </row>
    <row r="2018" spans="2:12" ht="23.25" hidden="1" customHeight="1" x14ac:dyDescent="0.25">
      <c r="B2018" s="4">
        <v>2013</v>
      </c>
      <c r="C2018" s="36" t="str">
        <f>IF(Order!$C$304="","",Order!$C$304)</f>
        <v/>
      </c>
      <c r="D2018" s="36" t="str">
        <f>IF($C2018="","",_xlfn.XLOOKUP($C2018,Order!$C:$C,Order!$D:$D,"",0,1))</f>
        <v/>
      </c>
      <c r="E2018" s="4" t="str">
        <f>IF($C2018="","",_xlfn.XLOOKUP($C2018,Order!$C:$C,Order!$E:$E,"",0,1))</f>
        <v/>
      </c>
      <c r="F2018" s="4" t="str">
        <f>IF($C2018="","",_xlfn.XLOOKUP($C2018,Order!$C:$C,Order!$F:$F,"",0,1))</f>
        <v/>
      </c>
      <c r="G2018" s="4" t="str">
        <f>IF($C2018="","",_xlfn.XLOOKUP($C2018,Order!$C:$C,Order!$G:$G,"",0,1))</f>
        <v/>
      </c>
      <c r="H2018" s="4" t="str">
        <f>IF($C2018="","",_xlfn.XLOOKUP($C2018,Order!$C:$C,Order!$H:$H,"",0,1))</f>
        <v/>
      </c>
      <c r="I2018" s="36" t="str">
        <f>IF($C2018="","",_xlfn.XLOOKUP($C2018,Order!$C:$C,Order!$N:$N,"",0,1))</f>
        <v/>
      </c>
      <c r="J2018" s="4" t="str">
        <f>IF(C2018="","",Order!$N$16)</f>
        <v/>
      </c>
      <c r="K2018" s="36" t="str">
        <f>IF($C2018="","",_xlfn.XLOOKUP($C2018,Order!$C:$C,Order!$P:$P,"",0,1))</f>
        <v/>
      </c>
      <c r="L2018" s="4" t="str">
        <f t="shared" si="31"/>
        <v/>
      </c>
    </row>
    <row r="2019" spans="2:12" ht="23.25" hidden="1" customHeight="1" x14ac:dyDescent="0.25">
      <c r="B2019" s="4">
        <v>2014</v>
      </c>
      <c r="C2019" s="36" t="str">
        <f>IF(Order!$C$305="","",Order!$C$305)</f>
        <v/>
      </c>
      <c r="D2019" s="36" t="str">
        <f>IF($C2019="","",_xlfn.XLOOKUP($C2019,Order!$C:$C,Order!$D:$D,"",0,1))</f>
        <v/>
      </c>
      <c r="E2019" s="4" t="str">
        <f>IF($C2019="","",_xlfn.XLOOKUP($C2019,Order!$C:$C,Order!$E:$E,"",0,1))</f>
        <v/>
      </c>
      <c r="F2019" s="4" t="str">
        <f>IF($C2019="","",_xlfn.XLOOKUP($C2019,Order!$C:$C,Order!$F:$F,"",0,1))</f>
        <v/>
      </c>
      <c r="G2019" s="4" t="str">
        <f>IF($C2019="","",_xlfn.XLOOKUP($C2019,Order!$C:$C,Order!$G:$G,"",0,1))</f>
        <v/>
      </c>
      <c r="H2019" s="4" t="str">
        <f>IF($C2019="","",_xlfn.XLOOKUP($C2019,Order!$C:$C,Order!$H:$H,"",0,1))</f>
        <v/>
      </c>
      <c r="I2019" s="36" t="str">
        <f>IF($C2019="","",_xlfn.XLOOKUP($C2019,Order!$C:$C,Order!$N:$N,"",0,1))</f>
        <v/>
      </c>
      <c r="J2019" s="4" t="str">
        <f>IF(C2019="","",Order!$N$16)</f>
        <v/>
      </c>
      <c r="K2019" s="36" t="str">
        <f>IF($C2019="","",_xlfn.XLOOKUP($C2019,Order!$C:$C,Order!$P:$P,"",0,1))</f>
        <v/>
      </c>
      <c r="L2019" s="4" t="str">
        <f t="shared" si="31"/>
        <v/>
      </c>
    </row>
    <row r="2020" spans="2:12" ht="23.25" hidden="1" customHeight="1" x14ac:dyDescent="0.25">
      <c r="B2020" s="4">
        <v>2015</v>
      </c>
      <c r="C2020" s="36" t="str">
        <f>IF(Order!$C$306="","",Order!$C$306)</f>
        <v>BX662</v>
      </c>
      <c r="D2020" s="36" t="str">
        <f>IF($C2020="","",_xlfn.XLOOKUP($C2020,Order!$C:$C,Order!$D:$D,"",0,1))</f>
        <v>BX662</v>
      </c>
      <c r="E2020" s="4" t="e" vm="478">
        <f>IF($C2020="","",_xlfn.XLOOKUP($C2020,Order!$C:$C,Order!$E:$E,"",0,1))</f>
        <v>#VALUE!</v>
      </c>
      <c r="F2020" s="4">
        <f>IF($C2020="","",_xlfn.XLOOKUP($C2020,Order!$C:$C,Order!$F:$F,"",0,1))</f>
        <v>6000</v>
      </c>
      <c r="G2020" s="4" t="str">
        <f>IF($C2020="","",_xlfn.XLOOKUP($C2020,Order!$C:$C,Order!$G:$G,"",0,1))</f>
        <v>6063T5</v>
      </c>
      <c r="H2020" s="4">
        <f>IF($C2020="","",_xlfn.XLOOKUP($C2020,Order!$C:$C,Order!$H:$H,"",0,1))</f>
        <v>0.96499999999999997</v>
      </c>
      <c r="I2020" s="36">
        <f>IF($C2020="","",_xlfn.XLOOKUP($C2020,Order!$C:$C,Order!$N:$N,"",0,1))</f>
        <v>0</v>
      </c>
      <c r="J2020" s="4" t="str">
        <f>IF(C2020="","",Order!$N$16)</f>
        <v>ELECT. CHAMPAGNE (FAYH02)</v>
      </c>
      <c r="K2020" s="36">
        <f>IF($C2020="","",_xlfn.XLOOKUP($C2020,Order!$C:$C,Order!$P:$P,"",0,1))</f>
        <v>0</v>
      </c>
      <c r="L2020" s="4">
        <f t="shared" si="31"/>
        <v>0</v>
      </c>
    </row>
    <row r="2021" spans="2:12" ht="23.25" hidden="1" customHeight="1" x14ac:dyDescent="0.25">
      <c r="B2021" s="4">
        <v>2016</v>
      </c>
      <c r="C2021" s="36" t="str">
        <f>IF(Order!$C$307="","",Order!$C$307)</f>
        <v>BX663</v>
      </c>
      <c r="D2021" s="36" t="str">
        <f>IF($C2021="","",_xlfn.XLOOKUP($C2021,Order!$C:$C,Order!$D:$D,"",0,1))</f>
        <v>BX663</v>
      </c>
      <c r="E2021" s="4" t="e" vm="479">
        <f>IF($C2021="","",_xlfn.XLOOKUP($C2021,Order!$C:$C,Order!$E:$E,"",0,1))</f>
        <v>#VALUE!</v>
      </c>
      <c r="F2021" s="4">
        <f>IF($C2021="","",_xlfn.XLOOKUP($C2021,Order!$C:$C,Order!$F:$F,"",0,1))</f>
        <v>6000</v>
      </c>
      <c r="G2021" s="4" t="str">
        <f>IF($C2021="","",_xlfn.XLOOKUP($C2021,Order!$C:$C,Order!$G:$G,"",0,1))</f>
        <v>6063T5</v>
      </c>
      <c r="H2021" s="4">
        <f>IF($C2021="","",_xlfn.XLOOKUP($C2021,Order!$C:$C,Order!$H:$H,"",0,1))</f>
        <v>0.58899999999999997</v>
      </c>
      <c r="I2021" s="36">
        <f>IF($C2021="","",_xlfn.XLOOKUP($C2021,Order!$C:$C,Order!$N:$N,"",0,1))</f>
        <v>0</v>
      </c>
      <c r="J2021" s="4" t="str">
        <f>IF(C2021="","",Order!$N$16)</f>
        <v>ELECT. CHAMPAGNE (FAYH02)</v>
      </c>
      <c r="K2021" s="36">
        <f>IF($C2021="","",_xlfn.XLOOKUP($C2021,Order!$C:$C,Order!$P:$P,"",0,1))</f>
        <v>0</v>
      </c>
      <c r="L2021" s="4">
        <f t="shared" si="31"/>
        <v>0</v>
      </c>
    </row>
    <row r="2022" spans="2:12" ht="23.25" hidden="1" customHeight="1" x14ac:dyDescent="0.25">
      <c r="B2022" s="4">
        <v>2017</v>
      </c>
      <c r="C2022" s="36" t="str">
        <f>IF(Order!$C$308="","",Order!$C$308)</f>
        <v>BX664</v>
      </c>
      <c r="D2022" s="36" t="str">
        <f>IF($C2022="","",_xlfn.XLOOKUP($C2022,Order!$C:$C,Order!$D:$D,"",0,1))</f>
        <v>BX664</v>
      </c>
      <c r="E2022" s="4" t="e" vm="480">
        <f>IF($C2022="","",_xlfn.XLOOKUP($C2022,Order!$C:$C,Order!$E:$E,"",0,1))</f>
        <v>#VALUE!</v>
      </c>
      <c r="F2022" s="4">
        <f>IF($C2022="","",_xlfn.XLOOKUP($C2022,Order!$C:$C,Order!$F:$F,"",0,1))</f>
        <v>6000</v>
      </c>
      <c r="G2022" s="4" t="str">
        <f>IF($C2022="","",_xlfn.XLOOKUP($C2022,Order!$C:$C,Order!$G:$G,"",0,1))</f>
        <v>6063T5</v>
      </c>
      <c r="H2022" s="4">
        <f>IF($C2022="","",_xlfn.XLOOKUP($C2022,Order!$C:$C,Order!$H:$H,"",0,1))</f>
        <v>1.244</v>
      </c>
      <c r="I2022" s="36">
        <f>IF($C2022="","",_xlfn.XLOOKUP($C2022,Order!$C:$C,Order!$N:$N,"",0,1))</f>
        <v>0</v>
      </c>
      <c r="J2022" s="4" t="str">
        <f>IF(C2022="","",Order!$N$16)</f>
        <v>ELECT. CHAMPAGNE (FAYH02)</v>
      </c>
      <c r="K2022" s="36">
        <f>IF($C2022="","",_xlfn.XLOOKUP($C2022,Order!$C:$C,Order!$P:$P,"",0,1))</f>
        <v>0</v>
      </c>
      <c r="L2022" s="4">
        <f t="shared" si="31"/>
        <v>0</v>
      </c>
    </row>
    <row r="2023" spans="2:12" ht="23.25" hidden="1" customHeight="1" x14ac:dyDescent="0.25">
      <c r="B2023" s="4">
        <v>2018</v>
      </c>
      <c r="C2023" s="36" t="str">
        <f>IF(Order!$C$309="","",Order!$C$309)</f>
        <v>BX665</v>
      </c>
      <c r="D2023" s="36" t="str">
        <f>IF($C2023="","",_xlfn.XLOOKUP($C2023,Order!$C:$C,Order!$D:$D,"",0,1))</f>
        <v>BX665</v>
      </c>
      <c r="E2023" s="4" t="e" vm="481">
        <f>IF($C2023="","",_xlfn.XLOOKUP($C2023,Order!$C:$C,Order!$E:$E,"",0,1))</f>
        <v>#VALUE!</v>
      </c>
      <c r="F2023" s="4">
        <f>IF($C2023="","",_xlfn.XLOOKUP($C2023,Order!$C:$C,Order!$F:$F,"",0,1))</f>
        <v>6000</v>
      </c>
      <c r="G2023" s="4" t="str">
        <f>IF($C2023="","",_xlfn.XLOOKUP($C2023,Order!$C:$C,Order!$G:$G,"",0,1))</f>
        <v>6063T5</v>
      </c>
      <c r="H2023" s="4">
        <f>IF($C2023="","",_xlfn.XLOOKUP($C2023,Order!$C:$C,Order!$H:$H,"",0,1))</f>
        <v>0.192</v>
      </c>
      <c r="I2023" s="36">
        <f>IF($C2023="","",_xlfn.XLOOKUP($C2023,Order!$C:$C,Order!$N:$N,"",0,1))</f>
        <v>0</v>
      </c>
      <c r="J2023" s="4" t="str">
        <f>IF(C2023="","",Order!$N$16)</f>
        <v>ELECT. CHAMPAGNE (FAYH02)</v>
      </c>
      <c r="K2023" s="36">
        <f>IF($C2023="","",_xlfn.XLOOKUP($C2023,Order!$C:$C,Order!$P:$P,"",0,1))</f>
        <v>0</v>
      </c>
      <c r="L2023" s="4">
        <f t="shared" si="31"/>
        <v>0</v>
      </c>
    </row>
    <row r="2024" spans="2:12" ht="23.25" hidden="1" customHeight="1" x14ac:dyDescent="0.25">
      <c r="B2024" s="4">
        <v>2019</v>
      </c>
      <c r="C2024" s="36" t="str">
        <f>IF(Order!$C$310="","",Order!$C$310)</f>
        <v>BX666</v>
      </c>
      <c r="D2024" s="36" t="str">
        <f>IF($C2024="","",_xlfn.XLOOKUP($C2024,Order!$C:$C,Order!$D:$D,"",0,1))</f>
        <v>BX666</v>
      </c>
      <c r="E2024" s="4" t="e" vm="482">
        <f>IF($C2024="","",_xlfn.XLOOKUP($C2024,Order!$C:$C,Order!$E:$E,"",0,1))</f>
        <v>#VALUE!</v>
      </c>
      <c r="F2024" s="4">
        <f>IF($C2024="","",_xlfn.XLOOKUP($C2024,Order!$C:$C,Order!$F:$F,"",0,1))</f>
        <v>6000</v>
      </c>
      <c r="G2024" s="4" t="str">
        <f>IF($C2024="","",_xlfn.XLOOKUP($C2024,Order!$C:$C,Order!$G:$G,"",0,1))</f>
        <v>6063T5</v>
      </c>
      <c r="H2024" s="4">
        <f>IF($C2024="","",_xlfn.XLOOKUP($C2024,Order!$C:$C,Order!$H:$H,"",0,1))</f>
        <v>0.48799999999999999</v>
      </c>
      <c r="I2024" s="36">
        <f>IF($C2024="","",_xlfn.XLOOKUP($C2024,Order!$C:$C,Order!$N:$N,"",0,1))</f>
        <v>0</v>
      </c>
      <c r="J2024" s="4" t="str">
        <f>IF(C2024="","",Order!$N$16)</f>
        <v>ELECT. CHAMPAGNE (FAYH02)</v>
      </c>
      <c r="K2024" s="36">
        <f>IF($C2024="","",_xlfn.XLOOKUP($C2024,Order!$C:$C,Order!$P:$P,"",0,1))</f>
        <v>0</v>
      </c>
      <c r="L2024" s="4">
        <f t="shared" si="31"/>
        <v>0</v>
      </c>
    </row>
    <row r="2025" spans="2:12" ht="23.25" hidden="1" customHeight="1" x14ac:dyDescent="0.25">
      <c r="B2025" s="4">
        <v>2020</v>
      </c>
      <c r="C2025" s="36" t="str">
        <f>IF(Order!$C$311="","",Order!$C$311)</f>
        <v>BX667</v>
      </c>
      <c r="D2025" s="36" t="str">
        <f>IF($C2025="","",_xlfn.XLOOKUP($C2025,Order!$C:$C,Order!$D:$D,"",0,1))</f>
        <v>BX667</v>
      </c>
      <c r="E2025" s="4" t="e" vm="483">
        <f>IF($C2025="","",_xlfn.XLOOKUP($C2025,Order!$C:$C,Order!$E:$E,"",0,1))</f>
        <v>#VALUE!</v>
      </c>
      <c r="F2025" s="4">
        <f>IF($C2025="","",_xlfn.XLOOKUP($C2025,Order!$C:$C,Order!$F:$F,"",0,1))</f>
        <v>6000</v>
      </c>
      <c r="G2025" s="4" t="str">
        <f>IF($C2025="","",_xlfn.XLOOKUP($C2025,Order!$C:$C,Order!$G:$G,"",0,1))</f>
        <v>6063T5</v>
      </c>
      <c r="H2025" s="4">
        <f>IF($C2025="","",_xlfn.XLOOKUP($C2025,Order!$C:$C,Order!$H:$H,"",0,1))</f>
        <v>0.48299999999999998</v>
      </c>
      <c r="I2025" s="36">
        <f>IF($C2025="","",_xlfn.XLOOKUP($C2025,Order!$C:$C,Order!$N:$N,"",0,1))</f>
        <v>0</v>
      </c>
      <c r="J2025" s="4" t="str">
        <f>IF(C2025="","",Order!$N$16)</f>
        <v>ELECT. CHAMPAGNE (FAYH02)</v>
      </c>
      <c r="K2025" s="36">
        <f>IF($C2025="","",_xlfn.XLOOKUP($C2025,Order!$C:$C,Order!$P:$P,"",0,1))</f>
        <v>0</v>
      </c>
      <c r="L2025" s="4">
        <f t="shared" si="31"/>
        <v>0</v>
      </c>
    </row>
    <row r="2026" spans="2:12" ht="23.25" hidden="1" customHeight="1" x14ac:dyDescent="0.25">
      <c r="B2026" s="4">
        <v>2021</v>
      </c>
      <c r="C2026" s="36" t="str">
        <f>IF(Order!$C$312="","",Order!$C$312)</f>
        <v>BX709</v>
      </c>
      <c r="D2026" s="36" t="str">
        <f>IF($C2026="","",_xlfn.XLOOKUP($C2026,Order!$C:$C,Order!$D:$D,"",0,1))</f>
        <v>BX709</v>
      </c>
      <c r="E2026" s="4" t="e" vm="484">
        <f>IF($C2026="","",_xlfn.XLOOKUP($C2026,Order!$C:$C,Order!$E:$E,"",0,1))</f>
        <v>#VALUE!</v>
      </c>
      <c r="F2026" s="4">
        <f>IF($C2026="","",_xlfn.XLOOKUP($C2026,Order!$C:$C,Order!$F:$F,"",0,1))</f>
        <v>6000</v>
      </c>
      <c r="G2026" s="4" t="str">
        <f>IF($C2026="","",_xlfn.XLOOKUP($C2026,Order!$C:$C,Order!$G:$G,"",0,1))</f>
        <v>6063T5</v>
      </c>
      <c r="H2026" s="4">
        <f>IF($C2026="","",_xlfn.XLOOKUP($C2026,Order!$C:$C,Order!$H:$H,"",0,1))</f>
        <v>1.595</v>
      </c>
      <c r="I2026" s="36">
        <f>IF($C2026="","",_xlfn.XLOOKUP($C2026,Order!$C:$C,Order!$N:$N,"",0,1))</f>
        <v>0</v>
      </c>
      <c r="J2026" s="4" t="str">
        <f>IF(C2026="","",Order!$N$16)</f>
        <v>ELECT. CHAMPAGNE (FAYH02)</v>
      </c>
      <c r="K2026" s="36">
        <f>IF($C2026="","",_xlfn.XLOOKUP($C2026,Order!$C:$C,Order!$P:$P,"",0,1))</f>
        <v>0</v>
      </c>
      <c r="L2026" s="4">
        <f t="shared" si="31"/>
        <v>0</v>
      </c>
    </row>
    <row r="2027" spans="2:12" ht="23.25" hidden="1" customHeight="1" x14ac:dyDescent="0.25">
      <c r="B2027" s="4">
        <v>2022</v>
      </c>
      <c r="C2027" s="36" t="str">
        <f>IF(Order!$C$313="","",Order!$C$313)</f>
        <v>BX710</v>
      </c>
      <c r="D2027" s="36" t="str">
        <f>IF($C2027="","",_xlfn.XLOOKUP($C2027,Order!$C:$C,Order!$D:$D,"",0,1))</f>
        <v>BX710</v>
      </c>
      <c r="E2027" s="4" t="e" vm="485">
        <f>IF($C2027="","",_xlfn.XLOOKUP($C2027,Order!$C:$C,Order!$E:$E,"",0,1))</f>
        <v>#VALUE!</v>
      </c>
      <c r="F2027" s="4">
        <f>IF($C2027="","",_xlfn.XLOOKUP($C2027,Order!$C:$C,Order!$F:$F,"",0,1))</f>
        <v>6000</v>
      </c>
      <c r="G2027" s="4" t="str">
        <f>IF($C2027="","",_xlfn.XLOOKUP($C2027,Order!$C:$C,Order!$G:$G,"",0,1))</f>
        <v>6063T5</v>
      </c>
      <c r="H2027" s="4">
        <f>IF($C2027="","",_xlfn.XLOOKUP($C2027,Order!$C:$C,Order!$H:$H,"",0,1))</f>
        <v>2.125</v>
      </c>
      <c r="I2027" s="36">
        <f>IF($C2027="","",_xlfn.XLOOKUP($C2027,Order!$C:$C,Order!$N:$N,"",0,1))</f>
        <v>0</v>
      </c>
      <c r="J2027" s="4" t="str">
        <f>IF(C2027="","",Order!$N$16)</f>
        <v>ELECT. CHAMPAGNE (FAYH02)</v>
      </c>
      <c r="K2027" s="36">
        <f>IF($C2027="","",_xlfn.XLOOKUP($C2027,Order!$C:$C,Order!$P:$P,"",0,1))</f>
        <v>0</v>
      </c>
      <c r="L2027" s="4">
        <f t="shared" si="31"/>
        <v>0</v>
      </c>
    </row>
    <row r="2028" spans="2:12" ht="23.25" hidden="1" customHeight="1" x14ac:dyDescent="0.25">
      <c r="B2028" s="4">
        <v>2023</v>
      </c>
      <c r="C2028" s="36" t="str">
        <f>IF(Order!$C$314="","",Order!$C$314)</f>
        <v>BX713</v>
      </c>
      <c r="D2028" s="36" t="str">
        <f>IF($C2028="","",_xlfn.XLOOKUP($C2028,Order!$C:$C,Order!$D:$D,"",0,1))</f>
        <v>BX713</v>
      </c>
      <c r="E2028" s="4" t="e" vm="486">
        <f>IF($C2028="","",_xlfn.XLOOKUP($C2028,Order!$C:$C,Order!$E:$E,"",0,1))</f>
        <v>#VALUE!</v>
      </c>
      <c r="F2028" s="4">
        <f>IF($C2028="","",_xlfn.XLOOKUP($C2028,Order!$C:$C,Order!$F:$F,"",0,1))</f>
        <v>6000</v>
      </c>
      <c r="G2028" s="4" t="str">
        <f>IF($C2028="","",_xlfn.XLOOKUP($C2028,Order!$C:$C,Order!$G:$G,"",0,1))</f>
        <v>6063T5</v>
      </c>
      <c r="H2028" s="4">
        <f>IF($C2028="","",_xlfn.XLOOKUP($C2028,Order!$C:$C,Order!$H:$H,"",0,1))</f>
        <v>1.169</v>
      </c>
      <c r="I2028" s="36">
        <f>IF($C2028="","",_xlfn.XLOOKUP($C2028,Order!$C:$C,Order!$N:$N,"",0,1))</f>
        <v>0</v>
      </c>
      <c r="J2028" s="4" t="str">
        <f>IF(C2028="","",Order!$N$16)</f>
        <v>ELECT. CHAMPAGNE (FAYH02)</v>
      </c>
      <c r="K2028" s="36">
        <f>IF($C2028="","",_xlfn.XLOOKUP($C2028,Order!$C:$C,Order!$P:$P,"",0,1))</f>
        <v>0</v>
      </c>
      <c r="L2028" s="4">
        <f t="shared" si="31"/>
        <v>0</v>
      </c>
    </row>
    <row r="2029" spans="2:12" ht="23.25" hidden="1" customHeight="1" x14ac:dyDescent="0.25">
      <c r="B2029" s="4">
        <v>2024</v>
      </c>
      <c r="C2029" s="36" t="str">
        <f>IF(Order!$C$315="","",Order!$C$315)</f>
        <v>BX716</v>
      </c>
      <c r="D2029" s="36" t="str">
        <f>IF($C2029="","",_xlfn.XLOOKUP($C2029,Order!$C:$C,Order!$D:$D,"",0,1))</f>
        <v>BX716</v>
      </c>
      <c r="E2029" s="4" t="e" vm="487">
        <f>IF($C2029="","",_xlfn.XLOOKUP($C2029,Order!$C:$C,Order!$E:$E,"",0,1))</f>
        <v>#VALUE!</v>
      </c>
      <c r="F2029" s="4">
        <f>IF($C2029="","",_xlfn.XLOOKUP($C2029,Order!$C:$C,Order!$F:$F,"",0,1))</f>
        <v>6000</v>
      </c>
      <c r="G2029" s="4" t="str">
        <f>IF($C2029="","",_xlfn.XLOOKUP($C2029,Order!$C:$C,Order!$G:$G,"",0,1))</f>
        <v>6063T5</v>
      </c>
      <c r="H2029" s="4">
        <f>IF($C2029="","",_xlfn.XLOOKUP($C2029,Order!$C:$C,Order!$H:$H,"",0,1))</f>
        <v>0.71699999999999997</v>
      </c>
      <c r="I2029" s="36">
        <f>IF($C2029="","",_xlfn.XLOOKUP($C2029,Order!$C:$C,Order!$N:$N,"",0,1))</f>
        <v>0</v>
      </c>
      <c r="J2029" s="4" t="str">
        <f>IF(C2029="","",Order!$N$16)</f>
        <v>ELECT. CHAMPAGNE (FAYH02)</v>
      </c>
      <c r="K2029" s="36">
        <f>IF($C2029="","",_xlfn.XLOOKUP($C2029,Order!$C:$C,Order!$P:$P,"",0,1))</f>
        <v>0</v>
      </c>
      <c r="L2029" s="4">
        <f t="shared" si="31"/>
        <v>0</v>
      </c>
    </row>
    <row r="2030" spans="2:12" ht="23.25" hidden="1" customHeight="1" x14ac:dyDescent="0.25">
      <c r="B2030" s="4">
        <v>2025</v>
      </c>
      <c r="C2030" s="36" t="str">
        <f>IF(Order!$C$316="","",Order!$C$316)</f>
        <v>BX717A</v>
      </c>
      <c r="D2030" s="36" t="str">
        <f>IF($C2030="","",_xlfn.XLOOKUP($C2030,Order!$C:$C,Order!$D:$D,"",0,1))</f>
        <v>BX717A</v>
      </c>
      <c r="E2030" s="4" t="e" vm="488">
        <f>IF($C2030="","",_xlfn.XLOOKUP($C2030,Order!$C:$C,Order!$E:$E,"",0,1))</f>
        <v>#VALUE!</v>
      </c>
      <c r="F2030" s="4">
        <f>IF($C2030="","",_xlfn.XLOOKUP($C2030,Order!$C:$C,Order!$F:$F,"",0,1))</f>
        <v>6000</v>
      </c>
      <c r="G2030" s="4" t="str">
        <f>IF($C2030="","",_xlfn.XLOOKUP($C2030,Order!$C:$C,Order!$G:$G,"",0,1))</f>
        <v>6063T5</v>
      </c>
      <c r="H2030" s="4">
        <f>IF($C2030="","",_xlfn.XLOOKUP($C2030,Order!$C:$C,Order!$H:$H,"",0,1))</f>
        <v>0.68500000000000005</v>
      </c>
      <c r="I2030" s="36">
        <f>IF($C2030="","",_xlfn.XLOOKUP($C2030,Order!$C:$C,Order!$N:$N,"",0,1))</f>
        <v>0</v>
      </c>
      <c r="J2030" s="4" t="str">
        <f>IF(C2030="","",Order!$N$16)</f>
        <v>ELECT. CHAMPAGNE (FAYH02)</v>
      </c>
      <c r="K2030" s="36">
        <f>IF($C2030="","",_xlfn.XLOOKUP($C2030,Order!$C:$C,Order!$P:$P,"",0,1))</f>
        <v>0</v>
      </c>
      <c r="L2030" s="4">
        <f t="shared" si="31"/>
        <v>0</v>
      </c>
    </row>
    <row r="2031" spans="2:12" ht="23.25" hidden="1" customHeight="1" x14ac:dyDescent="0.25">
      <c r="B2031" s="4">
        <v>2026</v>
      </c>
      <c r="C2031" s="36" t="str">
        <f>IF(Order!$C$317="","",Order!$C$317)</f>
        <v>BX1096 (FC-261)</v>
      </c>
      <c r="D2031" s="36" t="str">
        <f>IF($C2031="","",_xlfn.XLOOKUP($C2031,Order!$C:$C,Order!$D:$D,"",0,1))</f>
        <v>BX1096</v>
      </c>
      <c r="E2031" s="4" t="e" vm="489">
        <f>IF($C2031="","",_xlfn.XLOOKUP($C2031,Order!$C:$C,Order!$E:$E,"",0,1))</f>
        <v>#VALUE!</v>
      </c>
      <c r="F2031" s="4">
        <f>IF($C2031="","",_xlfn.XLOOKUP($C2031,Order!$C:$C,Order!$F:$F,"",0,1))</f>
        <v>6000</v>
      </c>
      <c r="G2031" s="4" t="str">
        <f>IF($C2031="","",_xlfn.XLOOKUP($C2031,Order!$C:$C,Order!$G:$G,"",0,1))</f>
        <v>6063T5</v>
      </c>
      <c r="H2031" s="4">
        <f>IF($C2031="","",_xlfn.XLOOKUP($C2031,Order!$C:$C,Order!$H:$H,"",0,1))</f>
        <v>0.46899999999999997</v>
      </c>
      <c r="I2031" s="36">
        <f>IF($C2031="","",_xlfn.XLOOKUP($C2031,Order!$C:$C,Order!$N:$N,"",0,1))</f>
        <v>0</v>
      </c>
      <c r="J2031" s="4" t="str">
        <f>IF(C2031="","",Order!$N$16)</f>
        <v>ELECT. CHAMPAGNE (FAYH02)</v>
      </c>
      <c r="K2031" s="36">
        <f>IF($C2031="","",_xlfn.XLOOKUP($C2031,Order!$C:$C,Order!$P:$P,"",0,1))</f>
        <v>0</v>
      </c>
      <c r="L2031" s="4">
        <f t="shared" si="31"/>
        <v>0</v>
      </c>
    </row>
    <row r="2032" spans="2:12" ht="23.25" hidden="1" customHeight="1" x14ac:dyDescent="0.25">
      <c r="B2032" s="4">
        <v>2027</v>
      </c>
      <c r="C2032" s="36" t="str">
        <f>IF(Order!$C$318="","",Order!$C$318)</f>
        <v>BX1099 (FC-225)</v>
      </c>
      <c r="D2032" s="36" t="str">
        <f>IF($C2032="","",_xlfn.XLOOKUP($C2032,Order!$C:$C,Order!$D:$D,"",0,1))</f>
        <v>BX1099</v>
      </c>
      <c r="E2032" s="4" t="e" vm="490">
        <f>IF($C2032="","",_xlfn.XLOOKUP($C2032,Order!$C:$C,Order!$E:$E,"",0,1))</f>
        <v>#VALUE!</v>
      </c>
      <c r="F2032" s="4">
        <f>IF($C2032="","",_xlfn.XLOOKUP($C2032,Order!$C:$C,Order!$F:$F,"",0,1))</f>
        <v>6000</v>
      </c>
      <c r="G2032" s="4" t="str">
        <f>IF($C2032="","",_xlfn.XLOOKUP($C2032,Order!$C:$C,Order!$G:$G,"",0,1))</f>
        <v>6063T5</v>
      </c>
      <c r="H2032" s="4">
        <f>IF($C2032="","",_xlfn.XLOOKUP($C2032,Order!$C:$C,Order!$H:$H,"",0,1))</f>
        <v>0.51600000000000001</v>
      </c>
      <c r="I2032" s="36">
        <f>IF($C2032="","",_xlfn.XLOOKUP($C2032,Order!$C:$C,Order!$N:$N,"",0,1))</f>
        <v>0</v>
      </c>
      <c r="J2032" s="4" t="str">
        <f>IF(C2032="","",Order!$N$16)</f>
        <v>ELECT. CHAMPAGNE (FAYH02)</v>
      </c>
      <c r="K2032" s="36">
        <f>IF($C2032="","",_xlfn.XLOOKUP($C2032,Order!$C:$C,Order!$P:$P,"",0,1))</f>
        <v>0</v>
      </c>
      <c r="L2032" s="4">
        <f t="shared" si="31"/>
        <v>0</v>
      </c>
    </row>
    <row r="2033" spans="2:12" ht="23.25" hidden="1" customHeight="1" x14ac:dyDescent="0.25">
      <c r="B2033" s="4">
        <v>2028</v>
      </c>
      <c r="C2033" s="36" t="str">
        <f>IF(Order!$C$319="","",Order!$C$319)</f>
        <v/>
      </c>
      <c r="D2033" s="36" t="str">
        <f>IF($C2033="","",_xlfn.XLOOKUP($C2033,Order!$C:$C,Order!$D:$D,"",0,1))</f>
        <v/>
      </c>
      <c r="E2033" s="4" t="str">
        <f>IF($C2033="","",_xlfn.XLOOKUP($C2033,Order!$C:$C,Order!$E:$E,"",0,1))</f>
        <v/>
      </c>
      <c r="F2033" s="4" t="str">
        <f>IF($C2033="","",_xlfn.XLOOKUP($C2033,Order!$C:$C,Order!$F:$F,"",0,1))</f>
        <v/>
      </c>
      <c r="G2033" s="4" t="str">
        <f>IF($C2033="","",_xlfn.XLOOKUP($C2033,Order!$C:$C,Order!$G:$G,"",0,1))</f>
        <v/>
      </c>
      <c r="H2033" s="4" t="str">
        <f>IF($C2033="","",_xlfn.XLOOKUP($C2033,Order!$C:$C,Order!$H:$H,"",0,1))</f>
        <v/>
      </c>
      <c r="I2033" s="36" t="str">
        <f>IF($C2033="","",_xlfn.XLOOKUP($C2033,Order!$C:$C,Order!$N:$N,"",0,1))</f>
        <v/>
      </c>
      <c r="J2033" s="4" t="str">
        <f>IF(C2033="","",Order!$N$16)</f>
        <v/>
      </c>
      <c r="K2033" s="36" t="str">
        <f>IF($C2033="","",_xlfn.XLOOKUP($C2033,Order!$C:$C,Order!$P:$P,"",0,1))</f>
        <v/>
      </c>
      <c r="L2033" s="4" t="str">
        <f t="shared" si="31"/>
        <v/>
      </c>
    </row>
    <row r="2034" spans="2:12" ht="23.25" hidden="1" customHeight="1" x14ac:dyDescent="0.25">
      <c r="B2034" s="4">
        <v>2029</v>
      </c>
      <c r="C2034" s="36" t="str">
        <f>IF(Order!$C$320="","",Order!$C$320)</f>
        <v/>
      </c>
      <c r="D2034" s="36" t="str">
        <f>IF($C2034="","",_xlfn.XLOOKUP($C2034,Order!$C:$C,Order!$D:$D,"",0,1))</f>
        <v/>
      </c>
      <c r="E2034" s="4" t="str">
        <f>IF($C2034="","",_xlfn.XLOOKUP($C2034,Order!$C:$C,Order!$E:$E,"",0,1))</f>
        <v/>
      </c>
      <c r="F2034" s="4" t="str">
        <f>IF($C2034="","",_xlfn.XLOOKUP($C2034,Order!$C:$C,Order!$F:$F,"",0,1))</f>
        <v/>
      </c>
      <c r="G2034" s="4" t="str">
        <f>IF($C2034="","",_xlfn.XLOOKUP($C2034,Order!$C:$C,Order!$G:$G,"",0,1))</f>
        <v/>
      </c>
      <c r="H2034" s="4" t="str">
        <f>IF($C2034="","",_xlfn.XLOOKUP($C2034,Order!$C:$C,Order!$H:$H,"",0,1))</f>
        <v/>
      </c>
      <c r="I2034" s="36" t="str">
        <f>IF($C2034="","",_xlfn.XLOOKUP($C2034,Order!$C:$C,Order!$N:$N,"",0,1))</f>
        <v/>
      </c>
      <c r="J2034" s="4" t="str">
        <f>IF(C2034="","",Order!$N$16)</f>
        <v/>
      </c>
      <c r="K2034" s="36" t="str">
        <f>IF($C2034="","",_xlfn.XLOOKUP($C2034,Order!$C:$C,Order!$P:$P,"",0,1))</f>
        <v/>
      </c>
      <c r="L2034" s="4" t="str">
        <f t="shared" si="31"/>
        <v/>
      </c>
    </row>
    <row r="2035" spans="2:12" ht="23.25" hidden="1" customHeight="1" x14ac:dyDescent="0.25">
      <c r="B2035" s="4">
        <v>2030</v>
      </c>
      <c r="C2035" s="36" t="str">
        <f>IF(Order!$C$321="","",Order!$C$321)</f>
        <v/>
      </c>
      <c r="D2035" s="36" t="str">
        <f>IF($C2035="","",_xlfn.XLOOKUP($C2035,Order!$C:$C,Order!$D:$D,"",0,1))</f>
        <v/>
      </c>
      <c r="E2035" s="4" t="str">
        <f>IF($C2035="","",_xlfn.XLOOKUP($C2035,Order!$C:$C,Order!$E:$E,"",0,1))</f>
        <v/>
      </c>
      <c r="F2035" s="4" t="str">
        <f>IF($C2035="","",_xlfn.XLOOKUP($C2035,Order!$C:$C,Order!$F:$F,"",0,1))</f>
        <v/>
      </c>
      <c r="G2035" s="4" t="str">
        <f>IF($C2035="","",_xlfn.XLOOKUP($C2035,Order!$C:$C,Order!$G:$G,"",0,1))</f>
        <v/>
      </c>
      <c r="H2035" s="4" t="str">
        <f>IF($C2035="","",_xlfn.XLOOKUP($C2035,Order!$C:$C,Order!$H:$H,"",0,1))</f>
        <v/>
      </c>
      <c r="I2035" s="36" t="str">
        <f>IF($C2035="","",_xlfn.XLOOKUP($C2035,Order!$C:$C,Order!$N:$N,"",0,1))</f>
        <v/>
      </c>
      <c r="J2035" s="4" t="str">
        <f>IF(C2035="","",Order!$N$16)</f>
        <v/>
      </c>
      <c r="K2035" s="36" t="str">
        <f>IF($C2035="","",_xlfn.XLOOKUP($C2035,Order!$C:$C,Order!$P:$P,"",0,1))</f>
        <v/>
      </c>
      <c r="L2035" s="4" t="str">
        <f t="shared" si="31"/>
        <v/>
      </c>
    </row>
    <row r="2036" spans="2:12" ht="23.25" hidden="1" customHeight="1" x14ac:dyDescent="0.25">
      <c r="B2036" s="4">
        <v>2031</v>
      </c>
      <c r="C2036" s="36" t="str">
        <f>IF(Order!$C$322="","",Order!$C$322)</f>
        <v/>
      </c>
      <c r="D2036" s="36" t="str">
        <f>IF($C2036="","",_xlfn.XLOOKUP($C2036,Order!$C:$C,Order!$D:$D,"",0,1))</f>
        <v/>
      </c>
      <c r="E2036" s="4" t="str">
        <f>IF($C2036="","",_xlfn.XLOOKUP($C2036,Order!$C:$C,Order!$E:$E,"",0,1))</f>
        <v/>
      </c>
      <c r="F2036" s="4" t="str">
        <f>IF($C2036="","",_xlfn.XLOOKUP($C2036,Order!$C:$C,Order!$F:$F,"",0,1))</f>
        <v/>
      </c>
      <c r="G2036" s="4" t="str">
        <f>IF($C2036="","",_xlfn.XLOOKUP($C2036,Order!$C:$C,Order!$G:$G,"",0,1))</f>
        <v/>
      </c>
      <c r="H2036" s="4" t="str">
        <f>IF($C2036="","",_xlfn.XLOOKUP($C2036,Order!$C:$C,Order!$H:$H,"",0,1))</f>
        <v/>
      </c>
      <c r="I2036" s="36" t="str">
        <f>IF($C2036="","",_xlfn.XLOOKUP($C2036,Order!$C:$C,Order!$N:$N,"",0,1))</f>
        <v/>
      </c>
      <c r="J2036" s="4" t="str">
        <f>IF(C2036="","",Order!$N$16)</f>
        <v/>
      </c>
      <c r="K2036" s="36" t="str">
        <f>IF($C2036="","",_xlfn.XLOOKUP($C2036,Order!$C:$C,Order!$P:$P,"",0,1))</f>
        <v/>
      </c>
      <c r="L2036" s="4" t="str">
        <f t="shared" si="31"/>
        <v/>
      </c>
    </row>
    <row r="2037" spans="2:12" ht="23.25" hidden="1" customHeight="1" x14ac:dyDescent="0.25">
      <c r="B2037" s="4">
        <v>2032</v>
      </c>
      <c r="C2037" s="36" t="str">
        <f>IF(Order!$C$323="","",Order!$C$323)</f>
        <v/>
      </c>
      <c r="D2037" s="36" t="str">
        <f>IF($C2037="","",_xlfn.XLOOKUP($C2037,Order!$C:$C,Order!$D:$D,"",0,1))</f>
        <v/>
      </c>
      <c r="E2037" s="4" t="str">
        <f>IF($C2037="","",_xlfn.XLOOKUP($C2037,Order!$C:$C,Order!$E:$E,"",0,1))</f>
        <v/>
      </c>
      <c r="F2037" s="4" t="str">
        <f>IF($C2037="","",_xlfn.XLOOKUP($C2037,Order!$C:$C,Order!$F:$F,"",0,1))</f>
        <v/>
      </c>
      <c r="G2037" s="4" t="str">
        <f>IF($C2037="","",_xlfn.XLOOKUP($C2037,Order!$C:$C,Order!$G:$G,"",0,1))</f>
        <v/>
      </c>
      <c r="H2037" s="4" t="str">
        <f>IF($C2037="","",_xlfn.XLOOKUP($C2037,Order!$C:$C,Order!$H:$H,"",0,1))</f>
        <v/>
      </c>
      <c r="I2037" s="36" t="str">
        <f>IF($C2037="","",_xlfn.XLOOKUP($C2037,Order!$C:$C,Order!$N:$N,"",0,1))</f>
        <v/>
      </c>
      <c r="J2037" s="4" t="str">
        <f>IF(C2037="","",Order!$N$16)</f>
        <v/>
      </c>
      <c r="K2037" s="36" t="str">
        <f>IF($C2037="","",_xlfn.XLOOKUP($C2037,Order!$C:$C,Order!$P:$P,"",0,1))</f>
        <v/>
      </c>
      <c r="L2037" s="4" t="str">
        <f t="shared" si="31"/>
        <v/>
      </c>
    </row>
    <row r="2038" spans="2:12" ht="23.25" hidden="1" customHeight="1" x14ac:dyDescent="0.25">
      <c r="B2038" s="4">
        <v>2033</v>
      </c>
      <c r="C2038" s="36" t="str">
        <f>IF(Order!$C$324="","",Order!$C$324)</f>
        <v>BX1095</v>
      </c>
      <c r="D2038" s="36" t="str">
        <f>IF($C2038="","",_xlfn.XLOOKUP($C2038,Order!$C:$C,Order!$D:$D,"",0,1))</f>
        <v>BX1095</v>
      </c>
      <c r="E2038" s="4" t="e" vm="491">
        <f>IF($C2038="","",_xlfn.XLOOKUP($C2038,Order!$C:$C,Order!$E:$E,"",0,1))</f>
        <v>#VALUE!</v>
      </c>
      <c r="F2038" s="4">
        <f>IF($C2038="","",_xlfn.XLOOKUP($C2038,Order!$C:$C,Order!$F:$F,"",0,1))</f>
        <v>6000</v>
      </c>
      <c r="G2038" s="4" t="str">
        <f>IF($C2038="","",_xlfn.XLOOKUP($C2038,Order!$C:$C,Order!$G:$G,"",0,1))</f>
        <v>6063T5</v>
      </c>
      <c r="H2038" s="4">
        <f>IF($C2038="","",_xlfn.XLOOKUP($C2038,Order!$C:$C,Order!$H:$H,"",0,1))</f>
        <v>0.64400000000000002</v>
      </c>
      <c r="I2038" s="36">
        <f>IF($C2038="","",_xlfn.XLOOKUP($C2038,Order!$C:$C,Order!$N:$N,"",0,1))</f>
        <v>0</v>
      </c>
      <c r="J2038" s="4" t="str">
        <f>IF(C2038="","",Order!$N$16)</f>
        <v>ELECT. CHAMPAGNE (FAYH02)</v>
      </c>
      <c r="K2038" s="36">
        <f>IF($C2038="","",_xlfn.XLOOKUP($C2038,Order!$C:$C,Order!$P:$P,"",0,1))</f>
        <v>0</v>
      </c>
      <c r="L2038" s="4">
        <f t="shared" si="31"/>
        <v>0</v>
      </c>
    </row>
    <row r="2039" spans="2:12" ht="23.25" hidden="1" customHeight="1" x14ac:dyDescent="0.25">
      <c r="B2039" s="4">
        <v>2034</v>
      </c>
      <c r="C2039" s="36" t="str">
        <f>IF(Order!$C$325="","",Order!$C$325)</f>
        <v>BX1097</v>
      </c>
      <c r="D2039" s="36" t="str">
        <f>IF($C2039="","",_xlfn.XLOOKUP($C2039,Order!$C:$C,Order!$D:$D,"",0,1))</f>
        <v>BX1097</v>
      </c>
      <c r="E2039" s="4" t="e" vm="492">
        <f>IF($C2039="","",_xlfn.XLOOKUP($C2039,Order!$C:$C,Order!$E:$E,"",0,1))</f>
        <v>#VALUE!</v>
      </c>
      <c r="F2039" s="4">
        <f>IF($C2039="","",_xlfn.XLOOKUP($C2039,Order!$C:$C,Order!$F:$F,"",0,1))</f>
        <v>6000</v>
      </c>
      <c r="G2039" s="4" t="str">
        <f>IF($C2039="","",_xlfn.XLOOKUP($C2039,Order!$C:$C,Order!$G:$G,"",0,1))</f>
        <v>6063T5</v>
      </c>
      <c r="H2039" s="4">
        <f>IF($C2039="","",_xlfn.XLOOKUP($C2039,Order!$C:$C,Order!$H:$H,"",0,1))</f>
        <v>0.57499999999999996</v>
      </c>
      <c r="I2039" s="36">
        <f>IF($C2039="","",_xlfn.XLOOKUP($C2039,Order!$C:$C,Order!$N:$N,"",0,1))</f>
        <v>0</v>
      </c>
      <c r="J2039" s="4" t="str">
        <f>IF(C2039="","",Order!$N$16)</f>
        <v>ELECT. CHAMPAGNE (FAYH02)</v>
      </c>
      <c r="K2039" s="36">
        <f>IF($C2039="","",_xlfn.XLOOKUP($C2039,Order!$C:$C,Order!$P:$P,"",0,1))</f>
        <v>0</v>
      </c>
      <c r="L2039" s="4">
        <f t="shared" si="31"/>
        <v>0</v>
      </c>
    </row>
    <row r="2040" spans="2:12" ht="23.25" hidden="1" customHeight="1" x14ac:dyDescent="0.25">
      <c r="B2040" s="4">
        <v>2035</v>
      </c>
      <c r="C2040" s="36" t="str">
        <f>IF(Order!$C$326="","",Order!$C$326)</f>
        <v>BX1103</v>
      </c>
      <c r="D2040" s="36" t="str">
        <f>IF($C2040="","",_xlfn.XLOOKUP($C2040,Order!$C:$C,Order!$D:$D,"",0,1))</f>
        <v>BX1103</v>
      </c>
      <c r="E2040" s="4" t="e" vm="493">
        <f>IF($C2040="","",_xlfn.XLOOKUP($C2040,Order!$C:$C,Order!$E:$E,"",0,1))</f>
        <v>#VALUE!</v>
      </c>
      <c r="F2040" s="4">
        <f>IF($C2040="","",_xlfn.XLOOKUP($C2040,Order!$C:$C,Order!$F:$F,"",0,1))</f>
        <v>6000</v>
      </c>
      <c r="G2040" s="4" t="str">
        <f>IF($C2040="","",_xlfn.XLOOKUP($C2040,Order!$C:$C,Order!$G:$G,"",0,1))</f>
        <v>6063T5</v>
      </c>
      <c r="H2040" s="4">
        <f>IF($C2040="","",_xlfn.XLOOKUP($C2040,Order!$C:$C,Order!$H:$H,"",0,1))</f>
        <v>0.6</v>
      </c>
      <c r="I2040" s="36">
        <f>IF($C2040="","",_xlfn.XLOOKUP($C2040,Order!$C:$C,Order!$N:$N,"",0,1))</f>
        <v>0</v>
      </c>
      <c r="J2040" s="4" t="str">
        <f>IF(C2040="","",Order!$N$16)</f>
        <v>ELECT. CHAMPAGNE (FAYH02)</v>
      </c>
      <c r="K2040" s="36">
        <f>IF($C2040="","",_xlfn.XLOOKUP($C2040,Order!$C:$C,Order!$P:$P,"",0,1))</f>
        <v>0</v>
      </c>
      <c r="L2040" s="4">
        <f t="shared" si="31"/>
        <v>0</v>
      </c>
    </row>
    <row r="2041" spans="2:12" ht="23.25" hidden="1" customHeight="1" x14ac:dyDescent="0.25">
      <c r="B2041" s="4">
        <v>2036</v>
      </c>
      <c r="C2041" s="36" t="str">
        <f>IF(Order!$C$327="","",Order!$C$327)</f>
        <v/>
      </c>
      <c r="D2041" s="36" t="str">
        <f>IF($C2041="","",_xlfn.XLOOKUP($C2041,Order!$C:$C,Order!$D:$D,"",0,1))</f>
        <v/>
      </c>
      <c r="E2041" s="4" t="str">
        <f>IF($C2041="","",_xlfn.XLOOKUP($C2041,Order!$C:$C,Order!$E:$E,"",0,1))</f>
        <v/>
      </c>
      <c r="F2041" s="4" t="str">
        <f>IF($C2041="","",_xlfn.XLOOKUP($C2041,Order!$C:$C,Order!$F:$F,"",0,1))</f>
        <v/>
      </c>
      <c r="G2041" s="4" t="str">
        <f>IF($C2041="","",_xlfn.XLOOKUP($C2041,Order!$C:$C,Order!$G:$G,"",0,1))</f>
        <v/>
      </c>
      <c r="H2041" s="4" t="str">
        <f>IF($C2041="","",_xlfn.XLOOKUP($C2041,Order!$C:$C,Order!$H:$H,"",0,1))</f>
        <v/>
      </c>
      <c r="I2041" s="36" t="str">
        <f>IF($C2041="","",_xlfn.XLOOKUP($C2041,Order!$C:$C,Order!$N:$N,"",0,1))</f>
        <v/>
      </c>
      <c r="J2041" s="4" t="str">
        <f>IF(C2041="","",Order!$N$16)</f>
        <v/>
      </c>
      <c r="K2041" s="36" t="str">
        <f>IF($C2041="","",_xlfn.XLOOKUP($C2041,Order!$C:$C,Order!$P:$P,"",0,1))</f>
        <v/>
      </c>
      <c r="L2041" s="4" t="str">
        <f t="shared" si="31"/>
        <v/>
      </c>
    </row>
    <row r="2042" spans="2:12" ht="23.25" hidden="1" customHeight="1" x14ac:dyDescent="0.25">
      <c r="B2042" s="4">
        <v>2037</v>
      </c>
      <c r="C2042" s="36" t="str">
        <f>IF(Order!$C$328="","",Order!$C$328)</f>
        <v/>
      </c>
      <c r="D2042" s="36" t="str">
        <f>IF($C2042="","",_xlfn.XLOOKUP($C2042,Order!$C:$C,Order!$D:$D,"",0,1))</f>
        <v/>
      </c>
      <c r="E2042" s="4" t="str">
        <f>IF($C2042="","",_xlfn.XLOOKUP($C2042,Order!$C:$C,Order!$E:$E,"",0,1))</f>
        <v/>
      </c>
      <c r="F2042" s="4" t="str">
        <f>IF($C2042="","",_xlfn.XLOOKUP($C2042,Order!$C:$C,Order!$F:$F,"",0,1))</f>
        <v/>
      </c>
      <c r="G2042" s="4" t="str">
        <f>IF($C2042="","",_xlfn.XLOOKUP($C2042,Order!$C:$C,Order!$G:$G,"",0,1))</f>
        <v/>
      </c>
      <c r="H2042" s="4" t="str">
        <f>IF($C2042="","",_xlfn.XLOOKUP($C2042,Order!$C:$C,Order!$H:$H,"",0,1))</f>
        <v/>
      </c>
      <c r="I2042" s="36" t="str">
        <f>IF($C2042="","",_xlfn.XLOOKUP($C2042,Order!$C:$C,Order!$N:$N,"",0,1))</f>
        <v/>
      </c>
      <c r="J2042" s="4" t="str">
        <f>IF(C2042="","",Order!$N$16)</f>
        <v/>
      </c>
      <c r="K2042" s="36" t="str">
        <f>IF($C2042="","",_xlfn.XLOOKUP($C2042,Order!$C:$C,Order!$P:$P,"",0,1))</f>
        <v/>
      </c>
      <c r="L2042" s="4" t="str">
        <f t="shared" si="31"/>
        <v/>
      </c>
    </row>
    <row r="2043" spans="2:12" ht="23.25" hidden="1" customHeight="1" x14ac:dyDescent="0.25">
      <c r="B2043" s="4">
        <v>2038</v>
      </c>
      <c r="C2043" s="36" t="str">
        <f>IF(Order!$C$329="","",Order!$C$329)</f>
        <v/>
      </c>
      <c r="D2043" s="36" t="str">
        <f>IF($C2043="","",_xlfn.XLOOKUP($C2043,Order!$C:$C,Order!$D:$D,"",0,1))</f>
        <v/>
      </c>
      <c r="E2043" s="4" t="str">
        <f>IF($C2043="","",_xlfn.XLOOKUP($C2043,Order!$C:$C,Order!$E:$E,"",0,1))</f>
        <v/>
      </c>
      <c r="F2043" s="4" t="str">
        <f>IF($C2043="","",_xlfn.XLOOKUP($C2043,Order!$C:$C,Order!$F:$F,"",0,1))</f>
        <v/>
      </c>
      <c r="G2043" s="4" t="str">
        <f>IF($C2043="","",_xlfn.XLOOKUP($C2043,Order!$C:$C,Order!$G:$G,"",0,1))</f>
        <v/>
      </c>
      <c r="H2043" s="4" t="str">
        <f>IF($C2043="","",_xlfn.XLOOKUP($C2043,Order!$C:$C,Order!$H:$H,"",0,1))</f>
        <v/>
      </c>
      <c r="I2043" s="36" t="str">
        <f>IF($C2043="","",_xlfn.XLOOKUP($C2043,Order!$C:$C,Order!$N:$N,"",0,1))</f>
        <v/>
      </c>
      <c r="J2043" s="4" t="str">
        <f>IF(C2043="","",Order!$N$16)</f>
        <v/>
      </c>
      <c r="K2043" s="36" t="str">
        <f>IF($C2043="","",_xlfn.XLOOKUP($C2043,Order!$C:$C,Order!$P:$P,"",0,1))</f>
        <v/>
      </c>
      <c r="L2043" s="4" t="str">
        <f t="shared" si="31"/>
        <v/>
      </c>
    </row>
    <row r="2044" spans="2:12" ht="23.25" hidden="1" customHeight="1" x14ac:dyDescent="0.25">
      <c r="B2044" s="4">
        <v>2039</v>
      </c>
      <c r="C2044" s="36" t="str">
        <f>IF(Order!$C$330="","",Order!$C$330)</f>
        <v/>
      </c>
      <c r="D2044" s="36" t="str">
        <f>IF($C2044="","",_xlfn.XLOOKUP($C2044,Order!$C:$C,Order!$D:$D,"",0,1))</f>
        <v/>
      </c>
      <c r="E2044" s="4" t="str">
        <f>IF($C2044="","",_xlfn.XLOOKUP($C2044,Order!$C:$C,Order!$E:$E,"",0,1))</f>
        <v/>
      </c>
      <c r="F2044" s="4" t="str">
        <f>IF($C2044="","",_xlfn.XLOOKUP($C2044,Order!$C:$C,Order!$F:$F,"",0,1))</f>
        <v/>
      </c>
      <c r="G2044" s="4" t="str">
        <f>IF($C2044="","",_xlfn.XLOOKUP($C2044,Order!$C:$C,Order!$G:$G,"",0,1))</f>
        <v/>
      </c>
      <c r="H2044" s="4" t="str">
        <f>IF($C2044="","",_xlfn.XLOOKUP($C2044,Order!$C:$C,Order!$H:$H,"",0,1))</f>
        <v/>
      </c>
      <c r="I2044" s="36" t="str">
        <f>IF($C2044="","",_xlfn.XLOOKUP($C2044,Order!$C:$C,Order!$N:$N,"",0,1))</f>
        <v/>
      </c>
      <c r="J2044" s="4" t="str">
        <f>IF(C2044="","",Order!$N$16)</f>
        <v/>
      </c>
      <c r="K2044" s="36" t="str">
        <f>IF($C2044="","",_xlfn.XLOOKUP($C2044,Order!$C:$C,Order!$P:$P,"",0,1))</f>
        <v/>
      </c>
      <c r="L2044" s="4" t="str">
        <f t="shared" si="31"/>
        <v/>
      </c>
    </row>
    <row r="2045" spans="2:12" ht="23.25" hidden="1" customHeight="1" x14ac:dyDescent="0.25">
      <c r="B2045" s="4">
        <v>2040</v>
      </c>
      <c r="C2045" s="36" t="str">
        <f>IF(Order!$C$331="","",Order!$C$331)</f>
        <v/>
      </c>
      <c r="D2045" s="36" t="str">
        <f>IF($C2045="","",_xlfn.XLOOKUP($C2045,Order!$C:$C,Order!$D:$D,"",0,1))</f>
        <v/>
      </c>
      <c r="E2045" s="4" t="str">
        <f>IF($C2045="","",_xlfn.XLOOKUP($C2045,Order!$C:$C,Order!$E:$E,"",0,1))</f>
        <v/>
      </c>
      <c r="F2045" s="4" t="str">
        <f>IF($C2045="","",_xlfn.XLOOKUP($C2045,Order!$C:$C,Order!$F:$F,"",0,1))</f>
        <v/>
      </c>
      <c r="G2045" s="4" t="str">
        <f>IF($C2045="","",_xlfn.XLOOKUP($C2045,Order!$C:$C,Order!$G:$G,"",0,1))</f>
        <v/>
      </c>
      <c r="H2045" s="4" t="str">
        <f>IF($C2045="","",_xlfn.XLOOKUP($C2045,Order!$C:$C,Order!$H:$H,"",0,1))</f>
        <v/>
      </c>
      <c r="I2045" s="36" t="str">
        <f>IF($C2045="","",_xlfn.XLOOKUP($C2045,Order!$C:$C,Order!$N:$N,"",0,1))</f>
        <v/>
      </c>
      <c r="J2045" s="4" t="str">
        <f>IF(C2045="","",Order!$N$16)</f>
        <v/>
      </c>
      <c r="K2045" s="36" t="str">
        <f>IF($C2045="","",_xlfn.XLOOKUP($C2045,Order!$C:$C,Order!$P:$P,"",0,1))</f>
        <v/>
      </c>
      <c r="L2045" s="4" t="str">
        <f t="shared" si="31"/>
        <v/>
      </c>
    </row>
    <row r="2046" spans="2:12" ht="23.25" hidden="1" customHeight="1" x14ac:dyDescent="0.25">
      <c r="B2046" s="4">
        <v>2041</v>
      </c>
      <c r="C2046" s="36" t="str">
        <f>IF(Order!$C$332="","",Order!$C$332)</f>
        <v/>
      </c>
      <c r="D2046" s="36" t="str">
        <f>IF($C2046="","",_xlfn.XLOOKUP($C2046,Order!$C:$C,Order!$D:$D,"",0,1))</f>
        <v/>
      </c>
      <c r="E2046" s="4" t="str">
        <f>IF($C2046="","",_xlfn.XLOOKUP($C2046,Order!$C:$C,Order!$E:$E,"",0,1))</f>
        <v/>
      </c>
      <c r="F2046" s="4" t="str">
        <f>IF($C2046="","",_xlfn.XLOOKUP($C2046,Order!$C:$C,Order!$F:$F,"",0,1))</f>
        <v/>
      </c>
      <c r="G2046" s="4" t="str">
        <f>IF($C2046="","",_xlfn.XLOOKUP($C2046,Order!$C:$C,Order!$G:$G,"",0,1))</f>
        <v/>
      </c>
      <c r="H2046" s="4" t="str">
        <f>IF($C2046="","",_xlfn.XLOOKUP($C2046,Order!$C:$C,Order!$H:$H,"",0,1))</f>
        <v/>
      </c>
      <c r="I2046" s="36" t="str">
        <f>IF($C2046="","",_xlfn.XLOOKUP($C2046,Order!$C:$C,Order!$N:$N,"",0,1))</f>
        <v/>
      </c>
      <c r="J2046" s="4" t="str">
        <f>IF(C2046="","",Order!$N$16)</f>
        <v/>
      </c>
      <c r="K2046" s="36" t="str">
        <f>IF($C2046="","",_xlfn.XLOOKUP($C2046,Order!$C:$C,Order!$P:$P,"",0,1))</f>
        <v/>
      </c>
      <c r="L2046" s="4" t="str">
        <f t="shared" si="31"/>
        <v/>
      </c>
    </row>
    <row r="2047" spans="2:12" ht="23.25" hidden="1" customHeight="1" x14ac:dyDescent="0.25">
      <c r="B2047" s="4">
        <v>2042</v>
      </c>
      <c r="C2047" s="36" t="str">
        <f>IF(Order!$C$333="","",Order!$C$333)</f>
        <v/>
      </c>
      <c r="D2047" s="36" t="str">
        <f>IF($C2047="","",_xlfn.XLOOKUP($C2047,Order!$C:$C,Order!$D:$D,"",0,1))</f>
        <v/>
      </c>
      <c r="E2047" s="4" t="str">
        <f>IF($C2047="","",_xlfn.XLOOKUP($C2047,Order!$C:$C,Order!$E:$E,"",0,1))</f>
        <v/>
      </c>
      <c r="F2047" s="4" t="str">
        <f>IF($C2047="","",_xlfn.XLOOKUP($C2047,Order!$C:$C,Order!$F:$F,"",0,1))</f>
        <v/>
      </c>
      <c r="G2047" s="4" t="str">
        <f>IF($C2047="","",_xlfn.XLOOKUP($C2047,Order!$C:$C,Order!$G:$G,"",0,1))</f>
        <v/>
      </c>
      <c r="H2047" s="4" t="str">
        <f>IF($C2047="","",_xlfn.XLOOKUP($C2047,Order!$C:$C,Order!$H:$H,"",0,1))</f>
        <v/>
      </c>
      <c r="I2047" s="36" t="str">
        <f>IF($C2047="","",_xlfn.XLOOKUP($C2047,Order!$C:$C,Order!$N:$N,"",0,1))</f>
        <v/>
      </c>
      <c r="J2047" s="4" t="str">
        <f>IF(C2047="","",Order!$N$16)</f>
        <v/>
      </c>
      <c r="K2047" s="36" t="str">
        <f>IF($C2047="","",_xlfn.XLOOKUP($C2047,Order!$C:$C,Order!$P:$P,"",0,1))</f>
        <v/>
      </c>
      <c r="L2047" s="4" t="str">
        <f t="shared" si="31"/>
        <v/>
      </c>
    </row>
    <row r="2048" spans="2:12" ht="23.25" hidden="1" customHeight="1" x14ac:dyDescent="0.25">
      <c r="B2048" s="4">
        <v>2043</v>
      </c>
      <c r="C2048" s="36" t="str">
        <f>IF(Order!$C$334="","",Order!$C$334)</f>
        <v/>
      </c>
      <c r="D2048" s="36" t="str">
        <f>IF($C2048="","",_xlfn.XLOOKUP($C2048,Order!$C:$C,Order!$D:$D,"",0,1))</f>
        <v/>
      </c>
      <c r="E2048" s="4" t="str">
        <f>IF($C2048="","",_xlfn.XLOOKUP($C2048,Order!$C:$C,Order!$E:$E,"",0,1))</f>
        <v/>
      </c>
      <c r="F2048" s="4" t="str">
        <f>IF($C2048="","",_xlfn.XLOOKUP($C2048,Order!$C:$C,Order!$F:$F,"",0,1))</f>
        <v/>
      </c>
      <c r="G2048" s="4" t="str">
        <f>IF($C2048="","",_xlfn.XLOOKUP($C2048,Order!$C:$C,Order!$G:$G,"",0,1))</f>
        <v/>
      </c>
      <c r="H2048" s="4" t="str">
        <f>IF($C2048="","",_xlfn.XLOOKUP($C2048,Order!$C:$C,Order!$H:$H,"",0,1))</f>
        <v/>
      </c>
      <c r="I2048" s="36" t="str">
        <f>IF($C2048="","",_xlfn.XLOOKUP($C2048,Order!$C:$C,Order!$N:$N,"",0,1))</f>
        <v/>
      </c>
      <c r="J2048" s="4" t="str">
        <f>IF(C2048="","",Order!$N$16)</f>
        <v/>
      </c>
      <c r="K2048" s="36" t="str">
        <f>IF($C2048="","",_xlfn.XLOOKUP($C2048,Order!$C:$C,Order!$P:$P,"",0,1))</f>
        <v/>
      </c>
      <c r="L2048" s="4" t="str">
        <f t="shared" si="31"/>
        <v/>
      </c>
    </row>
    <row r="2049" spans="2:12" ht="23.25" hidden="1" customHeight="1" x14ac:dyDescent="0.25">
      <c r="B2049" s="4">
        <v>2044</v>
      </c>
      <c r="C2049" s="36" t="str">
        <f>IF(Order!$C$335="","",Order!$C$335)</f>
        <v/>
      </c>
      <c r="D2049" s="36" t="str">
        <f>IF($C2049="","",_xlfn.XLOOKUP($C2049,Order!$C:$C,Order!$D:$D,"",0,1))</f>
        <v/>
      </c>
      <c r="E2049" s="4" t="str">
        <f>IF($C2049="","",_xlfn.XLOOKUP($C2049,Order!$C:$C,Order!$E:$E,"",0,1))</f>
        <v/>
      </c>
      <c r="F2049" s="4" t="str">
        <f>IF($C2049="","",_xlfn.XLOOKUP($C2049,Order!$C:$C,Order!$F:$F,"",0,1))</f>
        <v/>
      </c>
      <c r="G2049" s="4" t="str">
        <f>IF($C2049="","",_xlfn.XLOOKUP($C2049,Order!$C:$C,Order!$G:$G,"",0,1))</f>
        <v/>
      </c>
      <c r="H2049" s="4" t="str">
        <f>IF($C2049="","",_xlfn.XLOOKUP($C2049,Order!$C:$C,Order!$H:$H,"",0,1))</f>
        <v/>
      </c>
      <c r="I2049" s="36" t="str">
        <f>IF($C2049="","",_xlfn.XLOOKUP($C2049,Order!$C:$C,Order!$N:$N,"",0,1))</f>
        <v/>
      </c>
      <c r="J2049" s="4" t="str">
        <f>IF(C2049="","",Order!$N$16)</f>
        <v/>
      </c>
      <c r="K2049" s="36" t="str">
        <f>IF($C2049="","",_xlfn.XLOOKUP($C2049,Order!$C:$C,Order!$P:$P,"",0,1))</f>
        <v/>
      </c>
      <c r="L2049" s="4" t="str">
        <f t="shared" si="31"/>
        <v/>
      </c>
    </row>
    <row r="2050" spans="2:12" ht="23.25" hidden="1" customHeight="1" x14ac:dyDescent="0.25">
      <c r="B2050" s="4">
        <v>2045</v>
      </c>
      <c r="C2050" s="36" t="str">
        <f>IF(Order!$C$336="","",Order!$C$336)</f>
        <v/>
      </c>
      <c r="D2050" s="36" t="str">
        <f>IF($C2050="","",_xlfn.XLOOKUP($C2050,Order!$C:$C,Order!$D:$D,"",0,1))</f>
        <v/>
      </c>
      <c r="E2050" s="4" t="str">
        <f>IF($C2050="","",_xlfn.XLOOKUP($C2050,Order!$C:$C,Order!$E:$E,"",0,1))</f>
        <v/>
      </c>
      <c r="F2050" s="4" t="str">
        <f>IF($C2050="","",_xlfn.XLOOKUP($C2050,Order!$C:$C,Order!$F:$F,"",0,1))</f>
        <v/>
      </c>
      <c r="G2050" s="4" t="str">
        <f>IF($C2050="","",_xlfn.XLOOKUP($C2050,Order!$C:$C,Order!$G:$G,"",0,1))</f>
        <v/>
      </c>
      <c r="H2050" s="4" t="str">
        <f>IF($C2050="","",_xlfn.XLOOKUP($C2050,Order!$C:$C,Order!$H:$H,"",0,1))</f>
        <v/>
      </c>
      <c r="I2050" s="36" t="str">
        <f>IF($C2050="","",_xlfn.XLOOKUP($C2050,Order!$C:$C,Order!$N:$N,"",0,1))</f>
        <v/>
      </c>
      <c r="J2050" s="4" t="str">
        <f>IF(C2050="","",Order!$N$16)</f>
        <v/>
      </c>
      <c r="K2050" s="36" t="str">
        <f>IF($C2050="","",_xlfn.XLOOKUP($C2050,Order!$C:$C,Order!$P:$P,"",0,1))</f>
        <v/>
      </c>
      <c r="L2050" s="4" t="str">
        <f t="shared" si="31"/>
        <v/>
      </c>
    </row>
    <row r="2051" spans="2:12" ht="23.25" hidden="1" customHeight="1" x14ac:dyDescent="0.25">
      <c r="B2051" s="4">
        <v>2046</v>
      </c>
      <c r="C2051" s="36" t="str">
        <f>IF(Order!$C$337="","",Order!$C$337)</f>
        <v xml:space="preserve"> BX352 (MT0077-Perfilpara tela de mosquito)</v>
      </c>
      <c r="D2051" s="36" t="str">
        <f>IF($C2051="","",_xlfn.XLOOKUP($C2051,Order!$C:$C,Order!$D:$D,"",0,1))</f>
        <v>BX352</v>
      </c>
      <c r="E2051" s="4" t="e" vm="494">
        <f>IF($C2051="","",_xlfn.XLOOKUP($C2051,Order!$C:$C,Order!$E:$E,"",0,1))</f>
        <v>#VALUE!</v>
      </c>
      <c r="F2051" s="4">
        <f>IF($C2051="","",_xlfn.XLOOKUP($C2051,Order!$C:$C,Order!$F:$F,"",0,1))</f>
        <v>6000</v>
      </c>
      <c r="G2051" s="4" t="str">
        <f>IF($C2051="","",_xlfn.XLOOKUP($C2051,Order!$C:$C,Order!$G:$G,"",0,1))</f>
        <v>6063T5</v>
      </c>
      <c r="H2051" s="4">
        <f>IF($C2051="","",_xlfn.XLOOKUP($C2051,Order!$C:$C,Order!$H:$H,"",0,1))</f>
        <v>0.192</v>
      </c>
      <c r="I2051" s="36">
        <f>IF($C2051="","",_xlfn.XLOOKUP($C2051,Order!$C:$C,Order!$N:$N,"",0,1))</f>
        <v>0</v>
      </c>
      <c r="J2051" s="4" t="str">
        <f>IF(C2051="","",Order!$N$16)</f>
        <v>ELECT. CHAMPAGNE (FAYH02)</v>
      </c>
      <c r="K2051" s="36">
        <f>IF($C2051="","",_xlfn.XLOOKUP($C2051,Order!$C:$C,Order!$P:$P,"",0,1))</f>
        <v>0</v>
      </c>
      <c r="L2051" s="4">
        <f t="shared" si="31"/>
        <v>0</v>
      </c>
    </row>
    <row r="2052" spans="2:12" ht="23.25" hidden="1" customHeight="1" x14ac:dyDescent="0.25">
      <c r="B2052" s="4">
        <v>2047</v>
      </c>
      <c r="C2052" s="36" t="str">
        <f>IF(Order!$C$338="","",Order!$C$338)</f>
        <v/>
      </c>
      <c r="D2052" s="36" t="str">
        <f>IF($C2052="","",_xlfn.XLOOKUP($C2052,Order!$C:$C,Order!$D:$D,"",0,1))</f>
        <v/>
      </c>
      <c r="E2052" s="4" t="str">
        <f>IF($C2052="","",_xlfn.XLOOKUP($C2052,Order!$C:$C,Order!$E:$E,"",0,1))</f>
        <v/>
      </c>
      <c r="F2052" s="4" t="str">
        <f>IF($C2052="","",_xlfn.XLOOKUP($C2052,Order!$C:$C,Order!$F:$F,"",0,1))</f>
        <v/>
      </c>
      <c r="G2052" s="4" t="str">
        <f>IF($C2052="","",_xlfn.XLOOKUP($C2052,Order!$C:$C,Order!$G:$G,"",0,1))</f>
        <v/>
      </c>
      <c r="H2052" s="4" t="str">
        <f>IF($C2052="","",_xlfn.XLOOKUP($C2052,Order!$C:$C,Order!$H:$H,"",0,1))</f>
        <v/>
      </c>
      <c r="I2052" s="36" t="str">
        <f>IF($C2052="","",_xlfn.XLOOKUP($C2052,Order!$C:$C,Order!$N:$N,"",0,1))</f>
        <v/>
      </c>
      <c r="J2052" s="4" t="str">
        <f>IF(C2052="","",Order!$N$16)</f>
        <v/>
      </c>
      <c r="K2052" s="36" t="str">
        <f>IF($C2052="","",_xlfn.XLOOKUP($C2052,Order!$C:$C,Order!$P:$P,"",0,1))</f>
        <v/>
      </c>
      <c r="L2052" s="4" t="str">
        <f t="shared" si="31"/>
        <v/>
      </c>
    </row>
    <row r="2053" spans="2:12" ht="23.25" hidden="1" customHeight="1" x14ac:dyDescent="0.25">
      <c r="B2053" s="4">
        <v>2048</v>
      </c>
      <c r="C2053" s="36" t="str">
        <f>IF(Order!$C$339="","",Order!$C$339)</f>
        <v/>
      </c>
      <c r="D2053" s="36" t="str">
        <f>IF($C2053="","",_xlfn.XLOOKUP($C2053,Order!$C:$C,Order!$D:$D,"",0,1))</f>
        <v/>
      </c>
      <c r="E2053" s="4" t="str">
        <f>IF($C2053="","",_xlfn.XLOOKUP($C2053,Order!$C:$C,Order!$E:$E,"",0,1))</f>
        <v/>
      </c>
      <c r="F2053" s="4" t="str">
        <f>IF($C2053="","",_xlfn.XLOOKUP($C2053,Order!$C:$C,Order!$F:$F,"",0,1))</f>
        <v/>
      </c>
      <c r="G2053" s="4" t="str">
        <f>IF($C2053="","",_xlfn.XLOOKUP($C2053,Order!$C:$C,Order!$G:$G,"",0,1))</f>
        <v/>
      </c>
      <c r="H2053" s="4" t="str">
        <f>IF($C2053="","",_xlfn.XLOOKUP($C2053,Order!$C:$C,Order!$H:$H,"",0,1))</f>
        <v/>
      </c>
      <c r="I2053" s="36" t="str">
        <f>IF($C2053="","",_xlfn.XLOOKUP($C2053,Order!$C:$C,Order!$N:$N,"",0,1))</f>
        <v/>
      </c>
      <c r="J2053" s="4" t="str">
        <f>IF(C2053="","",Order!$N$16)</f>
        <v/>
      </c>
      <c r="K2053" s="36" t="str">
        <f>IF($C2053="","",_xlfn.XLOOKUP($C2053,Order!$C:$C,Order!$P:$P,"",0,1))</f>
        <v/>
      </c>
      <c r="L2053" s="4" t="str">
        <f t="shared" si="31"/>
        <v/>
      </c>
    </row>
    <row r="2054" spans="2:12" ht="23.25" hidden="1" customHeight="1" x14ac:dyDescent="0.25">
      <c r="B2054" s="4">
        <v>2049</v>
      </c>
      <c r="C2054" s="36" t="str">
        <f>IF(Order!$C$340="","",Order!$C$340)</f>
        <v/>
      </c>
      <c r="D2054" s="36" t="str">
        <f>IF($C2054="","",_xlfn.XLOOKUP($C2054,Order!$C:$C,Order!$D:$D,"",0,1))</f>
        <v/>
      </c>
      <c r="E2054" s="4" t="str">
        <f>IF($C2054="","",_xlfn.XLOOKUP($C2054,Order!$C:$C,Order!$E:$E,"",0,1))</f>
        <v/>
      </c>
      <c r="F2054" s="4" t="str">
        <f>IF($C2054="","",_xlfn.XLOOKUP($C2054,Order!$C:$C,Order!$F:$F,"",0,1))</f>
        <v/>
      </c>
      <c r="G2054" s="4" t="str">
        <f>IF($C2054="","",_xlfn.XLOOKUP($C2054,Order!$C:$C,Order!$G:$G,"",0,1))</f>
        <v/>
      </c>
      <c r="H2054" s="4" t="str">
        <f>IF($C2054="","",_xlfn.XLOOKUP($C2054,Order!$C:$C,Order!$H:$H,"",0,1))</f>
        <v/>
      </c>
      <c r="I2054" s="36" t="str">
        <f>IF($C2054="","",_xlfn.XLOOKUP($C2054,Order!$C:$C,Order!$N:$N,"",0,1))</f>
        <v/>
      </c>
      <c r="J2054" s="4" t="str">
        <f>IF(C2054="","",Order!$N$16)</f>
        <v/>
      </c>
      <c r="K2054" s="36" t="str">
        <f>IF($C2054="","",_xlfn.XLOOKUP($C2054,Order!$C:$C,Order!$P:$P,"",0,1))</f>
        <v/>
      </c>
      <c r="L2054" s="4" t="str">
        <f t="shared" si="31"/>
        <v/>
      </c>
    </row>
    <row r="2055" spans="2:12" ht="23.25" hidden="1" customHeight="1" x14ac:dyDescent="0.25">
      <c r="B2055" s="4">
        <v>2050</v>
      </c>
      <c r="C2055" s="36" t="str">
        <f>IF(Order!$C$341="","",Order!$C$341)</f>
        <v xml:space="preserve"> U 15 (PU 004 5/8 x 1/16")  </v>
      </c>
      <c r="D2055" s="36" t="str">
        <f>IF($C2055="","",_xlfn.XLOOKUP($C2055,Order!$C:$C,Order!$D:$D,"",0,1))</f>
        <v>BX567</v>
      </c>
      <c r="E2055" s="4" t="e" vm="495">
        <f>IF($C2055="","",_xlfn.XLOOKUP($C2055,Order!$C:$C,Order!$E:$E,"",0,1))</f>
        <v>#VALUE!</v>
      </c>
      <c r="F2055" s="4">
        <f>IF($C2055="","",_xlfn.XLOOKUP($C2055,Order!$C:$C,Order!$F:$F,"",0,1))</f>
        <v>6000</v>
      </c>
      <c r="G2055" s="4" t="str">
        <f>IF($C2055="","",_xlfn.XLOOKUP($C2055,Order!$C:$C,Order!$G:$G,"",0,1))</f>
        <v>6063T5</v>
      </c>
      <c r="H2055" s="4">
        <f>IF($C2055="","",_xlfn.XLOOKUP($C2055,Order!$C:$C,Order!$H:$H,"",0,1))</f>
        <v>0.17100000000000001</v>
      </c>
      <c r="I2055" s="36">
        <f>IF($C2055="","",_xlfn.XLOOKUP($C2055,Order!$C:$C,Order!$N:$N,"",0,1))</f>
        <v>0</v>
      </c>
      <c r="J2055" s="4" t="str">
        <f>IF(C2055="","",Order!$N$16)</f>
        <v>ELECT. CHAMPAGNE (FAYH02)</v>
      </c>
      <c r="K2055" s="36">
        <f>IF($C2055="","",_xlfn.XLOOKUP($C2055,Order!$C:$C,Order!$P:$P,"",0,1))</f>
        <v>0</v>
      </c>
      <c r="L2055" s="4">
        <f t="shared" ref="L2055:L2118" si="32">IF(C2055="","",F2055/1000*H2055*I2055)</f>
        <v>0</v>
      </c>
    </row>
    <row r="2056" spans="2:12" ht="23.25" hidden="1" customHeight="1" x14ac:dyDescent="0.25">
      <c r="B2056" s="4">
        <v>2051</v>
      </c>
      <c r="C2056" s="36" t="str">
        <f>IF(Order!$C$342="","",Order!$C$342)</f>
        <v/>
      </c>
      <c r="D2056" s="36" t="str">
        <f>IF($C2056="","",_xlfn.XLOOKUP($C2056,Order!$C:$C,Order!$D:$D,"",0,1))</f>
        <v/>
      </c>
      <c r="E2056" s="4" t="str">
        <f>IF($C2056="","",_xlfn.XLOOKUP($C2056,Order!$C:$C,Order!$E:$E,"",0,1))</f>
        <v/>
      </c>
      <c r="F2056" s="4" t="str">
        <f>IF($C2056="","",_xlfn.XLOOKUP($C2056,Order!$C:$C,Order!$F:$F,"",0,1))</f>
        <v/>
      </c>
      <c r="G2056" s="4" t="str">
        <f>IF($C2056="","",_xlfn.XLOOKUP($C2056,Order!$C:$C,Order!$G:$G,"",0,1))</f>
        <v/>
      </c>
      <c r="H2056" s="4" t="str">
        <f>IF($C2056="","",_xlfn.XLOOKUP($C2056,Order!$C:$C,Order!$H:$H,"",0,1))</f>
        <v/>
      </c>
      <c r="I2056" s="36" t="str">
        <f>IF($C2056="","",_xlfn.XLOOKUP($C2056,Order!$C:$C,Order!$N:$N,"",0,1))</f>
        <v/>
      </c>
      <c r="J2056" s="4" t="str">
        <f>IF(C2056="","",Order!$N$16)</f>
        <v/>
      </c>
      <c r="K2056" s="36" t="str">
        <f>IF($C2056="","",_xlfn.XLOOKUP($C2056,Order!$C:$C,Order!$P:$P,"",0,1))</f>
        <v/>
      </c>
      <c r="L2056" s="4" t="str">
        <f t="shared" si="32"/>
        <v/>
      </c>
    </row>
    <row r="2057" spans="2:12" ht="23.25" hidden="1" customHeight="1" x14ac:dyDescent="0.25">
      <c r="B2057" s="4">
        <v>2052</v>
      </c>
      <c r="C2057" s="36" t="str">
        <f>IF(Order!$C$343="","",Order!$C$343)</f>
        <v/>
      </c>
      <c r="D2057" s="36" t="str">
        <f>IF($C2057="","",_xlfn.XLOOKUP($C2057,Order!$C:$C,Order!$D:$D,"",0,1))</f>
        <v/>
      </c>
      <c r="E2057" s="4" t="str">
        <f>IF($C2057="","",_xlfn.XLOOKUP($C2057,Order!$C:$C,Order!$E:$E,"",0,1))</f>
        <v/>
      </c>
      <c r="F2057" s="4" t="str">
        <f>IF($C2057="","",_xlfn.XLOOKUP($C2057,Order!$C:$C,Order!$F:$F,"",0,1))</f>
        <v/>
      </c>
      <c r="G2057" s="4" t="str">
        <f>IF($C2057="","",_xlfn.XLOOKUP($C2057,Order!$C:$C,Order!$G:$G,"",0,1))</f>
        <v/>
      </c>
      <c r="H2057" s="4" t="str">
        <f>IF($C2057="","",_xlfn.XLOOKUP($C2057,Order!$C:$C,Order!$H:$H,"",0,1))</f>
        <v/>
      </c>
      <c r="I2057" s="36" t="str">
        <f>IF($C2057="","",_xlfn.XLOOKUP($C2057,Order!$C:$C,Order!$N:$N,"",0,1))</f>
        <v/>
      </c>
      <c r="J2057" s="4" t="str">
        <f>IF(C2057="","",Order!$N$16)</f>
        <v/>
      </c>
      <c r="K2057" s="36" t="str">
        <f>IF($C2057="","",_xlfn.XLOOKUP($C2057,Order!$C:$C,Order!$P:$P,"",0,1))</f>
        <v/>
      </c>
      <c r="L2057" s="4" t="str">
        <f t="shared" si="32"/>
        <v/>
      </c>
    </row>
    <row r="2058" spans="2:12" ht="23.25" hidden="1" customHeight="1" x14ac:dyDescent="0.25">
      <c r="B2058" s="4">
        <v>2053</v>
      </c>
      <c r="C2058" s="36" t="str">
        <f>IF(Order!$C$344="","",Order!$C$344)</f>
        <v/>
      </c>
      <c r="D2058" s="36" t="str">
        <f>IF($C2058="","",_xlfn.XLOOKUP($C2058,Order!$C:$C,Order!$D:$D,"",0,1))</f>
        <v/>
      </c>
      <c r="E2058" s="4" t="str">
        <f>IF($C2058="","",_xlfn.XLOOKUP($C2058,Order!$C:$C,Order!$E:$E,"",0,1))</f>
        <v/>
      </c>
      <c r="F2058" s="4" t="str">
        <f>IF($C2058="","",_xlfn.XLOOKUP($C2058,Order!$C:$C,Order!$F:$F,"",0,1))</f>
        <v/>
      </c>
      <c r="G2058" s="4" t="str">
        <f>IF($C2058="","",_xlfn.XLOOKUP($C2058,Order!$C:$C,Order!$G:$G,"",0,1))</f>
        <v/>
      </c>
      <c r="H2058" s="4" t="str">
        <f>IF($C2058="","",_xlfn.XLOOKUP($C2058,Order!$C:$C,Order!$H:$H,"",0,1))</f>
        <v/>
      </c>
      <c r="I2058" s="36" t="str">
        <f>IF($C2058="","",_xlfn.XLOOKUP($C2058,Order!$C:$C,Order!$N:$N,"",0,1))</f>
        <v/>
      </c>
      <c r="J2058" s="4" t="str">
        <f>IF(C2058="","",Order!$N$16)</f>
        <v/>
      </c>
      <c r="K2058" s="36" t="str">
        <f>IF($C2058="","",_xlfn.XLOOKUP($C2058,Order!$C:$C,Order!$P:$P,"",0,1))</f>
        <v/>
      </c>
      <c r="L2058" s="4" t="str">
        <f t="shared" si="32"/>
        <v/>
      </c>
    </row>
    <row r="2059" spans="2:12" ht="23.25" hidden="1" customHeight="1" x14ac:dyDescent="0.25">
      <c r="B2059" s="4">
        <v>2054</v>
      </c>
      <c r="C2059" s="36" t="str">
        <f>IF(Order!$C$345="","",Order!$C$345)</f>
        <v/>
      </c>
      <c r="D2059" s="36" t="str">
        <f>IF($C2059="","",_xlfn.XLOOKUP($C2059,Order!$C:$C,Order!$D:$D,"",0,1))</f>
        <v/>
      </c>
      <c r="E2059" s="4" t="str">
        <f>IF($C2059="","",_xlfn.XLOOKUP($C2059,Order!$C:$C,Order!$E:$E,"",0,1))</f>
        <v/>
      </c>
      <c r="F2059" s="4" t="str">
        <f>IF($C2059="","",_xlfn.XLOOKUP($C2059,Order!$C:$C,Order!$F:$F,"",0,1))</f>
        <v/>
      </c>
      <c r="G2059" s="4" t="str">
        <f>IF($C2059="","",_xlfn.XLOOKUP($C2059,Order!$C:$C,Order!$G:$G,"",0,1))</f>
        <v/>
      </c>
      <c r="H2059" s="4" t="str">
        <f>IF($C2059="","",_xlfn.XLOOKUP($C2059,Order!$C:$C,Order!$H:$H,"",0,1))</f>
        <v/>
      </c>
      <c r="I2059" s="36" t="str">
        <f>IF($C2059="","",_xlfn.XLOOKUP($C2059,Order!$C:$C,Order!$N:$N,"",0,1))</f>
        <v/>
      </c>
      <c r="J2059" s="4" t="str">
        <f>IF(C2059="","",Order!$N$16)</f>
        <v/>
      </c>
      <c r="K2059" s="36" t="str">
        <f>IF($C2059="","",_xlfn.XLOOKUP($C2059,Order!$C:$C,Order!$P:$P,"",0,1))</f>
        <v/>
      </c>
      <c r="L2059" s="4" t="str">
        <f t="shared" si="32"/>
        <v/>
      </c>
    </row>
    <row r="2060" spans="2:12" ht="23.25" hidden="1" customHeight="1" x14ac:dyDescent="0.25">
      <c r="B2060" s="4">
        <v>2055</v>
      </c>
      <c r="C2060" s="36" t="str">
        <f>IF(Order!$C$346="","",Order!$C$346)</f>
        <v/>
      </c>
      <c r="D2060" s="36" t="str">
        <f>IF($C2060="","",_xlfn.XLOOKUP($C2060,Order!$C:$C,Order!$D:$D,"",0,1))</f>
        <v/>
      </c>
      <c r="E2060" s="4" t="str">
        <f>IF($C2060="","",_xlfn.XLOOKUP($C2060,Order!$C:$C,Order!$E:$E,"",0,1))</f>
        <v/>
      </c>
      <c r="F2060" s="4" t="str">
        <f>IF($C2060="","",_xlfn.XLOOKUP($C2060,Order!$C:$C,Order!$F:$F,"",0,1))</f>
        <v/>
      </c>
      <c r="G2060" s="4" t="str">
        <f>IF($C2060="","",_xlfn.XLOOKUP($C2060,Order!$C:$C,Order!$G:$G,"",0,1))</f>
        <v/>
      </c>
      <c r="H2060" s="4" t="str">
        <f>IF($C2060="","",_xlfn.XLOOKUP($C2060,Order!$C:$C,Order!$H:$H,"",0,1))</f>
        <v/>
      </c>
      <c r="I2060" s="36" t="str">
        <f>IF($C2060="","",_xlfn.XLOOKUP($C2060,Order!$C:$C,Order!$N:$N,"",0,1))</f>
        <v/>
      </c>
      <c r="J2060" s="4" t="str">
        <f>IF(C2060="","",Order!$N$16)</f>
        <v/>
      </c>
      <c r="K2060" s="36" t="str">
        <f>IF($C2060="","",_xlfn.XLOOKUP($C2060,Order!$C:$C,Order!$P:$P,"",0,1))</f>
        <v/>
      </c>
      <c r="L2060" s="4" t="str">
        <f t="shared" si="32"/>
        <v/>
      </c>
    </row>
    <row r="2061" spans="2:12" ht="23.25" hidden="1" customHeight="1" x14ac:dyDescent="0.25">
      <c r="B2061" s="4">
        <v>2056</v>
      </c>
      <c r="C2061" s="36" t="str">
        <f>IF(Order!$C$347="","",Order!$C$347)</f>
        <v/>
      </c>
      <c r="D2061" s="36" t="str">
        <f>IF($C2061="","",_xlfn.XLOOKUP($C2061,Order!$C:$C,Order!$D:$D,"",0,1))</f>
        <v/>
      </c>
      <c r="E2061" s="4" t="str">
        <f>IF($C2061="","",_xlfn.XLOOKUP($C2061,Order!$C:$C,Order!$E:$E,"",0,1))</f>
        <v/>
      </c>
      <c r="F2061" s="4" t="str">
        <f>IF($C2061="","",_xlfn.XLOOKUP($C2061,Order!$C:$C,Order!$F:$F,"",0,1))</f>
        <v/>
      </c>
      <c r="G2061" s="4" t="str">
        <f>IF($C2061="","",_xlfn.XLOOKUP($C2061,Order!$C:$C,Order!$G:$G,"",0,1))</f>
        <v/>
      </c>
      <c r="H2061" s="4" t="str">
        <f>IF($C2061="","",_xlfn.XLOOKUP($C2061,Order!$C:$C,Order!$H:$H,"",0,1))</f>
        <v/>
      </c>
      <c r="I2061" s="36" t="str">
        <f>IF($C2061="","",_xlfn.XLOOKUP($C2061,Order!$C:$C,Order!$N:$N,"",0,1))</f>
        <v/>
      </c>
      <c r="J2061" s="4" t="str">
        <f>IF(C2061="","",Order!$N$16)</f>
        <v/>
      </c>
      <c r="K2061" s="36" t="str">
        <f>IF($C2061="","",_xlfn.XLOOKUP($C2061,Order!$C:$C,Order!$P:$P,"",0,1))</f>
        <v/>
      </c>
      <c r="L2061" s="4" t="str">
        <f t="shared" si="32"/>
        <v/>
      </c>
    </row>
    <row r="2062" spans="2:12" ht="23.25" hidden="1" customHeight="1" x14ac:dyDescent="0.25">
      <c r="B2062" s="4">
        <v>2057</v>
      </c>
      <c r="C2062" s="36" t="str">
        <f>IF(Order!$C$348="","",Order!$C$348)</f>
        <v/>
      </c>
      <c r="D2062" s="36" t="str">
        <f>IF($C2062="","",_xlfn.XLOOKUP($C2062,Order!$C:$C,Order!$D:$D,"",0,1))</f>
        <v/>
      </c>
      <c r="E2062" s="4" t="str">
        <f>IF($C2062="","",_xlfn.XLOOKUP($C2062,Order!$C:$C,Order!$E:$E,"",0,1))</f>
        <v/>
      </c>
      <c r="F2062" s="4" t="str">
        <f>IF($C2062="","",_xlfn.XLOOKUP($C2062,Order!$C:$C,Order!$F:$F,"",0,1))</f>
        <v/>
      </c>
      <c r="G2062" s="4" t="str">
        <f>IF($C2062="","",_xlfn.XLOOKUP($C2062,Order!$C:$C,Order!$G:$G,"",0,1))</f>
        <v/>
      </c>
      <c r="H2062" s="4" t="str">
        <f>IF($C2062="","",_xlfn.XLOOKUP($C2062,Order!$C:$C,Order!$H:$H,"",0,1))</f>
        <v/>
      </c>
      <c r="I2062" s="36" t="str">
        <f>IF($C2062="","",_xlfn.XLOOKUP($C2062,Order!$C:$C,Order!$N:$N,"",0,1))</f>
        <v/>
      </c>
      <c r="J2062" s="4" t="str">
        <f>IF(C2062="","",Order!$N$16)</f>
        <v/>
      </c>
      <c r="K2062" s="36" t="str">
        <f>IF($C2062="","",_xlfn.XLOOKUP($C2062,Order!$C:$C,Order!$P:$P,"",0,1))</f>
        <v/>
      </c>
      <c r="L2062" s="4" t="str">
        <f t="shared" si="32"/>
        <v/>
      </c>
    </row>
    <row r="2063" spans="2:12" ht="23.25" hidden="1" customHeight="1" x14ac:dyDescent="0.25">
      <c r="B2063" s="4">
        <v>2058</v>
      </c>
      <c r="C2063" s="36" t="str">
        <f>IF(Order!$C$349="","",Order!$C$349)</f>
        <v/>
      </c>
      <c r="D2063" s="36" t="str">
        <f>IF($C2063="","",_xlfn.XLOOKUP($C2063,Order!$C:$C,Order!$D:$D,"",0,1))</f>
        <v/>
      </c>
      <c r="E2063" s="4" t="str">
        <f>IF($C2063="","",_xlfn.XLOOKUP($C2063,Order!$C:$C,Order!$E:$E,"",0,1))</f>
        <v/>
      </c>
      <c r="F2063" s="4" t="str">
        <f>IF($C2063="","",_xlfn.XLOOKUP($C2063,Order!$C:$C,Order!$F:$F,"",0,1))</f>
        <v/>
      </c>
      <c r="G2063" s="4" t="str">
        <f>IF($C2063="","",_xlfn.XLOOKUP($C2063,Order!$C:$C,Order!$G:$G,"",0,1))</f>
        <v/>
      </c>
      <c r="H2063" s="4" t="str">
        <f>IF($C2063="","",_xlfn.XLOOKUP($C2063,Order!$C:$C,Order!$H:$H,"",0,1))</f>
        <v/>
      </c>
      <c r="I2063" s="36" t="str">
        <f>IF($C2063="","",_xlfn.XLOOKUP($C2063,Order!$C:$C,Order!$N:$N,"",0,1))</f>
        <v/>
      </c>
      <c r="J2063" s="4" t="str">
        <f>IF(C2063="","",Order!$N$16)</f>
        <v/>
      </c>
      <c r="K2063" s="36" t="str">
        <f>IF($C2063="","",_xlfn.XLOOKUP($C2063,Order!$C:$C,Order!$P:$P,"",0,1))</f>
        <v/>
      </c>
      <c r="L2063" s="4" t="str">
        <f t="shared" si="32"/>
        <v/>
      </c>
    </row>
    <row r="2064" spans="2:12" ht="23.25" hidden="1" customHeight="1" x14ac:dyDescent="0.25">
      <c r="B2064" s="4">
        <v>2059</v>
      </c>
      <c r="C2064" s="36" t="str">
        <f>IF(Order!$C$350="","",Order!$C$350)</f>
        <v/>
      </c>
      <c r="D2064" s="36" t="str">
        <f>IF($C2064="","",_xlfn.XLOOKUP($C2064,Order!$C:$C,Order!$D:$D,"",0,1))</f>
        <v/>
      </c>
      <c r="E2064" s="4" t="str">
        <f>IF($C2064="","",_xlfn.XLOOKUP($C2064,Order!$C:$C,Order!$E:$E,"",0,1))</f>
        <v/>
      </c>
      <c r="F2064" s="4" t="str">
        <f>IF($C2064="","",_xlfn.XLOOKUP($C2064,Order!$C:$C,Order!$F:$F,"",0,1))</f>
        <v/>
      </c>
      <c r="G2064" s="4" t="str">
        <f>IF($C2064="","",_xlfn.XLOOKUP($C2064,Order!$C:$C,Order!$G:$G,"",0,1))</f>
        <v/>
      </c>
      <c r="H2064" s="4" t="str">
        <f>IF($C2064="","",_xlfn.XLOOKUP($C2064,Order!$C:$C,Order!$H:$H,"",0,1))</f>
        <v/>
      </c>
      <c r="I2064" s="36" t="str">
        <f>IF($C2064="","",_xlfn.XLOOKUP($C2064,Order!$C:$C,Order!$N:$N,"",0,1))</f>
        <v/>
      </c>
      <c r="J2064" s="4" t="str">
        <f>IF(C2064="","",Order!$N$16)</f>
        <v/>
      </c>
      <c r="K2064" s="36" t="str">
        <f>IF($C2064="","",_xlfn.XLOOKUP($C2064,Order!$C:$C,Order!$P:$P,"",0,1))</f>
        <v/>
      </c>
      <c r="L2064" s="4" t="str">
        <f t="shared" si="32"/>
        <v/>
      </c>
    </row>
    <row r="2065" spans="2:12" ht="23.25" hidden="1" customHeight="1" x14ac:dyDescent="0.25">
      <c r="B2065" s="4">
        <v>2060</v>
      </c>
      <c r="C2065" s="36" t="str">
        <f>IF(Order!$C$351="","",Order!$C$351)</f>
        <v/>
      </c>
      <c r="D2065" s="36" t="str">
        <f>IF($C2065="","",_xlfn.XLOOKUP($C2065,Order!$C:$C,Order!$D:$D,"",0,1))</f>
        <v/>
      </c>
      <c r="E2065" s="4" t="str">
        <f>IF($C2065="","",_xlfn.XLOOKUP($C2065,Order!$C:$C,Order!$E:$E,"",0,1))</f>
        <v/>
      </c>
      <c r="F2065" s="4" t="str">
        <f>IF($C2065="","",_xlfn.XLOOKUP($C2065,Order!$C:$C,Order!$F:$F,"",0,1))</f>
        <v/>
      </c>
      <c r="G2065" s="4" t="str">
        <f>IF($C2065="","",_xlfn.XLOOKUP($C2065,Order!$C:$C,Order!$G:$G,"",0,1))</f>
        <v/>
      </c>
      <c r="H2065" s="4" t="str">
        <f>IF($C2065="","",_xlfn.XLOOKUP($C2065,Order!$C:$C,Order!$H:$H,"",0,1))</f>
        <v/>
      </c>
      <c r="I2065" s="36" t="str">
        <f>IF($C2065="","",_xlfn.XLOOKUP($C2065,Order!$C:$C,Order!$N:$N,"",0,1))</f>
        <v/>
      </c>
      <c r="J2065" s="4" t="str">
        <f>IF(C2065="","",Order!$N$16)</f>
        <v/>
      </c>
      <c r="K2065" s="36" t="str">
        <f>IF($C2065="","",_xlfn.XLOOKUP($C2065,Order!$C:$C,Order!$P:$P,"",0,1))</f>
        <v/>
      </c>
      <c r="L2065" s="4" t="str">
        <f t="shared" si="32"/>
        <v/>
      </c>
    </row>
    <row r="2066" spans="2:12" ht="23.25" hidden="1" customHeight="1" x14ac:dyDescent="0.25">
      <c r="B2066" s="4">
        <v>2061</v>
      </c>
      <c r="C2066" s="36" t="str">
        <f>IF(Order!$C$352="","",Order!$C$352)</f>
        <v/>
      </c>
      <c r="D2066" s="36" t="str">
        <f>IF($C2066="","",_xlfn.XLOOKUP($C2066,Order!$C:$C,Order!$D:$D,"",0,1))</f>
        <v/>
      </c>
      <c r="E2066" s="4" t="str">
        <f>IF($C2066="","",_xlfn.XLOOKUP($C2066,Order!$C:$C,Order!$E:$E,"",0,1))</f>
        <v/>
      </c>
      <c r="F2066" s="4" t="str">
        <f>IF($C2066="","",_xlfn.XLOOKUP($C2066,Order!$C:$C,Order!$F:$F,"",0,1))</f>
        <v/>
      </c>
      <c r="G2066" s="4" t="str">
        <f>IF($C2066="","",_xlfn.XLOOKUP($C2066,Order!$C:$C,Order!$G:$G,"",0,1))</f>
        <v/>
      </c>
      <c r="H2066" s="4" t="str">
        <f>IF($C2066="","",_xlfn.XLOOKUP($C2066,Order!$C:$C,Order!$H:$H,"",0,1))</f>
        <v/>
      </c>
      <c r="I2066" s="36" t="str">
        <f>IF($C2066="","",_xlfn.XLOOKUP($C2066,Order!$C:$C,Order!$N:$N,"",0,1))</f>
        <v/>
      </c>
      <c r="J2066" s="4" t="str">
        <f>IF(C2066="","",Order!$N$16)</f>
        <v/>
      </c>
      <c r="K2066" s="36" t="str">
        <f>IF($C2066="","",_xlfn.XLOOKUP($C2066,Order!$C:$C,Order!$P:$P,"",0,1))</f>
        <v/>
      </c>
      <c r="L2066" s="4" t="str">
        <f t="shared" si="32"/>
        <v/>
      </c>
    </row>
    <row r="2067" spans="2:12" ht="23.25" hidden="1" customHeight="1" x14ac:dyDescent="0.25">
      <c r="B2067" s="4">
        <v>2062</v>
      </c>
      <c r="C2067" s="36" t="str">
        <f>IF(Order!$C$353="","",Order!$C$353)</f>
        <v/>
      </c>
      <c r="D2067" s="36" t="str">
        <f>IF($C2067="","",_xlfn.XLOOKUP($C2067,Order!$C:$C,Order!$D:$D,"",0,1))</f>
        <v/>
      </c>
      <c r="E2067" s="4" t="str">
        <f>IF($C2067="","",_xlfn.XLOOKUP($C2067,Order!$C:$C,Order!$E:$E,"",0,1))</f>
        <v/>
      </c>
      <c r="F2067" s="4" t="str">
        <f>IF($C2067="","",_xlfn.XLOOKUP($C2067,Order!$C:$C,Order!$F:$F,"",0,1))</f>
        <v/>
      </c>
      <c r="G2067" s="4" t="str">
        <f>IF($C2067="","",_xlfn.XLOOKUP($C2067,Order!$C:$C,Order!$G:$G,"",0,1))</f>
        <v/>
      </c>
      <c r="H2067" s="4" t="str">
        <f>IF($C2067="","",_xlfn.XLOOKUP($C2067,Order!$C:$C,Order!$H:$H,"",0,1))</f>
        <v/>
      </c>
      <c r="I2067" s="36" t="str">
        <f>IF($C2067="","",_xlfn.XLOOKUP($C2067,Order!$C:$C,Order!$N:$N,"",0,1))</f>
        <v/>
      </c>
      <c r="J2067" s="4" t="str">
        <f>IF(C2067="","",Order!$N$16)</f>
        <v/>
      </c>
      <c r="K2067" s="36" t="str">
        <f>IF($C2067="","",_xlfn.XLOOKUP($C2067,Order!$C:$C,Order!$P:$P,"",0,1))</f>
        <v/>
      </c>
      <c r="L2067" s="4" t="str">
        <f t="shared" si="32"/>
        <v/>
      </c>
    </row>
    <row r="2068" spans="2:12" ht="23.25" hidden="1" customHeight="1" x14ac:dyDescent="0.25">
      <c r="B2068" s="4">
        <v>2063</v>
      </c>
      <c r="C2068" s="36" t="str">
        <f>IF(Order!$C$354="","",Order!$C$354)</f>
        <v/>
      </c>
      <c r="D2068" s="36" t="str">
        <f>IF($C2068="","",_xlfn.XLOOKUP($C2068,Order!$C:$C,Order!$D:$D,"",0,1))</f>
        <v/>
      </c>
      <c r="E2068" s="4" t="str">
        <f>IF($C2068="","",_xlfn.XLOOKUP($C2068,Order!$C:$C,Order!$E:$E,"",0,1))</f>
        <v/>
      </c>
      <c r="F2068" s="4" t="str">
        <f>IF($C2068="","",_xlfn.XLOOKUP($C2068,Order!$C:$C,Order!$F:$F,"",0,1))</f>
        <v/>
      </c>
      <c r="G2068" s="4" t="str">
        <f>IF($C2068="","",_xlfn.XLOOKUP($C2068,Order!$C:$C,Order!$G:$G,"",0,1))</f>
        <v/>
      </c>
      <c r="H2068" s="4" t="str">
        <f>IF($C2068="","",_xlfn.XLOOKUP($C2068,Order!$C:$C,Order!$H:$H,"",0,1))</f>
        <v/>
      </c>
      <c r="I2068" s="36" t="str">
        <f>IF($C2068="","",_xlfn.XLOOKUP($C2068,Order!$C:$C,Order!$N:$N,"",0,1))</f>
        <v/>
      </c>
      <c r="J2068" s="4" t="str">
        <f>IF(C2068="","",Order!$N$16)</f>
        <v/>
      </c>
      <c r="K2068" s="36" t="str">
        <f>IF($C2068="","",_xlfn.XLOOKUP($C2068,Order!$C:$C,Order!$P:$P,"",0,1))</f>
        <v/>
      </c>
      <c r="L2068" s="4" t="str">
        <f t="shared" si="32"/>
        <v/>
      </c>
    </row>
    <row r="2069" spans="2:12" ht="23.25" hidden="1" customHeight="1" x14ac:dyDescent="0.25">
      <c r="B2069" s="4">
        <v>2064</v>
      </c>
      <c r="C2069" s="36" t="str">
        <f>IF(Order!$C$355="","",Order!$C$355)</f>
        <v/>
      </c>
      <c r="D2069" s="36" t="str">
        <f>IF($C2069="","",_xlfn.XLOOKUP($C2069,Order!$C:$C,Order!$D:$D,"",0,1))</f>
        <v/>
      </c>
      <c r="E2069" s="4" t="str">
        <f>IF($C2069="","",_xlfn.XLOOKUP($C2069,Order!$C:$C,Order!$E:$E,"",0,1))</f>
        <v/>
      </c>
      <c r="F2069" s="4" t="str">
        <f>IF($C2069="","",_xlfn.XLOOKUP($C2069,Order!$C:$C,Order!$F:$F,"",0,1))</f>
        <v/>
      </c>
      <c r="G2069" s="4" t="str">
        <f>IF($C2069="","",_xlfn.XLOOKUP($C2069,Order!$C:$C,Order!$G:$G,"",0,1))</f>
        <v/>
      </c>
      <c r="H2069" s="4" t="str">
        <f>IF($C2069="","",_xlfn.XLOOKUP($C2069,Order!$C:$C,Order!$H:$H,"",0,1))</f>
        <v/>
      </c>
      <c r="I2069" s="36" t="str">
        <f>IF($C2069="","",_xlfn.XLOOKUP($C2069,Order!$C:$C,Order!$N:$N,"",0,1))</f>
        <v/>
      </c>
      <c r="J2069" s="4" t="str">
        <f>IF(C2069="","",Order!$N$16)</f>
        <v/>
      </c>
      <c r="K2069" s="36" t="str">
        <f>IF($C2069="","",_xlfn.XLOOKUP($C2069,Order!$C:$C,Order!$P:$P,"",0,1))</f>
        <v/>
      </c>
      <c r="L2069" s="4" t="str">
        <f t="shared" si="32"/>
        <v/>
      </c>
    </row>
    <row r="2070" spans="2:12" ht="23.25" hidden="1" customHeight="1" x14ac:dyDescent="0.25">
      <c r="B2070" s="4">
        <v>2065</v>
      </c>
      <c r="C2070" s="36" t="str">
        <f>IF(Order!$C$356="","",Order!$C$356)</f>
        <v/>
      </c>
      <c r="D2070" s="36" t="str">
        <f>IF($C2070="","",_xlfn.XLOOKUP($C2070,Order!$C:$C,Order!$D:$D,"",0,1))</f>
        <v/>
      </c>
      <c r="E2070" s="4" t="str">
        <f>IF($C2070="","",_xlfn.XLOOKUP($C2070,Order!$C:$C,Order!$E:$E,"",0,1))</f>
        <v/>
      </c>
      <c r="F2070" s="4" t="str">
        <f>IF($C2070="","",_xlfn.XLOOKUP($C2070,Order!$C:$C,Order!$F:$F,"",0,1))</f>
        <v/>
      </c>
      <c r="G2070" s="4" t="str">
        <f>IF($C2070="","",_xlfn.XLOOKUP($C2070,Order!$C:$C,Order!$G:$G,"",0,1))</f>
        <v/>
      </c>
      <c r="H2070" s="4" t="str">
        <f>IF($C2070="","",_xlfn.XLOOKUP($C2070,Order!$C:$C,Order!$H:$H,"",0,1))</f>
        <v/>
      </c>
      <c r="I2070" s="36" t="str">
        <f>IF($C2070="","",_xlfn.XLOOKUP($C2070,Order!$C:$C,Order!$N:$N,"",0,1))</f>
        <v/>
      </c>
      <c r="J2070" s="4" t="str">
        <f>IF(C2070="","",Order!$N$16)</f>
        <v/>
      </c>
      <c r="K2070" s="36" t="str">
        <f>IF($C2070="","",_xlfn.XLOOKUP($C2070,Order!$C:$C,Order!$P:$P,"",0,1))</f>
        <v/>
      </c>
      <c r="L2070" s="4" t="str">
        <f t="shared" si="32"/>
        <v/>
      </c>
    </row>
    <row r="2071" spans="2:12" ht="23.25" hidden="1" customHeight="1" x14ac:dyDescent="0.25">
      <c r="B2071" s="4">
        <v>2066</v>
      </c>
      <c r="C2071" s="36" t="str">
        <f>IF(Order!$C$357="","",Order!$C$357)</f>
        <v/>
      </c>
      <c r="D2071" s="36" t="str">
        <f>IF($C2071="","",_xlfn.XLOOKUP($C2071,Order!$C:$C,Order!$D:$D,"",0,1))</f>
        <v/>
      </c>
      <c r="E2071" s="4" t="str">
        <f>IF($C2071="","",_xlfn.XLOOKUP($C2071,Order!$C:$C,Order!$E:$E,"",0,1))</f>
        <v/>
      </c>
      <c r="F2071" s="4" t="str">
        <f>IF($C2071="","",_xlfn.XLOOKUP($C2071,Order!$C:$C,Order!$F:$F,"",0,1))</f>
        <v/>
      </c>
      <c r="G2071" s="4" t="str">
        <f>IF($C2071="","",_xlfn.XLOOKUP($C2071,Order!$C:$C,Order!$G:$G,"",0,1))</f>
        <v/>
      </c>
      <c r="H2071" s="4" t="str">
        <f>IF($C2071="","",_xlfn.XLOOKUP($C2071,Order!$C:$C,Order!$H:$H,"",0,1))</f>
        <v/>
      </c>
      <c r="I2071" s="36" t="str">
        <f>IF($C2071="","",_xlfn.XLOOKUP($C2071,Order!$C:$C,Order!$N:$N,"",0,1))</f>
        <v/>
      </c>
      <c r="J2071" s="4" t="str">
        <f>IF(C2071="","",Order!$N$16)</f>
        <v/>
      </c>
      <c r="K2071" s="36" t="str">
        <f>IF($C2071="","",_xlfn.XLOOKUP($C2071,Order!$C:$C,Order!$P:$P,"",0,1))</f>
        <v/>
      </c>
      <c r="L2071" s="4" t="str">
        <f t="shared" si="32"/>
        <v/>
      </c>
    </row>
    <row r="2072" spans="2:12" ht="23.25" hidden="1" customHeight="1" x14ac:dyDescent="0.25">
      <c r="B2072" s="4">
        <v>2067</v>
      </c>
      <c r="C2072" s="36" t="str">
        <f>IF(Order!$C$358="","",Order!$C$358)</f>
        <v/>
      </c>
      <c r="D2072" s="36" t="str">
        <f>IF($C2072="","",_xlfn.XLOOKUP($C2072,Order!$C:$C,Order!$D:$D,"",0,1))</f>
        <v/>
      </c>
      <c r="E2072" s="4" t="str">
        <f>IF($C2072="","",_xlfn.XLOOKUP($C2072,Order!$C:$C,Order!$E:$E,"",0,1))</f>
        <v/>
      </c>
      <c r="F2072" s="4" t="str">
        <f>IF($C2072="","",_xlfn.XLOOKUP($C2072,Order!$C:$C,Order!$F:$F,"",0,1))</f>
        <v/>
      </c>
      <c r="G2072" s="4" t="str">
        <f>IF($C2072="","",_xlfn.XLOOKUP($C2072,Order!$C:$C,Order!$G:$G,"",0,1))</f>
        <v/>
      </c>
      <c r="H2072" s="4" t="str">
        <f>IF($C2072="","",_xlfn.XLOOKUP($C2072,Order!$C:$C,Order!$H:$H,"",0,1))</f>
        <v/>
      </c>
      <c r="I2072" s="36" t="str">
        <f>IF($C2072="","",_xlfn.XLOOKUP($C2072,Order!$C:$C,Order!$N:$N,"",0,1))</f>
        <v/>
      </c>
      <c r="J2072" s="4" t="str">
        <f>IF(C2072="","",Order!$N$16)</f>
        <v/>
      </c>
      <c r="K2072" s="36" t="str">
        <f>IF($C2072="","",_xlfn.XLOOKUP($C2072,Order!$C:$C,Order!$P:$P,"",0,1))</f>
        <v/>
      </c>
      <c r="L2072" s="4" t="str">
        <f t="shared" si="32"/>
        <v/>
      </c>
    </row>
    <row r="2073" spans="2:12" ht="23.25" hidden="1" customHeight="1" x14ac:dyDescent="0.25">
      <c r="B2073" s="4">
        <v>2068</v>
      </c>
      <c r="C2073" s="36" t="str">
        <f>IF(Order!$C$359="","",Order!$C$359)</f>
        <v/>
      </c>
      <c r="D2073" s="36" t="str">
        <f>IF($C2073="","",_xlfn.XLOOKUP($C2073,Order!$C:$C,Order!$D:$D,"",0,1))</f>
        <v/>
      </c>
      <c r="E2073" s="4" t="str">
        <f>IF($C2073="","",_xlfn.XLOOKUP($C2073,Order!$C:$C,Order!$E:$E,"",0,1))</f>
        <v/>
      </c>
      <c r="F2073" s="4" t="str">
        <f>IF($C2073="","",_xlfn.XLOOKUP($C2073,Order!$C:$C,Order!$F:$F,"",0,1))</f>
        <v/>
      </c>
      <c r="G2073" s="4" t="str">
        <f>IF($C2073="","",_xlfn.XLOOKUP($C2073,Order!$C:$C,Order!$G:$G,"",0,1))</f>
        <v/>
      </c>
      <c r="H2073" s="4" t="str">
        <f>IF($C2073="","",_xlfn.XLOOKUP($C2073,Order!$C:$C,Order!$H:$H,"",0,1))</f>
        <v/>
      </c>
      <c r="I2073" s="36" t="str">
        <f>IF($C2073="","",_xlfn.XLOOKUP($C2073,Order!$C:$C,Order!$N:$N,"",0,1))</f>
        <v/>
      </c>
      <c r="J2073" s="4" t="str">
        <f>IF(C2073="","",Order!$N$16)</f>
        <v/>
      </c>
      <c r="K2073" s="36" t="str">
        <f>IF($C2073="","",_xlfn.XLOOKUP($C2073,Order!$C:$C,Order!$P:$P,"",0,1))</f>
        <v/>
      </c>
      <c r="L2073" s="4" t="str">
        <f t="shared" si="32"/>
        <v/>
      </c>
    </row>
    <row r="2074" spans="2:12" ht="23.25" hidden="1" customHeight="1" x14ac:dyDescent="0.25">
      <c r="B2074" s="4">
        <v>2069</v>
      </c>
      <c r="C2074" s="36" t="str">
        <f>IF(Order!$C$360="","",Order!$C$360)</f>
        <v/>
      </c>
      <c r="D2074" s="36" t="str">
        <f>IF($C2074="","",_xlfn.XLOOKUP($C2074,Order!$C:$C,Order!$D:$D,"",0,1))</f>
        <v/>
      </c>
      <c r="E2074" s="4" t="str">
        <f>IF($C2074="","",_xlfn.XLOOKUP($C2074,Order!$C:$C,Order!$E:$E,"",0,1))</f>
        <v/>
      </c>
      <c r="F2074" s="4" t="str">
        <f>IF($C2074="","",_xlfn.XLOOKUP($C2074,Order!$C:$C,Order!$F:$F,"",0,1))</f>
        <v/>
      </c>
      <c r="G2074" s="4" t="str">
        <f>IF($C2074="","",_xlfn.XLOOKUP($C2074,Order!$C:$C,Order!$G:$G,"",0,1))</f>
        <v/>
      </c>
      <c r="H2074" s="4" t="str">
        <f>IF($C2074="","",_xlfn.XLOOKUP($C2074,Order!$C:$C,Order!$H:$H,"",0,1))</f>
        <v/>
      </c>
      <c r="I2074" s="36" t="str">
        <f>IF($C2074="","",_xlfn.XLOOKUP($C2074,Order!$C:$C,Order!$N:$N,"",0,1))</f>
        <v/>
      </c>
      <c r="J2074" s="4" t="str">
        <f>IF(C2074="","",Order!$N$16)</f>
        <v/>
      </c>
      <c r="K2074" s="36" t="str">
        <f>IF($C2074="","",_xlfn.XLOOKUP($C2074,Order!$C:$C,Order!$P:$P,"",0,1))</f>
        <v/>
      </c>
      <c r="L2074" s="4" t="str">
        <f t="shared" si="32"/>
        <v/>
      </c>
    </row>
    <row r="2075" spans="2:12" ht="23.25" hidden="1" customHeight="1" x14ac:dyDescent="0.25">
      <c r="B2075" s="4">
        <v>2070</v>
      </c>
      <c r="C2075" s="36" t="str">
        <f>IF(Order!$C$361="","",Order!$C$361)</f>
        <v/>
      </c>
      <c r="D2075" s="36" t="str">
        <f>IF($C2075="","",_xlfn.XLOOKUP($C2075,Order!$C:$C,Order!$D:$D,"",0,1))</f>
        <v/>
      </c>
      <c r="E2075" s="4" t="str">
        <f>IF($C2075="","",_xlfn.XLOOKUP($C2075,Order!$C:$C,Order!$E:$E,"",0,1))</f>
        <v/>
      </c>
      <c r="F2075" s="4" t="str">
        <f>IF($C2075="","",_xlfn.XLOOKUP($C2075,Order!$C:$C,Order!$F:$F,"",0,1))</f>
        <v/>
      </c>
      <c r="G2075" s="4" t="str">
        <f>IF($C2075="","",_xlfn.XLOOKUP($C2075,Order!$C:$C,Order!$G:$G,"",0,1))</f>
        <v/>
      </c>
      <c r="H2075" s="4" t="str">
        <f>IF($C2075="","",_xlfn.XLOOKUP($C2075,Order!$C:$C,Order!$H:$H,"",0,1))</f>
        <v/>
      </c>
      <c r="I2075" s="36" t="str">
        <f>IF($C2075="","",_xlfn.XLOOKUP($C2075,Order!$C:$C,Order!$N:$N,"",0,1))</f>
        <v/>
      </c>
      <c r="J2075" s="4" t="str">
        <f>IF(C2075="","",Order!$N$16)</f>
        <v/>
      </c>
      <c r="K2075" s="36" t="str">
        <f>IF($C2075="","",_xlfn.XLOOKUP($C2075,Order!$C:$C,Order!$P:$P,"",0,1))</f>
        <v/>
      </c>
      <c r="L2075" s="4" t="str">
        <f t="shared" si="32"/>
        <v/>
      </c>
    </row>
    <row r="2076" spans="2:12" s="1" customFormat="1" ht="23.25" hidden="1" customHeight="1" x14ac:dyDescent="0.25">
      <c r="B2076" s="4">
        <v>2071</v>
      </c>
      <c r="C2076" s="36" t="str">
        <f>IF(Order!$C$17="","",Order!$C$17)</f>
        <v>BC 1/2X1/8 (Flat bar 1/2 X 1/8" )</v>
      </c>
      <c r="D2076" s="36" t="str">
        <f>IF($C2076="","",_xlfn.XLOOKUP($C2076,Order!$C:$C,Order!$D:$D,"",0,1))</f>
        <v>BC1/2X1/8</v>
      </c>
      <c r="E2076" s="4" t="e" vm="249">
        <f>IF($C2076="","",_xlfn.XLOOKUP($C2076,Order!$C:$C,Order!$E:$E,"",0,1))</f>
        <v>#VALUE!</v>
      </c>
      <c r="F2076" s="4">
        <f>IF($C2076="","",_xlfn.XLOOKUP($C2076,Order!$C:$C,Order!$F:$F,"",0,1))</f>
        <v>6000</v>
      </c>
      <c r="G2076" s="4" t="str">
        <f>IF($C2076="","",_xlfn.XLOOKUP($C2076,Order!$C:$C,Order!$G:$G,"",0,1))</f>
        <v>6063T5</v>
      </c>
      <c r="H2076" s="4">
        <f>IF($C2076="","",_xlfn.XLOOKUP($C2076,Order!$C:$C,Order!$H:$H,"",0,1))</f>
        <v>0.11</v>
      </c>
      <c r="I2076" s="36">
        <f>IF($C2076="","",_xlfn.XLOOKUP($C2076,Order!$C:$C,Order!$O:$O,"",0,1))</f>
        <v>0</v>
      </c>
      <c r="J2076" s="4" t="str">
        <f>IF(C2076="","",Order!$O$16)</f>
        <v>WOOD FINISH (BA)</v>
      </c>
      <c r="K2076" s="36">
        <f>IF($C2076="","",_xlfn.XLOOKUP($C2076,Order!$C:$C,Order!$P:$P,"",0,1))</f>
        <v>0</v>
      </c>
      <c r="L2076" s="4">
        <f t="shared" si="32"/>
        <v>0</v>
      </c>
    </row>
    <row r="2077" spans="2:12" s="1" customFormat="1" ht="23.25" hidden="1" customHeight="1" x14ac:dyDescent="0.25">
      <c r="B2077" s="4">
        <v>2072</v>
      </c>
      <c r="C2077" s="36" t="str">
        <f>IF(Order!$C$18="","",Order!$C$18)</f>
        <v>BC 1X1/8 (Flat bar 1 X 1/8")</v>
      </c>
      <c r="D2077" s="36" t="str">
        <f>IF($C2077="","",_xlfn.XLOOKUP($C2077,Order!$C:$C,Order!$D:$D,"",0,1))</f>
        <v>BC1X1/8</v>
      </c>
      <c r="E2077" s="4" t="e" vm="250">
        <f>IF($C2077="","",_xlfn.XLOOKUP($C2077,Order!$C:$C,Order!$E:$E,"",0,1))</f>
        <v>#VALUE!</v>
      </c>
      <c r="F2077" s="4">
        <f>IF($C2077="","",_xlfn.XLOOKUP($C2077,Order!$C:$C,Order!$F:$F,"",0,1))</f>
        <v>6000</v>
      </c>
      <c r="G2077" s="4" t="str">
        <f>IF($C2077="","",_xlfn.XLOOKUP($C2077,Order!$C:$C,Order!$G:$G,"",0,1))</f>
        <v>6063T5</v>
      </c>
      <c r="H2077" s="4">
        <f>IF($C2077="","",_xlfn.XLOOKUP($C2077,Order!$C:$C,Order!$H:$H,"",0,1))</f>
        <v>0.221</v>
      </c>
      <c r="I2077" s="36">
        <f>IF($C2077="","",_xlfn.XLOOKUP($C2077,Order!$C:$C,Order!$O:$O,"",0,1))</f>
        <v>0</v>
      </c>
      <c r="J2077" s="4" t="str">
        <f>IF(C2077="","",Order!$O$16)</f>
        <v>WOOD FINISH (BA)</v>
      </c>
      <c r="K2077" s="36">
        <f>IF($C2077="","",_xlfn.XLOOKUP($C2077,Order!$C:$C,Order!$P:$P,"",0,1))</f>
        <v>0</v>
      </c>
      <c r="L2077" s="4">
        <f t="shared" si="32"/>
        <v>0</v>
      </c>
    </row>
    <row r="2078" spans="2:12" ht="23.25" hidden="1" customHeight="1" x14ac:dyDescent="0.25">
      <c r="B2078" s="4">
        <v>2073</v>
      </c>
      <c r="C2078" s="36" t="str">
        <f>IF(Order!$C$19="","",Order!$C$19)</f>
        <v>TR3/8 (Round tube 3/8" with 0.80 mm tickness)</v>
      </c>
      <c r="D2078" s="36" t="str">
        <f>IF($C2078="","",_xlfn.XLOOKUP($C2078,Order!$C:$C,Order!$D:$D,"",0,1))</f>
        <v>TR3/8</v>
      </c>
      <c r="E2078" s="4" t="e" vm="251">
        <f>IF($C2078="","",_xlfn.XLOOKUP($C2078,Order!$C:$C,Order!$E:$E,"",0,1))</f>
        <v>#VALUE!</v>
      </c>
      <c r="F2078" s="4">
        <f>IF($C2078="","",_xlfn.XLOOKUP($C2078,Order!$C:$C,Order!$F:$F,"",0,1))</f>
        <v>6000</v>
      </c>
      <c r="G2078" s="4" t="str">
        <f>IF($C2078="","",_xlfn.XLOOKUP($C2078,Order!$C:$C,Order!$G:$G,"",0,1))</f>
        <v>6063T5</v>
      </c>
      <c r="H2078" s="4">
        <f>IF($C2078="","",_xlfn.XLOOKUP($C2078,Order!$C:$C,Order!$H:$H,"",0,1))</f>
        <v>0.06</v>
      </c>
      <c r="I2078" s="36">
        <f>IF($C2078="","",_xlfn.XLOOKUP($C2078,Order!$C:$C,Order!$O:$O,"",0,1))</f>
        <v>0</v>
      </c>
      <c r="J2078" s="4" t="str">
        <f>IF(C2078="","",Order!$O$16)</f>
        <v>WOOD FINISH (BA)</v>
      </c>
      <c r="K2078" s="36">
        <f>IF($C2078="","",_xlfn.XLOOKUP($C2078,Order!$C:$C,Order!$P:$P,"",0,1))</f>
        <v>0</v>
      </c>
      <c r="L2078" s="4">
        <f t="shared" si="32"/>
        <v>0</v>
      </c>
    </row>
    <row r="2079" spans="2:12" ht="23.25" hidden="1" customHeight="1" x14ac:dyDescent="0.25">
      <c r="B2079" s="4">
        <v>2074</v>
      </c>
      <c r="C2079" s="36" t="str">
        <f>IF(Order!$C$20="","",Order!$C$20)</f>
        <v>TR1/2 (Round tube 1/2 with 0.90 mm tickness)</v>
      </c>
      <c r="D2079" s="36" t="str">
        <f>IF($C2079="","",_xlfn.XLOOKUP($C2079,Order!$C:$C,Order!$D:$D,"",0,1))</f>
        <v>TR12</v>
      </c>
      <c r="E2079" s="4" t="e" vm="251">
        <f>IF($C2079="","",_xlfn.XLOOKUP($C2079,Order!$C:$C,Order!$E:$E,"",0,1))</f>
        <v>#VALUE!</v>
      </c>
      <c r="F2079" s="4">
        <f>IF($C2079="","",_xlfn.XLOOKUP($C2079,Order!$C:$C,Order!$F:$F,"",0,1))</f>
        <v>6000</v>
      </c>
      <c r="G2079" s="4" t="str">
        <f>IF($C2079="","",_xlfn.XLOOKUP($C2079,Order!$C:$C,Order!$G:$G,"",0,1))</f>
        <v>6063T5</v>
      </c>
      <c r="H2079" s="4">
        <f>IF($C2079="","",_xlfn.XLOOKUP($C2079,Order!$C:$C,Order!$H:$H,"",0,1))</f>
        <v>9.0999999999999998E-2</v>
      </c>
      <c r="I2079" s="36">
        <f>IF($C2079="","",_xlfn.XLOOKUP($C2079,Order!$C:$C,Order!$O:$O,"",0,1))</f>
        <v>0</v>
      </c>
      <c r="J2079" s="4" t="str">
        <f>IF(C2079="","",Order!$O$16)</f>
        <v>WOOD FINISH (BA)</v>
      </c>
      <c r="K2079" s="36">
        <f>IF($C2079="","",_xlfn.XLOOKUP($C2079,Order!$C:$C,Order!$P:$P,"",0,1))</f>
        <v>0</v>
      </c>
      <c r="L2079" s="4">
        <f t="shared" si="32"/>
        <v>0</v>
      </c>
    </row>
    <row r="2080" spans="2:12" ht="23.25" hidden="1" customHeight="1" x14ac:dyDescent="0.25">
      <c r="B2080" s="4">
        <v>2075</v>
      </c>
      <c r="C2080" s="36" t="str">
        <f>IF(Order!$C$21="","",Order!$C$21)</f>
        <v>TR 5/8 (Round tube 5/8" with 0.80 mm thickness)</v>
      </c>
      <c r="D2080" s="36" t="str">
        <f>IF($C2080="","",_xlfn.XLOOKUP($C2080,Order!$C:$C,Order!$D:$D,"",0,1))</f>
        <v>TR58</v>
      </c>
      <c r="E2080" s="4" t="e" vm="251">
        <f>IF($C2080="","",_xlfn.XLOOKUP($C2080,Order!$C:$C,Order!$E:$E,"",0,1))</f>
        <v>#VALUE!</v>
      </c>
      <c r="F2080" s="4">
        <f>IF($C2080="","",_xlfn.XLOOKUP($C2080,Order!$C:$C,Order!$F:$F,"",0,1))</f>
        <v>6000</v>
      </c>
      <c r="G2080" s="4" t="str">
        <f>IF($C2080="","",_xlfn.XLOOKUP($C2080,Order!$C:$C,Order!$G:$G,"",0,1))</f>
        <v>6063T5</v>
      </c>
      <c r="H2080" s="4">
        <f>IF($C2080="","",_xlfn.XLOOKUP($C2080,Order!$C:$C,Order!$H:$H,"",0,1))</f>
        <v>0.10299999999999999</v>
      </c>
      <c r="I2080" s="36">
        <f>IF($C2080="","",_xlfn.XLOOKUP($C2080,Order!$C:$C,Order!$O:$O,"",0,1))</f>
        <v>0</v>
      </c>
      <c r="J2080" s="4" t="str">
        <f>IF(C2080="","",Order!$O$16)</f>
        <v>WOOD FINISH (BA)</v>
      </c>
      <c r="K2080" s="36">
        <f>IF($C2080="","",_xlfn.XLOOKUP($C2080,Order!$C:$C,Order!$P:$P,"",0,1))</f>
        <v>0</v>
      </c>
      <c r="L2080" s="4">
        <f t="shared" si="32"/>
        <v>0</v>
      </c>
    </row>
    <row r="2081" spans="2:12" ht="23.25" hidden="1" customHeight="1" x14ac:dyDescent="0.25">
      <c r="B2081" s="4">
        <v>2076</v>
      </c>
      <c r="C2081" s="36" t="str">
        <f>IF(Order!$C$22="","",Order!$C$22)</f>
        <v>TR3/4A (Round tube 3/4" with 0.80 mm thickness)</v>
      </c>
      <c r="D2081" s="36" t="str">
        <f>IF($C2081="","",_xlfn.XLOOKUP($C2081,Order!$C:$C,Order!$D:$D,"",0,1))</f>
        <v>TR34A</v>
      </c>
      <c r="E2081" s="4" t="e" vm="251">
        <f>IF($C2081="","",_xlfn.XLOOKUP($C2081,Order!$C:$C,Order!$E:$E,"",0,1))</f>
        <v>#VALUE!</v>
      </c>
      <c r="F2081" s="4">
        <f>IF($C2081="","",_xlfn.XLOOKUP($C2081,Order!$C:$C,Order!$F:$F,"",0,1))</f>
        <v>6000</v>
      </c>
      <c r="G2081" s="4" t="str">
        <f>IF($C2081="","",_xlfn.XLOOKUP($C2081,Order!$C:$C,Order!$G:$G,"",0,1))</f>
        <v>6063T5</v>
      </c>
      <c r="H2081" s="4">
        <f>IF($C2081="","",_xlfn.XLOOKUP($C2081,Order!$C:$C,Order!$H:$H,"",0,1))</f>
        <v>0.125</v>
      </c>
      <c r="I2081" s="36">
        <f>IF($C2081="","",_xlfn.XLOOKUP($C2081,Order!$C:$C,Order!$O:$O,"",0,1))</f>
        <v>0</v>
      </c>
      <c r="J2081" s="4" t="str">
        <f>IF(C2081="","",Order!$O$16)</f>
        <v>WOOD FINISH (BA)</v>
      </c>
      <c r="K2081" s="36">
        <f>IF($C2081="","",_xlfn.XLOOKUP($C2081,Order!$C:$C,Order!$P:$P,"",0,1))</f>
        <v>0</v>
      </c>
      <c r="L2081" s="4">
        <f t="shared" si="32"/>
        <v>0</v>
      </c>
    </row>
    <row r="2082" spans="2:12" ht="23.25" hidden="1" customHeight="1" x14ac:dyDescent="0.25">
      <c r="B2082" s="4">
        <v>2077</v>
      </c>
      <c r="C2082" s="36" t="str">
        <f>IF(Order!$C$23="","",Order!$C$23)</f>
        <v>TR7/8 (Round tube 7/8" with 0.90 mm thickness)</v>
      </c>
      <c r="D2082" s="36" t="str">
        <f>IF($C2082="","",_xlfn.XLOOKUP($C2082,Order!$C:$C,Order!$D:$D,"",0,1))</f>
        <v>TR7/8</v>
      </c>
      <c r="E2082" s="4" t="e" vm="251">
        <f>IF($C2082="","",_xlfn.XLOOKUP($C2082,Order!$C:$C,Order!$E:$E,"",0,1))</f>
        <v>#VALUE!</v>
      </c>
      <c r="F2082" s="4">
        <f>IF($C2082="","",_xlfn.XLOOKUP($C2082,Order!$C:$C,Order!$F:$F,"",0,1))</f>
        <v>6000</v>
      </c>
      <c r="G2082" s="4" t="str">
        <f>IF($C2082="","",_xlfn.XLOOKUP($C2082,Order!$C:$C,Order!$G:$G,"",0,1))</f>
        <v>6063T5</v>
      </c>
      <c r="H2082" s="4">
        <f>IF($C2082="","",_xlfn.XLOOKUP($C2082,Order!$C:$C,Order!$H:$H,"",0,1))</f>
        <v>0.16400000000000001</v>
      </c>
      <c r="I2082" s="36">
        <f>IF($C2082="","",_xlfn.XLOOKUP($C2082,Order!$C:$C,Order!$O:$O,"",0,1))</f>
        <v>0</v>
      </c>
      <c r="J2082" s="4" t="str">
        <f>IF(C2082="","",Order!$O$16)</f>
        <v>WOOD FINISH (BA)</v>
      </c>
      <c r="K2082" s="36">
        <f>IF($C2082="","",_xlfn.XLOOKUP($C2082,Order!$C:$C,Order!$P:$P,"",0,1))</f>
        <v>0</v>
      </c>
      <c r="L2082" s="4">
        <f t="shared" si="32"/>
        <v>0</v>
      </c>
    </row>
    <row r="2083" spans="2:12" ht="23.25" hidden="1" customHeight="1" x14ac:dyDescent="0.25">
      <c r="B2083" s="4">
        <v>2078</v>
      </c>
      <c r="C2083" s="36" t="str">
        <f>IF(Order!$C$24="","",Order!$C$24)</f>
        <v>TR24.8 (Round tube 24.8 mm with 0.90 mm thickness)</v>
      </c>
      <c r="D2083" s="36" t="str">
        <f>IF($C2083="","",_xlfn.XLOOKUP($C2083,Order!$C:$C,Order!$D:$D,"",0,1))</f>
        <v>TR24.8</v>
      </c>
      <c r="E2083" s="4" t="e" vm="251">
        <f>IF($C2083="","",_xlfn.XLOOKUP($C2083,Order!$C:$C,Order!$E:$E,"",0,1))</f>
        <v>#VALUE!</v>
      </c>
      <c r="F2083" s="4">
        <f>IF($C2083="","",_xlfn.XLOOKUP($C2083,Order!$C:$C,Order!$F:$F,"",0,1))</f>
        <v>6000</v>
      </c>
      <c r="G2083" s="4" t="str">
        <f>IF($C2083="","",_xlfn.XLOOKUP($C2083,Order!$C:$C,Order!$G:$G,"",0,1))</f>
        <v>6063T5</v>
      </c>
      <c r="H2083" s="4">
        <f>IF($C2083="","",_xlfn.XLOOKUP($C2083,Order!$C:$C,Order!$H:$H,"",0,1))</f>
        <v>0</v>
      </c>
      <c r="I2083" s="36">
        <f>IF($C2083="","",_xlfn.XLOOKUP($C2083,Order!$C:$C,Order!$O:$O,"",0,1))</f>
        <v>0</v>
      </c>
      <c r="J2083" s="4" t="str">
        <f>IF(C2083="","",Order!$O$16)</f>
        <v>WOOD FINISH (BA)</v>
      </c>
      <c r="K2083" s="36">
        <f>IF($C2083="","",_xlfn.XLOOKUP($C2083,Order!$C:$C,Order!$P:$P,"",0,1))</f>
        <v>0</v>
      </c>
      <c r="L2083" s="4">
        <f t="shared" si="32"/>
        <v>0</v>
      </c>
    </row>
    <row r="2084" spans="2:12" ht="23.25" hidden="1" customHeight="1" x14ac:dyDescent="0.25">
      <c r="B2084" s="4">
        <v>2079</v>
      </c>
      <c r="C2084" s="36" t="str">
        <f>IF(Order!$C$25="","",Order!$C$25)</f>
        <v>TR1 (Round tube 1" with 0.80 mm thickness)</v>
      </c>
      <c r="D2084" s="36" t="str">
        <f>IF($C2084="","",_xlfn.XLOOKUP($C2084,Order!$C:$C,Order!$D:$D,"",0,1))</f>
        <v>TR1</v>
      </c>
      <c r="E2084" s="4" t="e" vm="251">
        <f>IF($C2084="","",_xlfn.XLOOKUP($C2084,Order!$C:$C,Order!$E:$E,"",0,1))</f>
        <v>#VALUE!</v>
      </c>
      <c r="F2084" s="4">
        <f>IF($C2084="","",_xlfn.XLOOKUP($C2084,Order!$C:$C,Order!$F:$F,"",0,1))</f>
        <v>6000</v>
      </c>
      <c r="G2084" s="4" t="str">
        <f>IF($C2084="","",_xlfn.XLOOKUP($C2084,Order!$C:$C,Order!$G:$G,"",0,1))</f>
        <v>6063T5</v>
      </c>
      <c r="H2084" s="4">
        <f>IF($C2084="","",_xlfn.XLOOKUP($C2084,Order!$C:$C,Order!$H:$H,"",0,1))</f>
        <v>0.16900000000000001</v>
      </c>
      <c r="I2084" s="36">
        <f>IF($C2084="","",_xlfn.XLOOKUP($C2084,Order!$C:$C,Order!$O:$O,"",0,1))</f>
        <v>0</v>
      </c>
      <c r="J2084" s="4" t="str">
        <f>IF(C2084="","",Order!$O$16)</f>
        <v>WOOD FINISH (BA)</v>
      </c>
      <c r="K2084" s="36">
        <f>IF($C2084="","",_xlfn.XLOOKUP($C2084,Order!$C:$C,Order!$P:$P,"",0,1))</f>
        <v>0</v>
      </c>
      <c r="L2084" s="4">
        <f t="shared" si="32"/>
        <v>0</v>
      </c>
    </row>
    <row r="2085" spans="2:12" ht="23.25" hidden="1" customHeight="1" x14ac:dyDescent="0.25">
      <c r="B2085" s="4">
        <v>2080</v>
      </c>
      <c r="C2085" s="36" t="str">
        <f>IF(Order!$C$26="","",Order!$C$26)</f>
        <v>TR1x1.0 (Round tube 1" with 1.00 mm thickness)</v>
      </c>
      <c r="D2085" s="36" t="str">
        <f>IF($C2085="","",_xlfn.XLOOKUP($C2085,Order!$C:$C,Order!$D:$D,"",0,1))</f>
        <v>TR1X1.0</v>
      </c>
      <c r="E2085" s="4" t="e" vm="251">
        <f>IF($C2085="","",_xlfn.XLOOKUP($C2085,Order!$C:$C,Order!$E:$E,"",0,1))</f>
        <v>#VALUE!</v>
      </c>
      <c r="F2085" s="4">
        <f>IF($C2085="","",_xlfn.XLOOKUP($C2085,Order!$C:$C,Order!$F:$F,"",0,1))</f>
        <v>6000</v>
      </c>
      <c r="G2085" s="4" t="str">
        <f>IF($C2085="","",_xlfn.XLOOKUP($C2085,Order!$C:$C,Order!$G:$G,"",0,1))</f>
        <v>6063T5</v>
      </c>
      <c r="H2085" s="4">
        <f>IF($C2085="","",_xlfn.XLOOKUP($C2085,Order!$C:$C,Order!$H:$H,"",0,1))</f>
        <v>0</v>
      </c>
      <c r="I2085" s="36">
        <f>IF($C2085="","",_xlfn.XLOOKUP($C2085,Order!$C:$C,Order!$O:$O,"",0,1))</f>
        <v>0</v>
      </c>
      <c r="J2085" s="4" t="str">
        <f>IF(C2085="","",Order!$O$16)</f>
        <v>WOOD FINISH (BA)</v>
      </c>
      <c r="K2085" s="36">
        <f>IF($C2085="","",_xlfn.XLOOKUP($C2085,Order!$C:$C,Order!$P:$P,"",0,1))</f>
        <v>0</v>
      </c>
      <c r="L2085" s="4">
        <f t="shared" si="32"/>
        <v>0</v>
      </c>
    </row>
    <row r="2086" spans="2:12" ht="23.25" hidden="1" customHeight="1" x14ac:dyDescent="0.25">
      <c r="B2086" s="4">
        <v>2081</v>
      </c>
      <c r="C2086" s="36" t="str">
        <f>IF(Order!$C$27="","",Order!$C$27)</f>
        <v>TR1.1/4 (Round tube  1.1/4" with 1.00 mm thickness)</v>
      </c>
      <c r="D2086" s="36" t="str">
        <f>IF($C2086="","",_xlfn.XLOOKUP($C2086,Order!$C:$C,Order!$D:$D,"",0,1))</f>
        <v>TR1.1-4</v>
      </c>
      <c r="E2086" s="4" t="e" vm="251">
        <f>IF($C2086="","",_xlfn.XLOOKUP($C2086,Order!$C:$C,Order!$E:$E,"",0,1))</f>
        <v>#VALUE!</v>
      </c>
      <c r="F2086" s="4">
        <f>IF($C2086="","",_xlfn.XLOOKUP($C2086,Order!$C:$C,Order!$F:$F,"",0,1))</f>
        <v>6000</v>
      </c>
      <c r="G2086" s="4" t="str">
        <f>IF($C2086="","",_xlfn.XLOOKUP($C2086,Order!$C:$C,Order!$G:$G,"",0,1))</f>
        <v>6063T5</v>
      </c>
      <c r="H2086" s="4">
        <f>IF($C2086="","",_xlfn.XLOOKUP($C2086,Order!$C:$C,Order!$H:$H,"",0,1))</f>
        <v>0.26400000000000001</v>
      </c>
      <c r="I2086" s="36">
        <f>IF($C2086="","",_xlfn.XLOOKUP($C2086,Order!$C:$C,Order!$O:$O,"",0,1))</f>
        <v>0</v>
      </c>
      <c r="J2086" s="4" t="str">
        <f>IF(C2086="","",Order!$O$16)</f>
        <v>WOOD FINISH (BA)</v>
      </c>
      <c r="K2086" s="36">
        <f>IF($C2086="","",_xlfn.XLOOKUP($C2086,Order!$C:$C,Order!$P:$P,"",0,1))</f>
        <v>0</v>
      </c>
      <c r="L2086" s="4">
        <f t="shared" si="32"/>
        <v>0</v>
      </c>
    </row>
    <row r="2087" spans="2:12" ht="23.25" hidden="1" customHeight="1" x14ac:dyDescent="0.25">
      <c r="B2087" s="4">
        <v>2082</v>
      </c>
      <c r="C2087" s="36" t="str">
        <f>IF(Order!$C$28="","",Order!$C$28)</f>
        <v>TR1.1/2 (Round tube  1.1/2" with 1.00 mmthickness)</v>
      </c>
      <c r="D2087" s="36" t="str">
        <f>IF($C2087="","",_xlfn.XLOOKUP($C2087,Order!$C:$C,Order!$D:$D,"",0,1))</f>
        <v>TR1.1/2</v>
      </c>
      <c r="E2087" s="4" t="e" vm="251">
        <f>IF($C2087="","",_xlfn.XLOOKUP($C2087,Order!$C:$C,Order!$E:$E,"",0,1))</f>
        <v>#VALUE!</v>
      </c>
      <c r="F2087" s="4">
        <f>IF($C2087="","",_xlfn.XLOOKUP($C2087,Order!$C:$C,Order!$F:$F,"",0,1))</f>
        <v>6000</v>
      </c>
      <c r="G2087" s="4" t="str">
        <f>IF($C2087="","",_xlfn.XLOOKUP($C2087,Order!$C:$C,Order!$G:$G,"",0,1))</f>
        <v>6063T5</v>
      </c>
      <c r="H2087" s="4">
        <f>IF($C2087="","",_xlfn.XLOOKUP($C2087,Order!$C:$C,Order!$H:$H,"",0,1))</f>
        <v>0.318</v>
      </c>
      <c r="I2087" s="36">
        <f>IF($C2087="","",_xlfn.XLOOKUP($C2087,Order!$C:$C,Order!$O:$O,"",0,1))</f>
        <v>0</v>
      </c>
      <c r="J2087" s="4" t="str">
        <f>IF(C2087="","",Order!$O$16)</f>
        <v>WOOD FINISH (BA)</v>
      </c>
      <c r="K2087" s="36">
        <f>IF($C2087="","",_xlfn.XLOOKUP($C2087,Order!$C:$C,Order!$P:$P,"",0,1))</f>
        <v>0</v>
      </c>
      <c r="L2087" s="4">
        <f t="shared" si="32"/>
        <v>0</v>
      </c>
    </row>
    <row r="2088" spans="2:12" ht="23.25" hidden="1" customHeight="1" x14ac:dyDescent="0.25">
      <c r="B2088" s="4">
        <v>2083</v>
      </c>
      <c r="C2088" s="36" t="str">
        <f>IF(Order!$C$29="","",Order!$C$29)</f>
        <v>TR2A (Round tube 2" with 0.95 mm thickness)</v>
      </c>
      <c r="D2088" s="36" t="str">
        <f>IF($C2088="","",_xlfn.XLOOKUP($C2088,Order!$C:$C,Order!$D:$D,"",0,1))</f>
        <v>TR2A</v>
      </c>
      <c r="E2088" s="4" t="e" vm="251">
        <f>IF($C2088="","",_xlfn.XLOOKUP($C2088,Order!$C:$C,Order!$E:$E,"",0,1))</f>
        <v>#VALUE!</v>
      </c>
      <c r="F2088" s="4">
        <f>IF($C2088="","",_xlfn.XLOOKUP($C2088,Order!$C:$C,Order!$F:$F,"",0,1))</f>
        <v>6000</v>
      </c>
      <c r="G2088" s="4" t="str">
        <f>IF($C2088="","",_xlfn.XLOOKUP($C2088,Order!$C:$C,Order!$G:$G,"",0,1))</f>
        <v>6063T5</v>
      </c>
      <c r="H2088" s="4">
        <f>IF($C2088="","",_xlfn.XLOOKUP($C2088,Order!$C:$C,Order!$H:$H,"",0,1))</f>
        <v>0.40600000000000003</v>
      </c>
      <c r="I2088" s="36">
        <f>IF($C2088="","",_xlfn.XLOOKUP($C2088,Order!$C:$C,Order!$O:$O,"",0,1))</f>
        <v>0</v>
      </c>
      <c r="J2088" s="4" t="str">
        <f>IF(C2088="","",Order!$O$16)</f>
        <v>WOOD FINISH (BA)</v>
      </c>
      <c r="K2088" s="36">
        <f>IF($C2088="","",_xlfn.XLOOKUP($C2088,Order!$C:$C,Order!$P:$P,"",0,1))</f>
        <v>0</v>
      </c>
      <c r="L2088" s="4">
        <f t="shared" si="32"/>
        <v>0</v>
      </c>
    </row>
    <row r="2089" spans="2:12" ht="23.25" hidden="1" customHeight="1" x14ac:dyDescent="0.25">
      <c r="B2089" s="4">
        <v>2084</v>
      </c>
      <c r="C2089" s="36" t="str">
        <f>IF(Order!$C$30="","",Order!$C$30)</f>
        <v>TR3 (Round tube 3" with 1.27 mm thickness)</v>
      </c>
      <c r="D2089" s="36" t="str">
        <f>IF($C2089="","",_xlfn.XLOOKUP($C2089,Order!$C:$C,Order!$D:$D,"",0,1))</f>
        <v>TR3</v>
      </c>
      <c r="E2089" s="4" t="e" vm="251">
        <f>IF($C2089="","",_xlfn.XLOOKUP($C2089,Order!$C:$C,Order!$E:$E,"",0,1))</f>
        <v>#VALUE!</v>
      </c>
      <c r="F2089" s="4">
        <f>IF($C2089="","",_xlfn.XLOOKUP($C2089,Order!$C:$C,Order!$F:$F,"",0,1))</f>
        <v>6000</v>
      </c>
      <c r="G2089" s="4" t="str">
        <f>IF($C2089="","",_xlfn.XLOOKUP($C2089,Order!$C:$C,Order!$G:$G,"",0,1))</f>
        <v>6063T5</v>
      </c>
      <c r="H2089" s="4">
        <f>IF($C2089="","",_xlfn.XLOOKUP($C2089,Order!$C:$C,Order!$H:$H,"",0,1))</f>
        <v>0.81599999999999995</v>
      </c>
      <c r="I2089" s="36">
        <f>IF($C2089="","",_xlfn.XLOOKUP($C2089,Order!$C:$C,Order!$O:$O,"",0,1))</f>
        <v>0</v>
      </c>
      <c r="J2089" s="4" t="str">
        <f>IF(C2089="","",Order!$O$16)</f>
        <v>WOOD FINISH (BA)</v>
      </c>
      <c r="K2089" s="36">
        <f>IF($C2089="","",_xlfn.XLOOKUP($C2089,Order!$C:$C,Order!$P:$P,"",0,1))</f>
        <v>0</v>
      </c>
      <c r="L2089" s="4">
        <f t="shared" si="32"/>
        <v>0</v>
      </c>
    </row>
    <row r="2090" spans="2:12" ht="23.25" hidden="1" customHeight="1" x14ac:dyDescent="0.25">
      <c r="B2090" s="4">
        <v>2085</v>
      </c>
      <c r="C2090" s="36" t="str">
        <f>IF(Order!$C$31="","",Order!$C$31)</f>
        <v/>
      </c>
      <c r="D2090" s="36" t="str">
        <f>IF($C2090="","",_xlfn.XLOOKUP($C2090,Order!$C:$C,Order!$D:$D,"",0,1))</f>
        <v/>
      </c>
      <c r="E2090" s="4" t="str">
        <f>IF($C2090="","",_xlfn.XLOOKUP($C2090,Order!$C:$C,Order!$E:$E,"",0,1))</f>
        <v/>
      </c>
      <c r="F2090" s="4" t="str">
        <f>IF($C2090="","",_xlfn.XLOOKUP($C2090,Order!$C:$C,Order!$F:$F,"",0,1))</f>
        <v/>
      </c>
      <c r="G2090" s="4" t="str">
        <f>IF($C2090="","",_xlfn.XLOOKUP($C2090,Order!$C:$C,Order!$G:$G,"",0,1))</f>
        <v/>
      </c>
      <c r="H2090" s="4" t="str">
        <f>IF($C2090="","",_xlfn.XLOOKUP($C2090,Order!$C:$C,Order!$H:$H,"",0,1))</f>
        <v/>
      </c>
      <c r="I2090" s="36" t="str">
        <f>IF($C2090="","",_xlfn.XLOOKUP($C2090,Order!$C:$C,Order!$O:$O,"",0,1))</f>
        <v/>
      </c>
      <c r="J2090" s="4" t="str">
        <f>IF(C2090="","",Order!$O$16)</f>
        <v/>
      </c>
      <c r="K2090" s="36" t="str">
        <f>IF($C2090="","",_xlfn.XLOOKUP($C2090,Order!$C:$C,Order!$P:$P,"",0,1))</f>
        <v/>
      </c>
      <c r="L2090" s="4" t="str">
        <f t="shared" si="32"/>
        <v/>
      </c>
    </row>
    <row r="2091" spans="2:12" ht="23.25" hidden="1" customHeight="1" x14ac:dyDescent="0.25">
      <c r="B2091" s="4">
        <v>2086</v>
      </c>
      <c r="C2091" s="36" t="str">
        <f>IF(Order!$C$32="","",Order!$C$32)</f>
        <v>TQ3/4 (Square tube 3/4 with 0.90 mm thickness)</v>
      </c>
      <c r="D2091" s="36" t="str">
        <f>IF($C2091="","",_xlfn.XLOOKUP($C2091,Order!$C:$C,Order!$D:$D,"",0,1))</f>
        <v>TQ34</v>
      </c>
      <c r="E2091" s="4" t="e" vm="252">
        <f>IF($C2091="","",_xlfn.XLOOKUP($C2091,Order!$C:$C,Order!$E:$E,"",0,1))</f>
        <v>#VALUE!</v>
      </c>
      <c r="F2091" s="4">
        <f>IF($C2091="","",_xlfn.XLOOKUP($C2091,Order!$C:$C,Order!$F:$F,"",0,1))</f>
        <v>6000</v>
      </c>
      <c r="G2091" s="4" t="str">
        <f>IF($C2091="","",_xlfn.XLOOKUP($C2091,Order!$C:$C,Order!$G:$G,"",0,1))</f>
        <v>6063T5</v>
      </c>
      <c r="H2091" s="4">
        <f>IF($C2091="","",_xlfn.XLOOKUP($C2091,Order!$C:$C,Order!$H:$H,"",0,1))</f>
        <v>0.17799999999999999</v>
      </c>
      <c r="I2091" s="36">
        <f>IF($C2091="","",_xlfn.XLOOKUP($C2091,Order!$C:$C,Order!$O:$O,"",0,1))</f>
        <v>0</v>
      </c>
      <c r="J2091" s="4" t="str">
        <f>IF(C2091="","",Order!$O$16)</f>
        <v>WOOD FINISH (BA)</v>
      </c>
      <c r="K2091" s="36">
        <f>IF($C2091="","",_xlfn.XLOOKUP($C2091,Order!$C:$C,Order!$P:$P,"",0,1))</f>
        <v>0</v>
      </c>
      <c r="L2091" s="4">
        <f t="shared" si="32"/>
        <v>0</v>
      </c>
    </row>
    <row r="2092" spans="2:12" ht="23.25" hidden="1" customHeight="1" x14ac:dyDescent="0.25">
      <c r="B2092" s="4">
        <v>2087</v>
      </c>
      <c r="C2092" s="36" t="str">
        <f>IF(Order!$C$33="","",Order!$C$33)</f>
        <v>TQ1 (Squar tube 1" with 0.80 mm thickness)</v>
      </c>
      <c r="D2092" s="36" t="str">
        <f>IF($C2092="","",_xlfn.XLOOKUP($C2092,Order!$C:$C,Order!$D:$D,"",0,1))</f>
        <v>TQ1</v>
      </c>
      <c r="E2092" s="4" t="e" vm="252">
        <f>IF($C2092="","",_xlfn.XLOOKUP($C2092,Order!$C:$C,Order!$E:$E,"",0,1))</f>
        <v>#VALUE!</v>
      </c>
      <c r="F2092" s="4">
        <f>IF($C2092="","",_xlfn.XLOOKUP($C2092,Order!$C:$C,Order!$F:$F,"",0,1))</f>
        <v>6000</v>
      </c>
      <c r="G2092" s="4" t="str">
        <f>IF($C2092="","",_xlfn.XLOOKUP($C2092,Order!$C:$C,Order!$G:$G,"",0,1))</f>
        <v>6063T5</v>
      </c>
      <c r="H2092" s="4">
        <f>IF($C2092="","",_xlfn.XLOOKUP($C2092,Order!$C:$C,Order!$H:$H,"",0,1))</f>
        <v>0.215</v>
      </c>
      <c r="I2092" s="36">
        <f>IF($C2092="","",_xlfn.XLOOKUP($C2092,Order!$C:$C,Order!$O:$O,"",0,1))</f>
        <v>0</v>
      </c>
      <c r="J2092" s="4" t="str">
        <f>IF(C2092="","",Order!$O$16)</f>
        <v>WOOD FINISH (BA)</v>
      </c>
      <c r="K2092" s="36">
        <f>IF($C2092="","",_xlfn.XLOOKUP($C2092,Order!$C:$C,Order!$P:$P,"",0,1))</f>
        <v>0</v>
      </c>
      <c r="L2092" s="4">
        <f t="shared" si="32"/>
        <v>0</v>
      </c>
    </row>
    <row r="2093" spans="2:12" ht="23.25" hidden="1" customHeight="1" x14ac:dyDescent="0.25">
      <c r="B2093" s="4">
        <v>2088</v>
      </c>
      <c r="C2093" s="36" t="str">
        <f>IF(Order!$C$34="","",Order!$C$34)</f>
        <v>TQ1.1/2A (Square tube 1.1/2" with 0.80 mm thickness)</v>
      </c>
      <c r="D2093" s="36" t="str">
        <f>IF($C2093="","",_xlfn.XLOOKUP($C2093,Order!$C:$C,Order!$D:$D,"",0,1))</f>
        <v>TQ1.12A</v>
      </c>
      <c r="E2093" s="4" t="e" vm="252">
        <f>IF($C2093="","",_xlfn.XLOOKUP($C2093,Order!$C:$C,Order!$E:$E,"",0,1))</f>
        <v>#VALUE!</v>
      </c>
      <c r="F2093" s="4">
        <f>IF($C2093="","",_xlfn.XLOOKUP($C2093,Order!$C:$C,Order!$F:$F,"",0,1))</f>
        <v>6000</v>
      </c>
      <c r="G2093" s="4" t="str">
        <f>IF($C2093="","",_xlfn.XLOOKUP($C2093,Order!$C:$C,Order!$G:$G,"",0,1))</f>
        <v>6063T5</v>
      </c>
      <c r="H2093" s="4">
        <f>IF($C2093="","",_xlfn.XLOOKUP($C2093,Order!$C:$C,Order!$H:$H,"",0,1))</f>
        <v>0.32600000000000001</v>
      </c>
      <c r="I2093" s="36">
        <f>IF($C2093="","",_xlfn.XLOOKUP($C2093,Order!$C:$C,Order!$O:$O,"",0,1))</f>
        <v>0</v>
      </c>
      <c r="J2093" s="4" t="str">
        <f>IF(C2093="","",Order!$O$16)</f>
        <v>WOOD FINISH (BA)</v>
      </c>
      <c r="K2093" s="36">
        <f>IF($C2093="","",_xlfn.XLOOKUP($C2093,Order!$C:$C,Order!$P:$P,"",0,1))</f>
        <v>0</v>
      </c>
      <c r="L2093" s="4">
        <f t="shared" si="32"/>
        <v>0</v>
      </c>
    </row>
    <row r="2094" spans="2:12" ht="23.25" hidden="1" customHeight="1" x14ac:dyDescent="0.25">
      <c r="B2094" s="4">
        <v>2089</v>
      </c>
      <c r="C2094" s="36" t="str">
        <f>IF(Order!$C$35="","",Order!$C$35)</f>
        <v>TQ2L (Square tube 2" with 0.90 mm thickness)</v>
      </c>
      <c r="D2094" s="36" t="str">
        <f>IF($C2094="","",_xlfn.XLOOKUP($C2094,Order!$C:$C,Order!$D:$D,"",0,1))</f>
        <v>TQ2L</v>
      </c>
      <c r="E2094" s="4" t="e" vm="252">
        <f>IF($C2094="","",_xlfn.XLOOKUP($C2094,Order!$C:$C,Order!$E:$E,"",0,1))</f>
        <v>#VALUE!</v>
      </c>
      <c r="F2094" s="4">
        <f>IF($C2094="","",_xlfn.XLOOKUP($C2094,Order!$C:$C,Order!$F:$F,"",0,1))</f>
        <v>6000</v>
      </c>
      <c r="G2094" s="4" t="str">
        <f>IF($C2094="","",_xlfn.XLOOKUP($C2094,Order!$C:$C,Order!$G:$G,"",0,1))</f>
        <v>6063T5</v>
      </c>
      <c r="H2094" s="4">
        <f>IF($C2094="","",_xlfn.XLOOKUP($C2094,Order!$C:$C,Order!$H:$H,"",0,1))</f>
        <v>0.49</v>
      </c>
      <c r="I2094" s="36">
        <f>IF($C2094="","",_xlfn.XLOOKUP($C2094,Order!$C:$C,Order!$O:$O,"",0,1))</f>
        <v>0</v>
      </c>
      <c r="J2094" s="4" t="str">
        <f>IF(C2094="","",Order!$O$16)</f>
        <v>WOOD FINISH (BA)</v>
      </c>
      <c r="K2094" s="36">
        <f>IF($C2094="","",_xlfn.XLOOKUP($C2094,Order!$C:$C,Order!$P:$P,"",0,1))</f>
        <v>0</v>
      </c>
      <c r="L2094" s="4">
        <f t="shared" si="32"/>
        <v>0</v>
      </c>
    </row>
    <row r="2095" spans="2:12" ht="23.25" hidden="1" customHeight="1" x14ac:dyDescent="0.25">
      <c r="B2095" s="4">
        <v>2090</v>
      </c>
      <c r="C2095" s="36" t="str">
        <f>IF(Order!$C$36="","",Order!$C$36)</f>
        <v>TQ2A (Square tube 2" with 0.95 mm thickness)</v>
      </c>
      <c r="D2095" s="36" t="str">
        <f>IF($C2095="","",_xlfn.XLOOKUP($C2095,Order!$C:$C,Order!$D:$D,"",0,1))</f>
        <v>TQ2A</v>
      </c>
      <c r="E2095" s="4" t="e" vm="252">
        <f>IF($C2095="","",_xlfn.XLOOKUP($C2095,Order!$C:$C,Order!$E:$E,"",0,1))</f>
        <v>#VALUE!</v>
      </c>
      <c r="F2095" s="4">
        <f>IF($C2095="","",_xlfn.XLOOKUP($C2095,Order!$C:$C,Order!$F:$F,"",0,1))</f>
        <v>6000</v>
      </c>
      <c r="G2095" s="4" t="str">
        <f>IF($C2095="","",_xlfn.XLOOKUP($C2095,Order!$C:$C,Order!$G:$G,"",0,1))</f>
        <v>6063T5</v>
      </c>
      <c r="H2095" s="4">
        <f>IF($C2095="","",_xlfn.XLOOKUP($C2095,Order!$C:$C,Order!$H:$H,"",0,1))</f>
        <v>0.51700000000000002</v>
      </c>
      <c r="I2095" s="36">
        <f>IF($C2095="","",_xlfn.XLOOKUP($C2095,Order!$C:$C,Order!$O:$O,"",0,1))</f>
        <v>0</v>
      </c>
      <c r="J2095" s="4" t="str">
        <f>IF(C2095="","",Order!$O$16)</f>
        <v>WOOD FINISH (BA)</v>
      </c>
      <c r="K2095" s="36">
        <f>IF($C2095="","",_xlfn.XLOOKUP($C2095,Order!$C:$C,Order!$P:$P,"",0,1))</f>
        <v>0</v>
      </c>
      <c r="L2095" s="4">
        <f t="shared" si="32"/>
        <v>0</v>
      </c>
    </row>
    <row r="2096" spans="2:12" ht="23.25" hidden="1" customHeight="1" x14ac:dyDescent="0.25">
      <c r="B2096" s="4">
        <v>2091</v>
      </c>
      <c r="C2096" s="36" t="str">
        <f>IF(Order!$C$37="","",Order!$C$37)</f>
        <v>TQ2 (Square tube 2" with 1.10 mm thickness)</v>
      </c>
      <c r="D2096" s="36" t="str">
        <f>IF($C2096="","",_xlfn.XLOOKUP($C2096,Order!$C:$C,Order!$D:$D,"",0,1))</f>
        <v>TQ2</v>
      </c>
      <c r="E2096" s="4" t="e" vm="252">
        <f>IF($C2096="","",_xlfn.XLOOKUP($C2096,Order!$C:$C,Order!$E:$E,"",0,1))</f>
        <v>#VALUE!</v>
      </c>
      <c r="F2096" s="4">
        <f>IF($C2096="","",_xlfn.XLOOKUP($C2096,Order!$C:$C,Order!$F:$F,"",0,1))</f>
        <v>6000</v>
      </c>
      <c r="G2096" s="4" t="str">
        <f>IF($C2096="","",_xlfn.XLOOKUP($C2096,Order!$C:$C,Order!$G:$G,"",0,1))</f>
        <v>6063T5</v>
      </c>
      <c r="H2096" s="4">
        <f>IF($C2096="","",_xlfn.XLOOKUP($C2096,Order!$C:$C,Order!$H:$H,"",0,1))</f>
        <v>0.59699999999999998</v>
      </c>
      <c r="I2096" s="36">
        <f>IF($C2096="","",_xlfn.XLOOKUP($C2096,Order!$C:$C,Order!$O:$O,"",0,1))</f>
        <v>0</v>
      </c>
      <c r="J2096" s="4" t="str">
        <f>IF(C2096="","",Order!$O$16)</f>
        <v>WOOD FINISH (BA)</v>
      </c>
      <c r="K2096" s="36">
        <f>IF($C2096="","",_xlfn.XLOOKUP($C2096,Order!$C:$C,Order!$P:$P,"",0,1))</f>
        <v>0</v>
      </c>
      <c r="L2096" s="4">
        <f t="shared" si="32"/>
        <v>0</v>
      </c>
    </row>
    <row r="2097" spans="2:12" ht="23.25" hidden="1" customHeight="1" x14ac:dyDescent="0.25">
      <c r="B2097" s="4">
        <v>2092</v>
      </c>
      <c r="C2097" s="36" t="str">
        <f>IF(Order!$C$38="","",Order!$C$38)</f>
        <v>TQ3 (Square tube 3" with 1.10 mm thickness)</v>
      </c>
      <c r="D2097" s="36" t="str">
        <f>IF($C2097="","",_xlfn.XLOOKUP($C2097,Order!$C:$C,Order!$D:$D,"",0,1))</f>
        <v>TQ3</v>
      </c>
      <c r="E2097" s="4" t="e" vm="252">
        <f>IF($C2097="","",_xlfn.XLOOKUP($C2097,Order!$C:$C,Order!$E:$E,"",0,1))</f>
        <v>#VALUE!</v>
      </c>
      <c r="F2097" s="4">
        <f>IF($C2097="","",_xlfn.XLOOKUP($C2097,Order!$C:$C,Order!$F:$F,"",0,1))</f>
        <v>6000</v>
      </c>
      <c r="G2097" s="4" t="str">
        <f>IF($C2097="","",_xlfn.XLOOKUP($C2097,Order!$C:$C,Order!$G:$G,"",0,1))</f>
        <v>6063T5</v>
      </c>
      <c r="H2097" s="4">
        <f>IF($C2097="","",_xlfn.XLOOKUP($C2097,Order!$C:$C,Order!$H:$H,"",0,1))</f>
        <v>0.90200000000000002</v>
      </c>
      <c r="I2097" s="36">
        <f>IF($C2097="","",_xlfn.XLOOKUP($C2097,Order!$C:$C,Order!$O:$O,"",0,1))</f>
        <v>0</v>
      </c>
      <c r="J2097" s="4" t="str">
        <f>IF(C2097="","",Order!$O$16)</f>
        <v>WOOD FINISH (BA)</v>
      </c>
      <c r="K2097" s="36">
        <f>IF($C2097="","",_xlfn.XLOOKUP($C2097,Order!$C:$C,Order!$P:$P,"",0,1))</f>
        <v>0</v>
      </c>
      <c r="L2097" s="4">
        <f t="shared" si="32"/>
        <v>0</v>
      </c>
    </row>
    <row r="2098" spans="2:12" ht="23.25" hidden="1" customHeight="1" x14ac:dyDescent="0.25">
      <c r="B2098" s="4">
        <v>2093</v>
      </c>
      <c r="C2098" s="36" t="str">
        <f>IF(Order!$C$39="","",Order!$C$39)</f>
        <v>TQ4 (Square tube 4" with 1.30 mm thickness)</v>
      </c>
      <c r="D2098" s="36" t="str">
        <f>IF($C2098="","",_xlfn.XLOOKUP($C2098,Order!$C:$C,Order!$D:$D,"",0,1))</f>
        <v>TQ4</v>
      </c>
      <c r="E2098" s="4" t="e" vm="252">
        <f>IF($C2098="","",_xlfn.XLOOKUP($C2098,Order!$C:$C,Order!$E:$E,"",0,1))</f>
        <v>#VALUE!</v>
      </c>
      <c r="F2098" s="4">
        <f>IF($C2098="","",_xlfn.XLOOKUP($C2098,Order!$C:$C,Order!$F:$F,"",0,1))</f>
        <v>6000</v>
      </c>
      <c r="G2098" s="4" t="str">
        <f>IF($C2098="","",_xlfn.XLOOKUP($C2098,Order!$C:$C,Order!$G:$G,"",0,1))</f>
        <v>6063T5</v>
      </c>
      <c r="H2098" s="4">
        <f>IF($C2098="","",_xlfn.XLOOKUP($C2098,Order!$C:$C,Order!$H:$H,"",0,1))</f>
        <v>1.4239999999999999</v>
      </c>
      <c r="I2098" s="36">
        <f>IF($C2098="","",_xlfn.XLOOKUP($C2098,Order!$C:$C,Order!$O:$O,"",0,1))</f>
        <v>0</v>
      </c>
      <c r="J2098" s="4" t="str">
        <f>IF(C2098="","",Order!$O$16)</f>
        <v>WOOD FINISH (BA)</v>
      </c>
      <c r="K2098" s="36">
        <f>IF($C2098="","",_xlfn.XLOOKUP($C2098,Order!$C:$C,Order!$P:$P,"",0,1))</f>
        <v>0</v>
      </c>
      <c r="L2098" s="4">
        <f t="shared" si="32"/>
        <v>0</v>
      </c>
    </row>
    <row r="2099" spans="2:12" ht="23.25" hidden="1" customHeight="1" x14ac:dyDescent="0.25">
      <c r="B2099" s="4">
        <v>2094</v>
      </c>
      <c r="C2099" s="36" t="str">
        <f>IF(Order!$C$40="","",Order!$C$40)</f>
        <v>TG1X1/2 (Rectangular tube 1" x 1/2  with 0.80 mm thickness)</v>
      </c>
      <c r="D2099" s="36" t="str">
        <f>IF($C2099="","",_xlfn.XLOOKUP($C2099,Order!$C:$C,Order!$D:$D,"",0,1))</f>
        <v>TG1X12</v>
      </c>
      <c r="E2099" s="4" t="e" vm="253">
        <f>IF($C2099="","",_xlfn.XLOOKUP($C2099,Order!$C:$C,Order!$E:$E,"",0,1))</f>
        <v>#VALUE!</v>
      </c>
      <c r="F2099" s="4">
        <f>IF($C2099="","",_xlfn.XLOOKUP($C2099,Order!$C:$C,Order!$F:$F,"",0,1))</f>
        <v>6000</v>
      </c>
      <c r="G2099" s="4" t="str">
        <f>IF($C2099="","",_xlfn.XLOOKUP($C2099,Order!$C:$C,Order!$G:$G,"",0,1))</f>
        <v>6063T5</v>
      </c>
      <c r="H2099" s="4">
        <f>IF($C2099="","",_xlfn.XLOOKUP($C2099,Order!$C:$C,Order!$H:$H,"",0,1))</f>
        <v>0.159</v>
      </c>
      <c r="I2099" s="36">
        <f>IF($C2099="","",_xlfn.XLOOKUP($C2099,Order!$C:$C,Order!$O:$O,"",0,1))</f>
        <v>0</v>
      </c>
      <c r="J2099" s="4" t="str">
        <f>IF(C2099="","",Order!$O$16)</f>
        <v>WOOD FINISH (BA)</v>
      </c>
      <c r="K2099" s="36">
        <f>IF($C2099="","",_xlfn.XLOOKUP($C2099,Order!$C:$C,Order!$P:$P,"",0,1))</f>
        <v>0</v>
      </c>
      <c r="L2099" s="4">
        <f t="shared" si="32"/>
        <v>0</v>
      </c>
    </row>
    <row r="2100" spans="2:12" ht="23.25" hidden="1" customHeight="1" x14ac:dyDescent="0.25">
      <c r="B2100" s="4">
        <v>2095</v>
      </c>
      <c r="C2100" s="36" t="str">
        <f>IF(Order!$C$41="","",Order!$C$41)</f>
        <v>TG2X1/2A (Retangular tube 2 X 1/2 with 0.80 mm tickness)</v>
      </c>
      <c r="D2100" s="36" t="str">
        <f>IF($C2100="","",_xlfn.XLOOKUP($C2100,Order!$C:$C,Order!$D:$D,"",0,1))</f>
        <v>TG2X12A</v>
      </c>
      <c r="E2100" s="4" t="e" vm="254">
        <f>IF($C2100="","",_xlfn.XLOOKUP($C2100,Order!$C:$C,Order!$E:$E,"",0,1))</f>
        <v>#VALUE!</v>
      </c>
      <c r="F2100" s="4">
        <f>IF($C2100="","",_xlfn.XLOOKUP($C2100,Order!$C:$C,Order!$F:$F,"",0,1))</f>
        <v>6000</v>
      </c>
      <c r="G2100" s="4" t="str">
        <f>IF($C2100="","",_xlfn.XLOOKUP($C2100,Order!$C:$C,Order!$G:$G,"",0,1))</f>
        <v>6063T5</v>
      </c>
      <c r="H2100" s="4">
        <f>IF($C2100="","",_xlfn.XLOOKUP($C2100,Order!$C:$C,Order!$H:$H,"",0,1))</f>
        <v>0.27</v>
      </c>
      <c r="I2100" s="36">
        <f>IF($C2100="","",_xlfn.XLOOKUP($C2100,Order!$C:$C,Order!$O:$O,"",0,1))</f>
        <v>0</v>
      </c>
      <c r="J2100" s="4" t="str">
        <f>IF(C2100="","",Order!$O$16)</f>
        <v>WOOD FINISH (BA)</v>
      </c>
      <c r="K2100" s="36">
        <f>IF($C2100="","",_xlfn.XLOOKUP($C2100,Order!$C:$C,Order!$P:$P,"",0,1))</f>
        <v>0</v>
      </c>
      <c r="L2100" s="4">
        <f t="shared" si="32"/>
        <v>0</v>
      </c>
    </row>
    <row r="2101" spans="2:12" ht="23.25" hidden="1" customHeight="1" x14ac:dyDescent="0.25">
      <c r="B2101" s="4">
        <v>2096</v>
      </c>
      <c r="C2101" s="36" t="str">
        <f>IF(Order!$C$42="","",Order!$C$42)</f>
        <v>TG2X1/2 (Retangular tube 2 X 1/2 with 0.90 mm tickness)</v>
      </c>
      <c r="D2101" s="36" t="str">
        <f>IF($C2101="","",_xlfn.XLOOKUP($C2101,Order!$C:$C,Order!$D:$D,"",0,1))</f>
        <v>TG2X12</v>
      </c>
      <c r="E2101" s="4" t="e" vm="254">
        <f>IF($C2101="","",_xlfn.XLOOKUP($C2101,Order!$C:$C,Order!$E:$E,"",0,1))</f>
        <v>#VALUE!</v>
      </c>
      <c r="F2101" s="4">
        <f>IF($C2101="","",_xlfn.XLOOKUP($C2101,Order!$C:$C,Order!$F:$F,"",0,1))</f>
        <v>6000</v>
      </c>
      <c r="G2101" s="4" t="str">
        <f>IF($C2101="","",_xlfn.XLOOKUP($C2101,Order!$C:$C,Order!$G:$G,"",0,1))</f>
        <v>6063T5</v>
      </c>
      <c r="H2101" s="4">
        <f>IF($C2101="","",_xlfn.XLOOKUP($C2101,Order!$C:$C,Order!$H:$H,"",0,1))</f>
        <v>0.30299999999999999</v>
      </c>
      <c r="I2101" s="36">
        <f>IF($C2101="","",_xlfn.XLOOKUP($C2101,Order!$C:$C,Order!$O:$O,"",0,1))</f>
        <v>0</v>
      </c>
      <c r="J2101" s="4" t="str">
        <f>IF(C2101="","",Order!$O$16)</f>
        <v>WOOD FINISH (BA)</v>
      </c>
      <c r="K2101" s="36">
        <f>IF($C2101="","",_xlfn.XLOOKUP($C2101,Order!$C:$C,Order!$P:$P,"",0,1))</f>
        <v>0</v>
      </c>
      <c r="L2101" s="4">
        <f t="shared" si="32"/>
        <v>0</v>
      </c>
    </row>
    <row r="2102" spans="2:12" ht="23.25" hidden="1" customHeight="1" x14ac:dyDescent="0.25">
      <c r="B2102" s="4">
        <v>2097</v>
      </c>
      <c r="C2102" s="36" t="str">
        <f>IF(Order!$C$43="","",Order!$C$43)</f>
        <v>TG2X1 0.7 ( Retangular tube 2"X1" with 0.70 mm tickness)</v>
      </c>
      <c r="D2102" s="36" t="str">
        <f>IF($C2102="","",_xlfn.XLOOKUP($C2102,Order!$C:$C,Order!$D:$D,"",0,1))</f>
        <v>TG2X1 0.7</v>
      </c>
      <c r="E2102" s="4" t="e" vm="253">
        <f>IF($C2102="","",_xlfn.XLOOKUP($C2102,Order!$C:$C,Order!$E:$E,"",0,1))</f>
        <v>#VALUE!</v>
      </c>
      <c r="F2102" s="4">
        <f>IF($C2102="","",_xlfn.XLOOKUP($C2102,Order!$C:$C,Order!$F:$F,"",0,1))</f>
        <v>6000</v>
      </c>
      <c r="G2102" s="4" t="str">
        <f>IF($C2102="","",_xlfn.XLOOKUP($C2102,Order!$C:$C,Order!$G:$G,"",0,1))</f>
        <v>6063T5</v>
      </c>
      <c r="H2102" s="4">
        <f>IF($C2102="","",_xlfn.XLOOKUP($C2102,Order!$C:$C,Order!$H:$H,"",0,1))</f>
        <v>0.28599999999999998</v>
      </c>
      <c r="I2102" s="36">
        <f>IF($C2102="","",_xlfn.XLOOKUP($C2102,Order!$C:$C,Order!$O:$O,"",0,1))</f>
        <v>0</v>
      </c>
      <c r="J2102" s="4" t="str">
        <f>IF(C2102="","",Order!$O$16)</f>
        <v>WOOD FINISH (BA)</v>
      </c>
      <c r="K2102" s="36">
        <f>IF($C2102="","",_xlfn.XLOOKUP($C2102,Order!$C:$C,Order!$P:$P,"",0,1))</f>
        <v>0</v>
      </c>
      <c r="L2102" s="4">
        <f t="shared" si="32"/>
        <v>0</v>
      </c>
    </row>
    <row r="2103" spans="2:12" ht="23.25" hidden="1" customHeight="1" x14ac:dyDescent="0.25">
      <c r="B2103" s="4">
        <v>2098</v>
      </c>
      <c r="C2103" s="36" t="str">
        <f>IF(Order!$C$44="","",Order!$C$44)</f>
        <v>TG2X1 ( Retangular tube 2"X1" with 0.80 mm tickness)</v>
      </c>
      <c r="D2103" s="36" t="str">
        <f>IF($C2103="","",_xlfn.XLOOKUP($C2103,Order!$C:$C,Order!$D:$D,"",0,1))</f>
        <v>TG2X1</v>
      </c>
      <c r="E2103" s="4" t="e" vm="253">
        <f>IF($C2103="","",_xlfn.XLOOKUP($C2103,Order!$C:$C,Order!$E:$E,"",0,1))</f>
        <v>#VALUE!</v>
      </c>
      <c r="F2103" s="4">
        <f>IF($C2103="","",_xlfn.XLOOKUP($C2103,Order!$C:$C,Order!$F:$F,"",0,1))</f>
        <v>6000</v>
      </c>
      <c r="G2103" s="4" t="str">
        <f>IF($C2103="","",_xlfn.XLOOKUP($C2103,Order!$C:$C,Order!$G:$G,"",0,1))</f>
        <v>6063T5</v>
      </c>
      <c r="H2103" s="4">
        <f>IF($C2103="","",_xlfn.XLOOKUP($C2103,Order!$C:$C,Order!$H:$H,"",0,1))</f>
        <v>0.32600000000000001</v>
      </c>
      <c r="I2103" s="36">
        <f>IF($C2103="","",_xlfn.XLOOKUP($C2103,Order!$C:$C,Order!$O:$O,"",0,1))</f>
        <v>0</v>
      </c>
      <c r="J2103" s="4" t="str">
        <f>IF(C2103="","",Order!$O$16)</f>
        <v>WOOD FINISH (BA)</v>
      </c>
      <c r="K2103" s="36">
        <f>IF($C2103="","",_xlfn.XLOOKUP($C2103,Order!$C:$C,Order!$P:$P,"",0,1))</f>
        <v>0</v>
      </c>
      <c r="L2103" s="4">
        <f t="shared" si="32"/>
        <v>0</v>
      </c>
    </row>
    <row r="2104" spans="2:12" ht="23.25" hidden="1" customHeight="1" x14ac:dyDescent="0.25">
      <c r="B2104" s="4">
        <v>2099</v>
      </c>
      <c r="C2104" s="36" t="str">
        <f>IF(Order!$C$45="","",Order!$C$45)</f>
        <v>TG2X1.1/2 ( Retangular tube 2"x1.1 /2" with 0.90 mm tickness)</v>
      </c>
      <c r="D2104" s="36" t="str">
        <f>IF($C2104="","",_xlfn.XLOOKUP($C2104,Order!$C:$C,Order!$D:$D,"",0,1))</f>
        <v>TG2X1.12</v>
      </c>
      <c r="E2104" s="4" t="e" vm="255">
        <f>IF($C2104="","",_xlfn.XLOOKUP($C2104,Order!$C:$C,Order!$E:$E,"",0,1))</f>
        <v>#VALUE!</v>
      </c>
      <c r="F2104" s="4">
        <f>IF($C2104="","",_xlfn.XLOOKUP($C2104,Order!$C:$C,Order!$F:$F,"",0,1))</f>
        <v>6000</v>
      </c>
      <c r="G2104" s="4" t="str">
        <f>IF($C2104="","",_xlfn.XLOOKUP($C2104,Order!$C:$C,Order!$G:$G,"",0,1))</f>
        <v>6063T5</v>
      </c>
      <c r="H2104" s="4">
        <f>IF($C2104="","",_xlfn.XLOOKUP($C2104,Order!$C:$C,Order!$H:$H,"",0,1))</f>
        <v>0.42799999999999999</v>
      </c>
      <c r="I2104" s="36">
        <f>IF($C2104="","",_xlfn.XLOOKUP($C2104,Order!$C:$C,Order!$O:$O,"",0,1))</f>
        <v>0</v>
      </c>
      <c r="J2104" s="4" t="str">
        <f>IF(C2104="","",Order!$O$16)</f>
        <v>WOOD FINISH (BA)</v>
      </c>
      <c r="K2104" s="36">
        <f>IF($C2104="","",_xlfn.XLOOKUP($C2104,Order!$C:$C,Order!$P:$P,"",0,1))</f>
        <v>0</v>
      </c>
      <c r="L2104" s="4">
        <f t="shared" si="32"/>
        <v>0</v>
      </c>
    </row>
    <row r="2105" spans="2:12" ht="23.25" hidden="1" customHeight="1" x14ac:dyDescent="0.25">
      <c r="B2105" s="4">
        <v>2100</v>
      </c>
      <c r="C2105" s="36" t="str">
        <f>IF(Order!$C$46="","",Order!$C$46)</f>
        <v>TG3X1.1/2 ( Retangular tube 3"x1.1 /2" with 1.00 mm tickness)</v>
      </c>
      <c r="D2105" s="36" t="str">
        <f>IF($C2105="","",_xlfn.XLOOKUP($C2105,Order!$C:$C,Order!$D:$D,"",0,1))</f>
        <v>TG3X1.12</v>
      </c>
      <c r="E2105" s="4" t="e" vm="253">
        <f>IF($C2105="","",_xlfn.XLOOKUP($C2105,Order!$C:$C,Order!$E:$E,"",0,1))</f>
        <v>#VALUE!</v>
      </c>
      <c r="F2105" s="4">
        <f>IF($C2105="","",_xlfn.XLOOKUP($C2105,Order!$C:$C,Order!$F:$F,"",0,1))</f>
        <v>6000</v>
      </c>
      <c r="G2105" s="4" t="str">
        <f>IF($C2105="","",_xlfn.XLOOKUP($C2105,Order!$C:$C,Order!$G:$G,"",0,1))</f>
        <v>6063T5</v>
      </c>
      <c r="H2105" s="4">
        <f>IF($C2105="","",_xlfn.XLOOKUP($C2105,Order!$C:$C,Order!$H:$H,"",0,1))</f>
        <v>0.61299999999999999</v>
      </c>
      <c r="I2105" s="36">
        <f>IF($C2105="","",_xlfn.XLOOKUP($C2105,Order!$C:$C,Order!$O:$O,"",0,1))</f>
        <v>0</v>
      </c>
      <c r="J2105" s="4" t="str">
        <f>IF(C2105="","",Order!$O$16)</f>
        <v>WOOD FINISH (BA)</v>
      </c>
      <c r="K2105" s="36">
        <f>IF($C2105="","",_xlfn.XLOOKUP($C2105,Order!$C:$C,Order!$P:$P,"",0,1))</f>
        <v>0</v>
      </c>
      <c r="L2105" s="4">
        <f t="shared" si="32"/>
        <v>0</v>
      </c>
    </row>
    <row r="2106" spans="2:12" ht="23.25" hidden="1" customHeight="1" x14ac:dyDescent="0.25">
      <c r="B2106" s="4">
        <v>2101</v>
      </c>
      <c r="C2106" s="36" t="str">
        <f>IF(Order!$C$47="","",Order!$C$47)</f>
        <v>TG4X2 (Rectangular Tube 4" X 2" with 1.00 mm tickness)</v>
      </c>
      <c r="D2106" s="36" t="str">
        <f>IF($C2106="","",_xlfn.XLOOKUP($C2106,Order!$C:$C,Order!$D:$D,"",0,1))</f>
        <v>TG4X2</v>
      </c>
      <c r="E2106" s="4" t="e" vm="253">
        <f>IF($C2106="","",_xlfn.XLOOKUP($C2106,Order!$C:$C,Order!$E:$E,"",0,1))</f>
        <v>#VALUE!</v>
      </c>
      <c r="F2106" s="4">
        <f>IF($C2106="","",_xlfn.XLOOKUP($C2106,Order!$C:$C,Order!$F:$F,"",0,1))</f>
        <v>6000</v>
      </c>
      <c r="G2106" s="4" t="str">
        <f>IF($C2106="","",_xlfn.XLOOKUP($C2106,Order!$C:$C,Order!$G:$G,"",0,1))</f>
        <v>6063T5</v>
      </c>
      <c r="H2106" s="4">
        <f>IF($C2106="","",_xlfn.XLOOKUP($C2106,Order!$C:$C,Order!$H:$H,"",0,1))</f>
        <v>0.82099999999999995</v>
      </c>
      <c r="I2106" s="36">
        <f>IF($C2106="","",_xlfn.XLOOKUP($C2106,Order!$C:$C,Order!$O:$O,"",0,1))</f>
        <v>0</v>
      </c>
      <c r="J2106" s="4" t="str">
        <f>IF(C2106="","",Order!$O$16)</f>
        <v>WOOD FINISH (BA)</v>
      </c>
      <c r="K2106" s="36">
        <f>IF($C2106="","",_xlfn.XLOOKUP($C2106,Order!$C:$C,Order!$P:$P,"",0,1))</f>
        <v>0</v>
      </c>
      <c r="L2106" s="4">
        <f t="shared" si="32"/>
        <v>0</v>
      </c>
    </row>
    <row r="2107" spans="2:12" ht="23.25" hidden="1" customHeight="1" x14ac:dyDescent="0.25">
      <c r="B2107" s="4">
        <v>2102</v>
      </c>
      <c r="C2107" s="36" t="str">
        <f>IF(Order!$C$48="","",Order!$C$48)</f>
        <v>PT008A (Perfil T de 1" com 0.80 mm tickness)</v>
      </c>
      <c r="D2107" s="36" t="str">
        <f>IF($C2107="","",_xlfn.XLOOKUP($C2107,Order!$C:$C,Order!$D:$D,"",0,1))</f>
        <v>PT008A</v>
      </c>
      <c r="E2107" s="4" t="e" vm="256">
        <f>IF($C2107="","",_xlfn.XLOOKUP($C2107,Order!$C:$C,Order!$E:$E,"",0,1))</f>
        <v>#VALUE!</v>
      </c>
      <c r="F2107" s="4">
        <f>IF($C2107="","",_xlfn.XLOOKUP($C2107,Order!$C:$C,Order!$F:$F,"",0,1))</f>
        <v>6000</v>
      </c>
      <c r="G2107" s="4" t="str">
        <f>IF($C2107="","",_xlfn.XLOOKUP($C2107,Order!$C:$C,Order!$G:$G,"",0,1))</f>
        <v>6063T5</v>
      </c>
      <c r="H2107" s="4">
        <f>IF($C2107="","",_xlfn.XLOOKUP($C2107,Order!$C:$C,Order!$H:$H,"",0,1))</f>
        <v>0.109</v>
      </c>
      <c r="I2107" s="36">
        <f>IF($C2107="","",_xlfn.XLOOKUP($C2107,Order!$C:$C,Order!$O:$O,"",0,1))</f>
        <v>0</v>
      </c>
      <c r="J2107" s="4" t="str">
        <f>IF(C2107="","",Order!$O$16)</f>
        <v>WOOD FINISH (BA)</v>
      </c>
      <c r="K2107" s="36">
        <f>IF($C2107="","",_xlfn.XLOOKUP($C2107,Order!$C:$C,Order!$P:$P,"",0,1))</f>
        <v>0</v>
      </c>
      <c r="L2107" s="4">
        <f t="shared" si="32"/>
        <v>0</v>
      </c>
    </row>
    <row r="2108" spans="2:12" ht="23.25" hidden="1" customHeight="1" x14ac:dyDescent="0.25">
      <c r="B2108" s="4">
        <v>2103</v>
      </c>
      <c r="C2108" s="36" t="str">
        <f>IF(Order!$C$49="","",Order!$C$49)</f>
        <v>PT008 (Perfil T de 1" com 0.90 mm tickness)</v>
      </c>
      <c r="D2108" s="36" t="str">
        <f>IF($C2108="","",_xlfn.XLOOKUP($C2108,Order!$C:$C,Order!$D:$D,"",0,1))</f>
        <v>PT008</v>
      </c>
      <c r="E2108" s="4" t="e" vm="256">
        <f>IF($C2108="","",_xlfn.XLOOKUP($C2108,Order!$C:$C,Order!$E:$E,"",0,1))</f>
        <v>#VALUE!</v>
      </c>
      <c r="F2108" s="4">
        <f>IF($C2108="","",_xlfn.XLOOKUP($C2108,Order!$C:$C,Order!$F:$F,"",0,1))</f>
        <v>6000</v>
      </c>
      <c r="G2108" s="4" t="str">
        <f>IF($C2108="","",_xlfn.XLOOKUP($C2108,Order!$C:$C,Order!$G:$G,"",0,1))</f>
        <v>6063T5</v>
      </c>
      <c r="H2108" s="4">
        <f>IF($C2108="","",_xlfn.XLOOKUP($C2108,Order!$C:$C,Order!$H:$H,"",0,1))</f>
        <v>0.123</v>
      </c>
      <c r="I2108" s="36">
        <f>IF($C2108="","",_xlfn.XLOOKUP($C2108,Order!$C:$C,Order!$O:$O,"",0,1))</f>
        <v>0</v>
      </c>
      <c r="J2108" s="4" t="str">
        <f>IF(C2108="","",Order!$O$16)</f>
        <v>WOOD FINISH (BA)</v>
      </c>
      <c r="K2108" s="36">
        <f>IF($C2108="","",_xlfn.XLOOKUP($C2108,Order!$C:$C,Order!$P:$P,"",0,1))</f>
        <v>0</v>
      </c>
      <c r="L2108" s="4">
        <f t="shared" si="32"/>
        <v>0</v>
      </c>
    </row>
    <row r="2109" spans="2:12" ht="23.25" hidden="1" customHeight="1" x14ac:dyDescent="0.25">
      <c r="B2109" s="4">
        <v>2104</v>
      </c>
      <c r="C2109" s="36" t="str">
        <f>IF(Order!$C$50="","",Order!$C$50)</f>
        <v>AF052U (U13MM)</v>
      </c>
      <c r="D2109" s="36" t="str">
        <f>IF($C2109="","",_xlfn.XLOOKUP($C2109,Order!$C:$C,Order!$D:$D,"",0,1))</f>
        <v>AF052U</v>
      </c>
      <c r="E2109" s="4" t="e" vm="257">
        <f>IF($C2109="","",_xlfn.XLOOKUP($C2109,Order!$C:$C,Order!$E:$E,"",0,1))</f>
        <v>#VALUE!</v>
      </c>
      <c r="F2109" s="4">
        <f>IF($C2109="","",_xlfn.XLOOKUP($C2109,Order!$C:$C,Order!$F:$F,"",0,1))</f>
        <v>6000</v>
      </c>
      <c r="G2109" s="4" t="str">
        <f>IF($C2109="","",_xlfn.XLOOKUP($C2109,Order!$C:$C,Order!$G:$G,"",0,1))</f>
        <v>6063T5</v>
      </c>
      <c r="H2109" s="4">
        <f>IF($C2109="","",_xlfn.XLOOKUP($C2109,Order!$C:$C,Order!$H:$H,"",0,1))</f>
        <v>0.129</v>
      </c>
      <c r="I2109" s="36">
        <f>IF($C2109="","",_xlfn.XLOOKUP($C2109,Order!$C:$C,Order!$O:$O,"",0,1))</f>
        <v>0</v>
      </c>
      <c r="J2109" s="4" t="str">
        <f>IF(C2109="","",Order!$O$16)</f>
        <v>WOOD FINISH (BA)</v>
      </c>
      <c r="K2109" s="36">
        <f>IF($C2109="","",_xlfn.XLOOKUP($C2109,Order!$C:$C,Order!$P:$P,"",0,1))</f>
        <v>0</v>
      </c>
      <c r="L2109" s="4">
        <f t="shared" si="32"/>
        <v>0</v>
      </c>
    </row>
    <row r="2110" spans="2:12" ht="23.25" hidden="1" customHeight="1" x14ac:dyDescent="0.25">
      <c r="B2110" s="4">
        <v>2105</v>
      </c>
      <c r="C2110" s="36" t="str">
        <f>IF(Order!$C$51="","",Order!$C$51)</f>
        <v>PU639A</v>
      </c>
      <c r="D2110" s="36" t="str">
        <f>IF($C2110="","",_xlfn.XLOOKUP($C2110,Order!$C:$C,Order!$D:$D,"",0,1))</f>
        <v>PU639A</v>
      </c>
      <c r="E2110" s="4" t="e" vm="258">
        <f>IF($C2110="","",_xlfn.XLOOKUP($C2110,Order!$C:$C,Order!$E:$E,"",0,1))</f>
        <v>#VALUE!</v>
      </c>
      <c r="F2110" s="4">
        <f>IF($C2110="","",_xlfn.XLOOKUP($C2110,Order!$C:$C,Order!$F:$F,"",0,1))</f>
        <v>6000</v>
      </c>
      <c r="G2110" s="4" t="str">
        <f>IF($C2110="","",_xlfn.XLOOKUP($C2110,Order!$C:$C,Order!$G:$G,"",0,1))</f>
        <v>6063T5</v>
      </c>
      <c r="H2110" s="4">
        <f>IF($C2110="","",_xlfn.XLOOKUP($C2110,Order!$C:$C,Order!$H:$H,"",0,1))</f>
        <v>0.254</v>
      </c>
      <c r="I2110" s="36">
        <f>IF($C2110="","",_xlfn.XLOOKUP($C2110,Order!$C:$C,Order!$O:$O,"",0,1))</f>
        <v>0</v>
      </c>
      <c r="J2110" s="4" t="str">
        <f>IF(C2110="","",Order!$O$16)</f>
        <v>WOOD FINISH (BA)</v>
      </c>
      <c r="K2110" s="36">
        <f>IF($C2110="","",_xlfn.XLOOKUP($C2110,Order!$C:$C,Order!$P:$P,"",0,1))</f>
        <v>0</v>
      </c>
      <c r="L2110" s="4">
        <f t="shared" si="32"/>
        <v>0</v>
      </c>
    </row>
    <row r="2111" spans="2:12" ht="23.25" hidden="1" customHeight="1" x14ac:dyDescent="0.25">
      <c r="B2111" s="4">
        <v>2106</v>
      </c>
      <c r="C2111" s="36" t="str">
        <f>IF(Order!$C$52="","",Order!$C$52)</f>
        <v>PU639</v>
      </c>
      <c r="D2111" s="36" t="str">
        <f>IF($C2111="","",_xlfn.XLOOKUP($C2111,Order!$C:$C,Order!$D:$D,"",0,1))</f>
        <v>PU639</v>
      </c>
      <c r="E2111" s="4" t="e" vm="258">
        <f>IF($C2111="","",_xlfn.XLOOKUP($C2111,Order!$C:$C,Order!$E:$E,"",0,1))</f>
        <v>#VALUE!</v>
      </c>
      <c r="F2111" s="4">
        <f>IF($C2111="","",_xlfn.XLOOKUP($C2111,Order!$C:$C,Order!$F:$F,"",0,1))</f>
        <v>6000</v>
      </c>
      <c r="G2111" s="4" t="str">
        <f>IF($C2111="","",_xlfn.XLOOKUP($C2111,Order!$C:$C,Order!$G:$G,"",0,1))</f>
        <v>6063T5</v>
      </c>
      <c r="H2111" s="4">
        <f>IF($C2111="","",_xlfn.XLOOKUP($C2111,Order!$C:$C,Order!$H:$H,"",0,1))</f>
        <v>0.34499999999999997</v>
      </c>
      <c r="I2111" s="36">
        <f>IF($C2111="","",_xlfn.XLOOKUP($C2111,Order!$C:$C,Order!$O:$O,"",0,1))</f>
        <v>0</v>
      </c>
      <c r="J2111" s="4" t="str">
        <f>IF(C2111="","",Order!$O$16)</f>
        <v>WOOD FINISH (BA)</v>
      </c>
      <c r="K2111" s="36">
        <f>IF($C2111="","",_xlfn.XLOOKUP($C2111,Order!$C:$C,Order!$P:$P,"",0,1))</f>
        <v>0</v>
      </c>
      <c r="L2111" s="4">
        <f t="shared" si="32"/>
        <v>0</v>
      </c>
    </row>
    <row r="2112" spans="2:12" ht="23.25" hidden="1" customHeight="1" x14ac:dyDescent="0.25">
      <c r="B2112" s="4">
        <v>2107</v>
      </c>
      <c r="C2112" s="36" t="str">
        <f>IF(Order!$C$53="","",Order!$C$53)</f>
        <v>L1/2 (Angle L 1/2" with 0.90 mm tickness)</v>
      </c>
      <c r="D2112" s="36" t="str">
        <f>IF($C2112="","",_xlfn.XLOOKUP($C2112,Order!$C:$C,Order!$D:$D,"",0,1))</f>
        <v>L12</v>
      </c>
      <c r="E2112" s="4" t="e" vm="259">
        <f>IF($C2112="","",_xlfn.XLOOKUP($C2112,Order!$C:$C,Order!$E:$E,"",0,1))</f>
        <v>#VALUE!</v>
      </c>
      <c r="F2112" s="4">
        <f>IF($C2112="","",_xlfn.XLOOKUP($C2112,Order!$C:$C,Order!$F:$F,"",0,1))</f>
        <v>6000</v>
      </c>
      <c r="G2112" s="4" t="str">
        <f>IF($C2112="","",_xlfn.XLOOKUP($C2112,Order!$C:$C,Order!$G:$G,"",0,1))</f>
        <v>6063T5</v>
      </c>
      <c r="H2112" s="4">
        <f>IF($C2112="","",_xlfn.XLOOKUP($C2112,Order!$C:$C,Order!$H:$H,"",0,1))</f>
        <v>0.06</v>
      </c>
      <c r="I2112" s="36">
        <f>IF($C2112="","",_xlfn.XLOOKUP($C2112,Order!$C:$C,Order!$O:$O,"",0,1))</f>
        <v>0</v>
      </c>
      <c r="J2112" s="4" t="str">
        <f>IF(C2112="","",Order!$O$16)</f>
        <v>WOOD FINISH (BA)</v>
      </c>
      <c r="K2112" s="36">
        <f>IF($C2112="","",_xlfn.XLOOKUP($C2112,Order!$C:$C,Order!$P:$P,"",0,1))</f>
        <v>0</v>
      </c>
      <c r="L2112" s="4">
        <f t="shared" si="32"/>
        <v>0</v>
      </c>
    </row>
    <row r="2113" spans="2:12" ht="23.25" hidden="1" customHeight="1" x14ac:dyDescent="0.25">
      <c r="B2113" s="4">
        <v>2108</v>
      </c>
      <c r="C2113" s="36" t="str">
        <f>IF(Order!$C$54="","",Order!$C$54)</f>
        <v>L5/8 (Angle L 5/8" with 0.90 mm tickness)</v>
      </c>
      <c r="D2113" s="36" t="str">
        <f>IF($C2113="","",_xlfn.XLOOKUP($C2113,Order!$C:$C,Order!$D:$D,"",0,1))</f>
        <v>L5-8</v>
      </c>
      <c r="E2113" s="4" t="e" vm="259">
        <f>IF($C2113="","",_xlfn.XLOOKUP($C2113,Order!$C:$C,Order!$E:$E,"",0,1))</f>
        <v>#VALUE!</v>
      </c>
      <c r="F2113" s="4">
        <f>IF($C2113="","",_xlfn.XLOOKUP($C2113,Order!$C:$C,Order!$F:$F,"",0,1))</f>
        <v>6000</v>
      </c>
      <c r="G2113" s="4" t="str">
        <f>IF($C2113="","",_xlfn.XLOOKUP($C2113,Order!$C:$C,Order!$G:$G,"",0,1))</f>
        <v>6063T5</v>
      </c>
      <c r="H2113" s="4">
        <f>IF($C2113="","",_xlfn.XLOOKUP($C2113,Order!$C:$C,Order!$H:$H,"",0,1))</f>
        <v>7.5999999999999998E-2</v>
      </c>
      <c r="I2113" s="36">
        <f>IF($C2113="","",_xlfn.XLOOKUP($C2113,Order!$C:$C,Order!$O:$O,"",0,1))</f>
        <v>0</v>
      </c>
      <c r="J2113" s="4" t="str">
        <f>IF(C2113="","",Order!$O$16)</f>
        <v>WOOD FINISH (BA)</v>
      </c>
      <c r="K2113" s="36">
        <f>IF($C2113="","",_xlfn.XLOOKUP($C2113,Order!$C:$C,Order!$P:$P,"",0,1))</f>
        <v>0</v>
      </c>
      <c r="L2113" s="4">
        <f t="shared" si="32"/>
        <v>0</v>
      </c>
    </row>
    <row r="2114" spans="2:12" ht="23.25" hidden="1" customHeight="1" x14ac:dyDescent="0.25">
      <c r="B2114" s="4">
        <v>2109</v>
      </c>
      <c r="C2114" s="36" t="str">
        <f>IF(Order!$C$55="","",Order!$C$55)</f>
        <v>L3/4 (Angle L 3/4" with 0.80 mm tickness)</v>
      </c>
      <c r="D2114" s="36" t="str">
        <f>IF($C2114="","",_xlfn.XLOOKUP($C2114,Order!$C:$C,Order!$D:$D,"",0,1))</f>
        <v>L34</v>
      </c>
      <c r="E2114" s="4" t="e" vm="259">
        <f>IF($C2114="","",_xlfn.XLOOKUP($C2114,Order!$C:$C,Order!$E:$E,"",0,1))</f>
        <v>#VALUE!</v>
      </c>
      <c r="F2114" s="4">
        <f>IF($C2114="","",_xlfn.XLOOKUP($C2114,Order!$C:$C,Order!$F:$F,"",0,1))</f>
        <v>6000</v>
      </c>
      <c r="G2114" s="4" t="str">
        <f>IF($C2114="","",_xlfn.XLOOKUP($C2114,Order!$C:$C,Order!$G:$G,"",0,1))</f>
        <v>6063T5</v>
      </c>
      <c r="H2114" s="4">
        <f>IF($C2114="","",_xlfn.XLOOKUP($C2114,Order!$C:$C,Order!$H:$H,"",0,1))</f>
        <v>8.1000000000000003E-2</v>
      </c>
      <c r="I2114" s="36">
        <f>IF($C2114="","",_xlfn.XLOOKUP($C2114,Order!$C:$C,Order!$O:$O,"",0,1))</f>
        <v>0</v>
      </c>
      <c r="J2114" s="4" t="str">
        <f>IF(C2114="","",Order!$O$16)</f>
        <v>WOOD FINISH (BA)</v>
      </c>
      <c r="K2114" s="36">
        <f>IF($C2114="","",_xlfn.XLOOKUP($C2114,Order!$C:$C,Order!$P:$P,"",0,1))</f>
        <v>0</v>
      </c>
      <c r="L2114" s="4">
        <f t="shared" si="32"/>
        <v>0</v>
      </c>
    </row>
    <row r="2115" spans="2:12" ht="23.25" hidden="1" customHeight="1" x14ac:dyDescent="0.25">
      <c r="B2115" s="4">
        <v>2110</v>
      </c>
      <c r="C2115" s="36" t="str">
        <f>IF(Order!$C$56="","",Order!$C$56)</f>
        <v>L1 (Angle L 1" with 0.90 mm thickness)</v>
      </c>
      <c r="D2115" s="36" t="str">
        <f>IF($C2115="","",_xlfn.XLOOKUP($C2115,Order!$C:$C,Order!$D:$D,"",0,1))</f>
        <v>L1</v>
      </c>
      <c r="E2115" s="4" t="e" vm="259">
        <f>IF($C2115="","",_xlfn.XLOOKUP($C2115,Order!$C:$C,Order!$E:$E,"",0,1))</f>
        <v>#VALUE!</v>
      </c>
      <c r="F2115" s="4">
        <f>IF($C2115="","",_xlfn.XLOOKUP($C2115,Order!$C:$C,Order!$F:$F,"",0,1))</f>
        <v>6000</v>
      </c>
      <c r="G2115" s="4" t="str">
        <f>IF($C2115="","",_xlfn.XLOOKUP($C2115,Order!$C:$C,Order!$G:$G,"",0,1))</f>
        <v>6063T5</v>
      </c>
      <c r="H2115" s="4">
        <f>IF($C2115="","",_xlfn.XLOOKUP($C2115,Order!$C:$C,Order!$H:$H,"",0,1))</f>
        <v>0.122</v>
      </c>
      <c r="I2115" s="36">
        <f>IF($C2115="","",_xlfn.XLOOKUP($C2115,Order!$C:$C,Order!$O:$O,"",0,1))</f>
        <v>0</v>
      </c>
      <c r="J2115" s="4" t="str">
        <f>IF(C2115="","",Order!$O$16)</f>
        <v>WOOD FINISH (BA)</v>
      </c>
      <c r="K2115" s="36">
        <f>IF($C2115="","",_xlfn.XLOOKUP($C2115,Order!$C:$C,Order!$P:$P,"",0,1))</f>
        <v>0</v>
      </c>
      <c r="L2115" s="4">
        <f t="shared" si="32"/>
        <v>0</v>
      </c>
    </row>
    <row r="2116" spans="2:12" ht="23.25" hidden="1" customHeight="1" x14ac:dyDescent="0.25">
      <c r="B2116" s="4">
        <v>2111</v>
      </c>
      <c r="C2116" s="36" t="str">
        <f>IF(Order!$C$57="","",Order!$C$57)</f>
        <v>L1X1/16 (Angle L1 x 1/16")</v>
      </c>
      <c r="D2116" s="36" t="str">
        <f>IF($C2116="","",_xlfn.XLOOKUP($C2116,Order!$C:$C,Order!$D:$D,"",0,1))</f>
        <v>L1X1/16</v>
      </c>
      <c r="E2116" s="4" t="e" vm="259">
        <f>IF($C2116="","",_xlfn.XLOOKUP($C2116,Order!$C:$C,Order!$E:$E,"",0,1))</f>
        <v>#VALUE!</v>
      </c>
      <c r="F2116" s="4">
        <f>IF($C2116="","",_xlfn.XLOOKUP($C2116,Order!$C:$C,Order!$F:$F,"",0,1))</f>
        <v>6000</v>
      </c>
      <c r="G2116" s="4" t="str">
        <f>IF($C2116="","",_xlfn.XLOOKUP($C2116,Order!$C:$C,Order!$G:$G,"",0,1))</f>
        <v>6063T5</v>
      </c>
      <c r="H2116" s="4">
        <f>IF($C2116="","",_xlfn.XLOOKUP($C2116,Order!$C:$C,Order!$H:$H,"",0,1))</f>
        <v>0.21299999999999999</v>
      </c>
      <c r="I2116" s="36">
        <f>IF($C2116="","",_xlfn.XLOOKUP($C2116,Order!$C:$C,Order!$O:$O,"",0,1))</f>
        <v>0</v>
      </c>
      <c r="J2116" s="4" t="str">
        <f>IF(C2116="","",Order!$O$16)</f>
        <v>WOOD FINISH (BA)</v>
      </c>
      <c r="K2116" s="36">
        <f>IF($C2116="","",_xlfn.XLOOKUP($C2116,Order!$C:$C,Order!$P:$P,"",0,1))</f>
        <v>0</v>
      </c>
      <c r="L2116" s="4">
        <f t="shared" si="32"/>
        <v>0</v>
      </c>
    </row>
    <row r="2117" spans="2:12" ht="23.25" hidden="1" customHeight="1" x14ac:dyDescent="0.25">
      <c r="B2117" s="4">
        <v>2112</v>
      </c>
      <c r="C2117" s="36" t="str">
        <f>IF(Order!$C$58="","",Order!$C$58)</f>
        <v>L1X1/8 (Angle L1 x 1/8" )</v>
      </c>
      <c r="D2117" s="36" t="str">
        <f>IF($C2117="","",_xlfn.XLOOKUP($C2117,Order!$C:$C,Order!$D:$D,"",0,1))</f>
        <v>L1X1/8</v>
      </c>
      <c r="E2117" s="4" t="e" vm="259">
        <f>IF($C2117="","",_xlfn.XLOOKUP($C2117,Order!$C:$C,Order!$E:$E,"",0,1))</f>
        <v>#VALUE!</v>
      </c>
      <c r="F2117" s="4">
        <f>IF($C2117="","",_xlfn.XLOOKUP($C2117,Order!$C:$C,Order!$F:$F,"",0,1))</f>
        <v>6000</v>
      </c>
      <c r="G2117" s="4" t="str">
        <f>IF($C2117="","",_xlfn.XLOOKUP($C2117,Order!$C:$C,Order!$G:$G,"",0,1))</f>
        <v>6063T5</v>
      </c>
      <c r="H2117" s="4">
        <f>IF($C2117="","",_xlfn.XLOOKUP($C2117,Order!$C:$C,Order!$H:$H,"",0,1))</f>
        <v>0.41299999999999998</v>
      </c>
      <c r="I2117" s="36">
        <f>IF($C2117="","",_xlfn.XLOOKUP($C2117,Order!$C:$C,Order!$O:$O,"",0,1))</f>
        <v>0</v>
      </c>
      <c r="J2117" s="4" t="str">
        <f>IF(C2117="","",Order!$O$16)</f>
        <v>WOOD FINISH (BA)</v>
      </c>
      <c r="K2117" s="36">
        <f>IF($C2117="","",_xlfn.XLOOKUP($C2117,Order!$C:$C,Order!$P:$P,"",0,1))</f>
        <v>0</v>
      </c>
      <c r="L2117" s="4">
        <f t="shared" si="32"/>
        <v>0</v>
      </c>
    </row>
    <row r="2118" spans="2:12" ht="23.25" hidden="1" customHeight="1" x14ac:dyDescent="0.25">
      <c r="B2118" s="4">
        <v>2113</v>
      </c>
      <c r="C2118" s="36" t="str">
        <f>IF(Order!$C$59="","",Order!$C$59)</f>
        <v xml:space="preserve">L1.1/2X1/16 (Angle L 1.1/2x1/16" )　 </v>
      </c>
      <c r="D2118" s="36" t="str">
        <f>IF($C2118="","",_xlfn.XLOOKUP($C2118,Order!$C:$C,Order!$D:$D,"",0,1))</f>
        <v>L1.1/2X1/16</v>
      </c>
      <c r="E2118" s="4" t="e" vm="259">
        <f>IF($C2118="","",_xlfn.XLOOKUP($C2118,Order!$C:$C,Order!$E:$E,"",0,1))</f>
        <v>#VALUE!</v>
      </c>
      <c r="F2118" s="4">
        <f>IF($C2118="","",_xlfn.XLOOKUP($C2118,Order!$C:$C,Order!$F:$F,"",0,1))</f>
        <v>6000</v>
      </c>
      <c r="G2118" s="4" t="str">
        <f>IF($C2118="","",_xlfn.XLOOKUP($C2118,Order!$C:$C,Order!$G:$G,"",0,1))</f>
        <v>6063T5</v>
      </c>
      <c r="H2118" s="4">
        <f>IF($C2118="","",_xlfn.XLOOKUP($C2118,Order!$C:$C,Order!$H:$H,"",0,1))</f>
        <v>0.32400000000000001</v>
      </c>
      <c r="I2118" s="36">
        <f>IF($C2118="","",_xlfn.XLOOKUP($C2118,Order!$C:$C,Order!$O:$O,"",0,1))</f>
        <v>0</v>
      </c>
      <c r="J2118" s="4" t="str">
        <f>IF(C2118="","",Order!$O$16)</f>
        <v>WOOD FINISH (BA)</v>
      </c>
      <c r="K2118" s="36">
        <f>IF($C2118="","",_xlfn.XLOOKUP($C2118,Order!$C:$C,Order!$P:$P,"",0,1))</f>
        <v>0</v>
      </c>
      <c r="L2118" s="4">
        <f t="shared" si="32"/>
        <v>0</v>
      </c>
    </row>
    <row r="2119" spans="2:12" ht="23.25" hidden="1" customHeight="1" x14ac:dyDescent="0.25">
      <c r="B2119" s="4">
        <v>2114</v>
      </c>
      <c r="C2119" s="36" t="str">
        <f>IF(Order!$C$60="","",Order!$C$60)</f>
        <v xml:space="preserve">L1.1/2X1/8 (Angle L 1.1/2x1/8") 　 </v>
      </c>
      <c r="D2119" s="36" t="str">
        <f>IF($C2119="","",_xlfn.XLOOKUP($C2119,Order!$C:$C,Order!$D:$D,"",0,1))</f>
        <v>L1.1/2X1/8</v>
      </c>
      <c r="E2119" s="4" t="e" vm="259">
        <f>IF($C2119="","",_xlfn.XLOOKUP($C2119,Order!$C:$C,Order!$E:$E,"",0,1))</f>
        <v>#VALUE!</v>
      </c>
      <c r="F2119" s="4">
        <f>IF($C2119="","",_xlfn.XLOOKUP($C2119,Order!$C:$C,Order!$F:$F,"",0,1))</f>
        <v>6000</v>
      </c>
      <c r="G2119" s="4" t="str">
        <f>IF($C2119="","",_xlfn.XLOOKUP($C2119,Order!$C:$C,Order!$G:$G,"",0,1))</f>
        <v>6063T5</v>
      </c>
      <c r="H2119" s="4">
        <f>IF($C2119="","",_xlfn.XLOOKUP($C2119,Order!$C:$C,Order!$H:$H,"",0,1))</f>
        <v>0.63400000000000001</v>
      </c>
      <c r="I2119" s="36">
        <f>IF($C2119="","",_xlfn.XLOOKUP($C2119,Order!$C:$C,Order!$O:$O,"",0,1))</f>
        <v>0</v>
      </c>
      <c r="J2119" s="4" t="str">
        <f>IF(C2119="","",Order!$O$16)</f>
        <v>WOOD FINISH (BA)</v>
      </c>
      <c r="K2119" s="36">
        <f>IF($C2119="","",_xlfn.XLOOKUP($C2119,Order!$C:$C,Order!$P:$P,"",0,1))</f>
        <v>0</v>
      </c>
      <c r="L2119" s="4">
        <f t="shared" ref="L2119:L2182" si="33">IF(C2119="","",F2119/1000*H2119*I2119)</f>
        <v>0</v>
      </c>
    </row>
    <row r="2120" spans="2:12" ht="23.25" hidden="1" customHeight="1" x14ac:dyDescent="0.25">
      <c r="B2120" s="4">
        <v>2115</v>
      </c>
      <c r="C2120" s="36" t="str">
        <f>IF(Order!$C$61="","",Order!$C$61)</f>
        <v>L2X1/16 (Angle L 2 x 1/16")</v>
      </c>
      <c r="D2120" s="36" t="str">
        <f>IF($C2120="","",_xlfn.XLOOKUP($C2120,Order!$C:$C,Order!$D:$D,"",0,1))</f>
        <v>L2X1/16</v>
      </c>
      <c r="E2120" s="4" t="e" vm="259">
        <f>IF($C2120="","",_xlfn.XLOOKUP($C2120,Order!$C:$C,Order!$E:$E,"",0,1))</f>
        <v>#VALUE!</v>
      </c>
      <c r="F2120" s="4">
        <f>IF($C2120="","",_xlfn.XLOOKUP($C2120,Order!$C:$C,Order!$F:$F,"",0,1))</f>
        <v>6000</v>
      </c>
      <c r="G2120" s="4" t="str">
        <f>IF($C2120="","",_xlfn.XLOOKUP($C2120,Order!$C:$C,Order!$G:$G,"",0,1))</f>
        <v>6063T5</v>
      </c>
      <c r="H2120" s="4">
        <f>IF($C2120="","",_xlfn.XLOOKUP($C2120,Order!$C:$C,Order!$H:$H,"",0,1))</f>
        <v>0.434</v>
      </c>
      <c r="I2120" s="36">
        <f>IF($C2120="","",_xlfn.XLOOKUP($C2120,Order!$C:$C,Order!$O:$O,"",0,1))</f>
        <v>0</v>
      </c>
      <c r="J2120" s="4" t="str">
        <f>IF(C2120="","",Order!$O$16)</f>
        <v>WOOD FINISH (BA)</v>
      </c>
      <c r="K2120" s="36">
        <f>IF($C2120="","",_xlfn.XLOOKUP($C2120,Order!$C:$C,Order!$P:$P,"",0,1))</f>
        <v>0</v>
      </c>
      <c r="L2120" s="4">
        <f t="shared" si="33"/>
        <v>0</v>
      </c>
    </row>
    <row r="2121" spans="2:12" ht="23.25" hidden="1" customHeight="1" x14ac:dyDescent="0.25">
      <c r="B2121" s="4">
        <v>2116</v>
      </c>
      <c r="C2121" s="36" t="str">
        <f>IF(Order!$C$62="","",Order!$C$62)</f>
        <v>L2 x 1/8  (Angle L 2 x 1/8")</v>
      </c>
      <c r="D2121" s="36" t="str">
        <f>IF($C2121="","",_xlfn.XLOOKUP($C2121,Order!$C:$C,Order!$D:$D,"",0,1))</f>
        <v>L2x1/8</v>
      </c>
      <c r="E2121" s="4" t="e" vm="259">
        <f>IF($C2121="","",_xlfn.XLOOKUP($C2121,Order!$C:$C,Order!$E:$E,"",0,1))</f>
        <v>#VALUE!</v>
      </c>
      <c r="F2121" s="4">
        <f>IF($C2121="","",_xlfn.XLOOKUP($C2121,Order!$C:$C,Order!$F:$F,"",0,1))</f>
        <v>6000</v>
      </c>
      <c r="G2121" s="4" t="str">
        <f>IF($C2121="","",_xlfn.XLOOKUP($C2121,Order!$C:$C,Order!$G:$G,"",0,1))</f>
        <v>6063T5</v>
      </c>
      <c r="H2121" s="4">
        <f>IF($C2121="","",_xlfn.XLOOKUP($C2121,Order!$C:$C,Order!$H:$H,"",0,1))</f>
        <v>0.85399999999999998</v>
      </c>
      <c r="I2121" s="36">
        <f>IF($C2121="","",_xlfn.XLOOKUP($C2121,Order!$C:$C,Order!$O:$O,"",0,1))</f>
        <v>0</v>
      </c>
      <c r="J2121" s="4" t="str">
        <f>IF(C2121="","",Order!$O$16)</f>
        <v>WOOD FINISH (BA)</v>
      </c>
      <c r="K2121" s="36">
        <f>IF($C2121="","",_xlfn.XLOOKUP($C2121,Order!$C:$C,Order!$P:$P,"",0,1))</f>
        <v>0</v>
      </c>
      <c r="L2121" s="4">
        <f t="shared" si="33"/>
        <v>0</v>
      </c>
    </row>
    <row r="2122" spans="2:12" ht="23.25" hidden="1" customHeight="1" x14ac:dyDescent="0.25">
      <c r="B2122" s="4">
        <v>2117</v>
      </c>
      <c r="C2122" s="36" t="str">
        <f>IF(Order!$C$63="","",Order!$C$63)</f>
        <v>TRS3/16 (Round  solid 3/16")</v>
      </c>
      <c r="D2122" s="36" t="str">
        <f>IF($C2122="","",_xlfn.XLOOKUP($C2122,Order!$C:$C,Order!$D:$D,"",0,1))</f>
        <v>TRS3/16</v>
      </c>
      <c r="E2122" s="4" t="e" vm="260">
        <f>IF($C2122="","",_xlfn.XLOOKUP($C2122,Order!$C:$C,Order!$E:$E,"",0,1))</f>
        <v>#VALUE!</v>
      </c>
      <c r="F2122" s="4">
        <f>IF($C2122="","",_xlfn.XLOOKUP($C2122,Order!$C:$C,Order!$F:$F,"",0,1))</f>
        <v>6000</v>
      </c>
      <c r="G2122" s="4" t="str">
        <f>IF($C2122="","",_xlfn.XLOOKUP($C2122,Order!$C:$C,Order!$G:$G,"",0,1))</f>
        <v>6063T5</v>
      </c>
      <c r="H2122" s="4">
        <f>IF($C2122="","",_xlfn.XLOOKUP($C2122,Order!$C:$C,Order!$H:$H,"",0,1))</f>
        <v>4.7E-2</v>
      </c>
      <c r="I2122" s="36">
        <f>IF($C2122="","",_xlfn.XLOOKUP($C2122,Order!$C:$C,Order!$O:$O,"",0,1))</f>
        <v>0</v>
      </c>
      <c r="J2122" s="4" t="str">
        <f>IF(C2122="","",Order!$O$16)</f>
        <v>WOOD FINISH (BA)</v>
      </c>
      <c r="K2122" s="36">
        <f>IF($C2122="","",_xlfn.XLOOKUP($C2122,Order!$C:$C,Order!$P:$P,"",0,1))</f>
        <v>0</v>
      </c>
      <c r="L2122" s="4">
        <f t="shared" si="33"/>
        <v>0</v>
      </c>
    </row>
    <row r="2123" spans="2:12" ht="23.25" hidden="1" customHeight="1" x14ac:dyDescent="0.25">
      <c r="B2123" s="4">
        <v>2118</v>
      </c>
      <c r="C2123" s="36" t="str">
        <f>IF(Order!$C$64="","",Order!$C$64)</f>
        <v>TRS1/4 (Round  solid 1/4")</v>
      </c>
      <c r="D2123" s="36" t="str">
        <f>IF($C2123="","",_xlfn.XLOOKUP($C2123,Order!$C:$C,Order!$D:$D,"",0,1))</f>
        <v>TRS1/4</v>
      </c>
      <c r="E2123" s="4" t="e" vm="260">
        <f>IF($C2123="","",_xlfn.XLOOKUP($C2123,Order!$C:$C,Order!$E:$E,"",0,1))</f>
        <v>#VALUE!</v>
      </c>
      <c r="F2123" s="4">
        <f>IF($C2123="","",_xlfn.XLOOKUP($C2123,Order!$C:$C,Order!$F:$F,"",0,1))</f>
        <v>6000</v>
      </c>
      <c r="G2123" s="4" t="str">
        <f>IF($C2123="","",_xlfn.XLOOKUP($C2123,Order!$C:$C,Order!$G:$G,"",0,1))</f>
        <v>6063T5</v>
      </c>
      <c r="H2123" s="4">
        <f>IF($C2123="","",_xlfn.XLOOKUP($C2123,Order!$C:$C,Order!$H:$H,"",0,1))</f>
        <v>8.5999999999999993E-2</v>
      </c>
      <c r="I2123" s="36">
        <f>IF($C2123="","",_xlfn.XLOOKUP($C2123,Order!$C:$C,Order!$O:$O,"",0,1))</f>
        <v>0</v>
      </c>
      <c r="J2123" s="4" t="str">
        <f>IF(C2123="","",Order!$O$16)</f>
        <v>WOOD FINISH (BA)</v>
      </c>
      <c r="K2123" s="36">
        <f>IF($C2123="","",_xlfn.XLOOKUP($C2123,Order!$C:$C,Order!$P:$P,"",0,1))</f>
        <v>0</v>
      </c>
      <c r="L2123" s="4">
        <f t="shared" si="33"/>
        <v>0</v>
      </c>
    </row>
    <row r="2124" spans="2:12" ht="23.25" hidden="1" customHeight="1" x14ac:dyDescent="0.25">
      <c r="B2124" s="4">
        <v>2119</v>
      </c>
      <c r="C2124" s="36" t="str">
        <f>IF(Order!$C$65="","",Order!$C$65)</f>
        <v>TQS1/4 (Square solid 1/4")</v>
      </c>
      <c r="D2124" s="36" t="str">
        <f>IF($C2124="","",_xlfn.XLOOKUP($C2124,Order!$C:$C,Order!$D:$D,"",0,1))</f>
        <v>TQS1/4</v>
      </c>
      <c r="E2124" s="4" t="e" vm="261">
        <f>IF($C2124="","",_xlfn.XLOOKUP($C2124,Order!$C:$C,Order!$E:$E,"",0,1))</f>
        <v>#VALUE!</v>
      </c>
      <c r="F2124" s="4">
        <f>IF($C2124="","",_xlfn.XLOOKUP($C2124,Order!$C:$C,Order!$F:$F,"",0,1))</f>
        <v>6000</v>
      </c>
      <c r="G2124" s="4" t="str">
        <f>IF($C2124="","",_xlfn.XLOOKUP($C2124,Order!$C:$C,Order!$G:$G,"",0,1))</f>
        <v>6063T5</v>
      </c>
      <c r="H2124" s="4">
        <f>IF($C2124="","",_xlfn.XLOOKUP($C2124,Order!$C:$C,Order!$H:$H,"",0,1))</f>
        <v>0.11</v>
      </c>
      <c r="I2124" s="36">
        <f>IF($C2124="","",_xlfn.XLOOKUP($C2124,Order!$C:$C,Order!$O:$O,"",0,1))</f>
        <v>0</v>
      </c>
      <c r="J2124" s="4" t="str">
        <f>IF(C2124="","",Order!$O$16)</f>
        <v>WOOD FINISH (BA)</v>
      </c>
      <c r="K2124" s="36">
        <f>IF($C2124="","",_xlfn.XLOOKUP($C2124,Order!$C:$C,Order!$P:$P,"",0,1))</f>
        <v>0</v>
      </c>
      <c r="L2124" s="4">
        <f t="shared" si="33"/>
        <v>0</v>
      </c>
    </row>
    <row r="2125" spans="2:12" ht="23.25" hidden="1" customHeight="1" x14ac:dyDescent="0.25">
      <c r="B2125" s="4">
        <v>2120</v>
      </c>
      <c r="C2125" s="36" t="str">
        <f>IF(Order!$C$66="","",Order!$C$66)</f>
        <v/>
      </c>
      <c r="D2125" s="36" t="str">
        <f>IF($C2125="","",_xlfn.XLOOKUP($C2125,Order!$C:$C,Order!$D:$D,"",0,1))</f>
        <v/>
      </c>
      <c r="E2125" s="4" t="str">
        <f>IF($C2125="","",_xlfn.XLOOKUP($C2125,Order!$C:$C,Order!$E:$E,"",0,1))</f>
        <v/>
      </c>
      <c r="F2125" s="4" t="str">
        <f>IF($C2125="","",_xlfn.XLOOKUP($C2125,Order!$C:$C,Order!$F:$F,"",0,1))</f>
        <v/>
      </c>
      <c r="G2125" s="4" t="str">
        <f>IF($C2125="","",_xlfn.XLOOKUP($C2125,Order!$C:$C,Order!$G:$G,"",0,1))</f>
        <v/>
      </c>
      <c r="H2125" s="4" t="str">
        <f>IF($C2125="","",_xlfn.XLOOKUP($C2125,Order!$C:$C,Order!$H:$H,"",0,1))</f>
        <v/>
      </c>
      <c r="I2125" s="36" t="str">
        <f>IF($C2125="","",_xlfn.XLOOKUP($C2125,Order!$C:$C,Order!$O:$O,"",0,1))</f>
        <v/>
      </c>
      <c r="J2125" s="4" t="str">
        <f>IF(C2125="","",Order!$O$16)</f>
        <v/>
      </c>
      <c r="K2125" s="36" t="str">
        <f>IF($C2125="","",_xlfn.XLOOKUP($C2125,Order!$C:$C,Order!$P:$P,"",0,1))</f>
        <v/>
      </c>
      <c r="L2125" s="4" t="str">
        <f t="shared" si="33"/>
        <v/>
      </c>
    </row>
    <row r="2126" spans="2:12" ht="23.25" hidden="1" customHeight="1" x14ac:dyDescent="0.25">
      <c r="B2126" s="4">
        <v>2121</v>
      </c>
      <c r="C2126" s="36" t="str">
        <f>IF(Order!$C$67="","",Order!$C$67)</f>
        <v/>
      </c>
      <c r="D2126" s="36" t="str">
        <f>IF($C2126="","",_xlfn.XLOOKUP($C2126,Order!$C:$C,Order!$D:$D,"",0,1))</f>
        <v/>
      </c>
      <c r="E2126" s="4" t="str">
        <f>IF($C2126="","",_xlfn.XLOOKUP($C2126,Order!$C:$C,Order!$E:$E,"",0,1))</f>
        <v/>
      </c>
      <c r="F2126" s="4" t="str">
        <f>IF($C2126="","",_xlfn.XLOOKUP($C2126,Order!$C:$C,Order!$F:$F,"",0,1))</f>
        <v/>
      </c>
      <c r="G2126" s="4" t="str">
        <f>IF($C2126="","",_xlfn.XLOOKUP($C2126,Order!$C:$C,Order!$G:$G,"",0,1))</f>
        <v/>
      </c>
      <c r="H2126" s="4" t="str">
        <f>IF($C2126="","",_xlfn.XLOOKUP($C2126,Order!$C:$C,Order!$H:$H,"",0,1))</f>
        <v/>
      </c>
      <c r="I2126" s="36" t="str">
        <f>IF($C2126="","",_xlfn.XLOOKUP($C2126,Order!$C:$C,Order!$O:$O,"",0,1))</f>
        <v/>
      </c>
      <c r="J2126" s="4" t="str">
        <f>IF(C2126="","",Order!$O$16)</f>
        <v/>
      </c>
      <c r="K2126" s="36" t="str">
        <f>IF($C2126="","",_xlfn.XLOOKUP($C2126,Order!$C:$C,Order!$P:$P,"",0,1))</f>
        <v/>
      </c>
      <c r="L2126" s="4" t="str">
        <f t="shared" si="33"/>
        <v/>
      </c>
    </row>
    <row r="2127" spans="2:12" ht="23.25" hidden="1" customHeight="1" x14ac:dyDescent="0.25">
      <c r="B2127" s="4">
        <v>2122</v>
      </c>
      <c r="C2127" s="36" t="str">
        <f>IF(Order!$C$68="","",Order!$C$68)</f>
        <v/>
      </c>
      <c r="D2127" s="36" t="str">
        <f>IF($C2127="","",_xlfn.XLOOKUP($C2127,Order!$C:$C,Order!$D:$D,"",0,1))</f>
        <v/>
      </c>
      <c r="E2127" s="4" t="str">
        <f>IF($C2127="","",_xlfn.XLOOKUP($C2127,Order!$C:$C,Order!$E:$E,"",0,1))</f>
        <v/>
      </c>
      <c r="F2127" s="4" t="str">
        <f>IF($C2127="","",_xlfn.XLOOKUP($C2127,Order!$C:$C,Order!$F:$F,"",0,1))</f>
        <v/>
      </c>
      <c r="G2127" s="4" t="str">
        <f>IF($C2127="","",_xlfn.XLOOKUP($C2127,Order!$C:$C,Order!$G:$G,"",0,1))</f>
        <v/>
      </c>
      <c r="H2127" s="4" t="str">
        <f>IF($C2127="","",_xlfn.XLOOKUP($C2127,Order!$C:$C,Order!$H:$H,"",0,1))</f>
        <v/>
      </c>
      <c r="I2127" s="36" t="str">
        <f>IF($C2127="","",_xlfn.XLOOKUP($C2127,Order!$C:$C,Order!$O:$O,"",0,1))</f>
        <v/>
      </c>
      <c r="J2127" s="4" t="str">
        <f>IF(C2127="","",Order!$O$16)</f>
        <v/>
      </c>
      <c r="K2127" s="36" t="str">
        <f>IF($C2127="","",_xlfn.XLOOKUP($C2127,Order!$C:$C,Order!$P:$P,"",0,1))</f>
        <v/>
      </c>
      <c r="L2127" s="4" t="str">
        <f t="shared" si="33"/>
        <v/>
      </c>
    </row>
    <row r="2128" spans="2:12" ht="23.25" hidden="1" customHeight="1" x14ac:dyDescent="0.25">
      <c r="B2128" s="4">
        <v>2123</v>
      </c>
      <c r="C2128" s="36" t="str">
        <f>IF(Order!$C$69="","",Order!$C$69)</f>
        <v/>
      </c>
      <c r="D2128" s="36" t="str">
        <f>IF($C2128="","",_xlfn.XLOOKUP($C2128,Order!$C:$C,Order!$D:$D,"",0,1))</f>
        <v/>
      </c>
      <c r="E2128" s="4" t="str">
        <f>IF($C2128="","",_xlfn.XLOOKUP($C2128,Order!$C:$C,Order!$E:$E,"",0,1))</f>
        <v/>
      </c>
      <c r="F2128" s="4" t="str">
        <f>IF($C2128="","",_xlfn.XLOOKUP($C2128,Order!$C:$C,Order!$F:$F,"",0,1))</f>
        <v/>
      </c>
      <c r="G2128" s="4" t="str">
        <f>IF($C2128="","",_xlfn.XLOOKUP($C2128,Order!$C:$C,Order!$G:$G,"",0,1))</f>
        <v/>
      </c>
      <c r="H2128" s="4" t="str">
        <f>IF($C2128="","",_xlfn.XLOOKUP($C2128,Order!$C:$C,Order!$H:$H,"",0,1))</f>
        <v/>
      </c>
      <c r="I2128" s="36" t="str">
        <f>IF($C2128="","",_xlfn.XLOOKUP($C2128,Order!$C:$C,Order!$O:$O,"",0,1))</f>
        <v/>
      </c>
      <c r="J2128" s="4" t="str">
        <f>IF(C2128="","",Order!$O$16)</f>
        <v/>
      </c>
      <c r="K2128" s="36" t="str">
        <f>IF($C2128="","",_xlfn.XLOOKUP($C2128,Order!$C:$C,Order!$P:$P,"",0,1))</f>
        <v/>
      </c>
      <c r="L2128" s="4" t="str">
        <f t="shared" si="33"/>
        <v/>
      </c>
    </row>
    <row r="2129" spans="2:12" ht="23.25" hidden="1" customHeight="1" x14ac:dyDescent="0.25">
      <c r="B2129" s="4">
        <v>2124</v>
      </c>
      <c r="C2129" s="36" t="str">
        <f>IF(Order!$C$70="","",Order!$C$70)</f>
        <v/>
      </c>
      <c r="D2129" s="36" t="str">
        <f>IF($C2129="","",_xlfn.XLOOKUP($C2129,Order!$C:$C,Order!$D:$D,"",0,1))</f>
        <v/>
      </c>
      <c r="E2129" s="4" t="str">
        <f>IF($C2129="","",_xlfn.XLOOKUP($C2129,Order!$C:$C,Order!$E:$E,"",0,1))</f>
        <v/>
      </c>
      <c r="F2129" s="4" t="str">
        <f>IF($C2129="","",_xlfn.XLOOKUP($C2129,Order!$C:$C,Order!$F:$F,"",0,1))</f>
        <v/>
      </c>
      <c r="G2129" s="4" t="str">
        <f>IF($C2129="","",_xlfn.XLOOKUP($C2129,Order!$C:$C,Order!$G:$G,"",0,1))</f>
        <v/>
      </c>
      <c r="H2129" s="4" t="str">
        <f>IF($C2129="","",_xlfn.XLOOKUP($C2129,Order!$C:$C,Order!$H:$H,"",0,1))</f>
        <v/>
      </c>
      <c r="I2129" s="36" t="str">
        <f>IF($C2129="","",_xlfn.XLOOKUP($C2129,Order!$C:$C,Order!$O:$O,"",0,1))</f>
        <v/>
      </c>
      <c r="J2129" s="4" t="str">
        <f>IF(C2129="","",Order!$O$16)</f>
        <v/>
      </c>
      <c r="K2129" s="36" t="str">
        <f>IF($C2129="","",_xlfn.XLOOKUP($C2129,Order!$C:$C,Order!$P:$P,"",0,1))</f>
        <v/>
      </c>
      <c r="L2129" s="4" t="str">
        <f t="shared" si="33"/>
        <v/>
      </c>
    </row>
    <row r="2130" spans="2:12" ht="23.25" hidden="1" customHeight="1" x14ac:dyDescent="0.25">
      <c r="B2130" s="4">
        <v>2125</v>
      </c>
      <c r="C2130" s="36" t="str">
        <f>IF(Order!$C$71="","",Order!$C$71)</f>
        <v/>
      </c>
      <c r="D2130" s="36" t="str">
        <f>IF($C2130="","",_xlfn.XLOOKUP($C2130,Order!$C:$C,Order!$D:$D,"",0,1))</f>
        <v/>
      </c>
      <c r="E2130" s="4" t="str">
        <f>IF($C2130="","",_xlfn.XLOOKUP($C2130,Order!$C:$C,Order!$E:$E,"",0,1))</f>
        <v/>
      </c>
      <c r="F2130" s="4" t="str">
        <f>IF($C2130="","",_xlfn.XLOOKUP($C2130,Order!$C:$C,Order!$F:$F,"",0,1))</f>
        <v/>
      </c>
      <c r="G2130" s="4" t="str">
        <f>IF($C2130="","",_xlfn.XLOOKUP($C2130,Order!$C:$C,Order!$G:$G,"",0,1))</f>
        <v/>
      </c>
      <c r="H2130" s="4" t="str">
        <f>IF($C2130="","",_xlfn.XLOOKUP($C2130,Order!$C:$C,Order!$H:$H,"",0,1))</f>
        <v/>
      </c>
      <c r="I2130" s="36" t="str">
        <f>IF($C2130="","",_xlfn.XLOOKUP($C2130,Order!$C:$C,Order!$O:$O,"",0,1))</f>
        <v/>
      </c>
      <c r="J2130" s="4" t="str">
        <f>IF(C2130="","",Order!$O$16)</f>
        <v/>
      </c>
      <c r="K2130" s="36" t="str">
        <f>IF($C2130="","",_xlfn.XLOOKUP($C2130,Order!$C:$C,Order!$P:$P,"",0,1))</f>
        <v/>
      </c>
      <c r="L2130" s="4" t="str">
        <f t="shared" si="33"/>
        <v/>
      </c>
    </row>
    <row r="2131" spans="2:12" ht="23.25" hidden="1" customHeight="1" x14ac:dyDescent="0.25">
      <c r="B2131" s="4">
        <v>2126</v>
      </c>
      <c r="C2131" s="36" t="str">
        <f>IF(Order!$C$72="","",Order!$C$72)</f>
        <v/>
      </c>
      <c r="D2131" s="36" t="str">
        <f>IF($C2131="","",_xlfn.XLOOKUP($C2131,Order!$C:$C,Order!$D:$D,"",0,1))</f>
        <v/>
      </c>
      <c r="E2131" s="4" t="str">
        <f>IF($C2131="","",_xlfn.XLOOKUP($C2131,Order!$C:$C,Order!$E:$E,"",0,1))</f>
        <v/>
      </c>
      <c r="F2131" s="4" t="str">
        <f>IF($C2131="","",_xlfn.XLOOKUP($C2131,Order!$C:$C,Order!$F:$F,"",0,1))</f>
        <v/>
      </c>
      <c r="G2131" s="4" t="str">
        <f>IF($C2131="","",_xlfn.XLOOKUP($C2131,Order!$C:$C,Order!$G:$G,"",0,1))</f>
        <v/>
      </c>
      <c r="H2131" s="4" t="str">
        <f>IF($C2131="","",_xlfn.XLOOKUP($C2131,Order!$C:$C,Order!$H:$H,"",0,1))</f>
        <v/>
      </c>
      <c r="I2131" s="36" t="str">
        <f>IF($C2131="","",_xlfn.XLOOKUP($C2131,Order!$C:$C,Order!$O:$O,"",0,1))</f>
        <v/>
      </c>
      <c r="J2131" s="4" t="str">
        <f>IF(C2131="","",Order!$O$16)</f>
        <v/>
      </c>
      <c r="K2131" s="36" t="str">
        <f>IF($C2131="","",_xlfn.XLOOKUP($C2131,Order!$C:$C,Order!$P:$P,"",0,1))</f>
        <v/>
      </c>
      <c r="L2131" s="4" t="str">
        <f t="shared" si="33"/>
        <v/>
      </c>
    </row>
    <row r="2132" spans="2:12" ht="23.25" hidden="1" customHeight="1" x14ac:dyDescent="0.25">
      <c r="B2132" s="4">
        <v>2127</v>
      </c>
      <c r="C2132" s="36" t="str">
        <f>IF(Order!$C$73="","",Order!$C$73)</f>
        <v/>
      </c>
      <c r="D2132" s="36" t="str">
        <f>IF($C2132="","",_xlfn.XLOOKUP($C2132,Order!$C:$C,Order!$D:$D,"",0,1))</f>
        <v/>
      </c>
      <c r="E2132" s="4" t="str">
        <f>IF($C2132="","",_xlfn.XLOOKUP($C2132,Order!$C:$C,Order!$E:$E,"",0,1))</f>
        <v/>
      </c>
      <c r="F2132" s="4" t="str">
        <f>IF($C2132="","",_xlfn.XLOOKUP($C2132,Order!$C:$C,Order!$F:$F,"",0,1))</f>
        <v/>
      </c>
      <c r="G2132" s="4" t="str">
        <f>IF($C2132="","",_xlfn.XLOOKUP($C2132,Order!$C:$C,Order!$G:$G,"",0,1))</f>
        <v/>
      </c>
      <c r="H2132" s="4" t="str">
        <f>IF($C2132="","",_xlfn.XLOOKUP($C2132,Order!$C:$C,Order!$H:$H,"",0,1))</f>
        <v/>
      </c>
      <c r="I2132" s="36" t="str">
        <f>IF($C2132="","",_xlfn.XLOOKUP($C2132,Order!$C:$C,Order!$O:$O,"",0,1))</f>
        <v/>
      </c>
      <c r="J2132" s="4" t="str">
        <f>IF(C2132="","",Order!$O$16)</f>
        <v/>
      </c>
      <c r="K2132" s="36" t="str">
        <f>IF($C2132="","",_xlfn.XLOOKUP($C2132,Order!$C:$C,Order!$P:$P,"",0,1))</f>
        <v/>
      </c>
      <c r="L2132" s="4" t="str">
        <f t="shared" si="33"/>
        <v/>
      </c>
    </row>
    <row r="2133" spans="2:12" ht="23.25" hidden="1" customHeight="1" x14ac:dyDescent="0.25">
      <c r="B2133" s="4">
        <v>2128</v>
      </c>
      <c r="C2133" s="36" t="str">
        <f>IF(Order!$C$74="","",Order!$C$74)</f>
        <v>CM200</v>
      </c>
      <c r="D2133" s="36" t="str">
        <f>IF($C2133="","",_xlfn.XLOOKUP($C2133,Order!$C:$C,Order!$D:$D,"",0,1))</f>
        <v>CM200</v>
      </c>
      <c r="E2133" s="4" t="e" vm="262">
        <f>IF($C2133="","",_xlfn.XLOOKUP($C2133,Order!$C:$C,Order!$E:$E,"",0,1))</f>
        <v>#VALUE!</v>
      </c>
      <c r="F2133" s="4">
        <f>IF($C2133="","",_xlfn.XLOOKUP($C2133,Order!$C:$C,Order!$F:$F,"",0,1))</f>
        <v>6000</v>
      </c>
      <c r="G2133" s="4" t="str">
        <f>IF($C2133="","",_xlfn.XLOOKUP($C2133,Order!$C:$C,Order!$G:$G,"",0,1))</f>
        <v>6063T5</v>
      </c>
      <c r="H2133" s="4">
        <f>IF($C2133="","",_xlfn.XLOOKUP($C2133,Order!$C:$C,Order!$H:$H,"",0,1))</f>
        <v>0.128</v>
      </c>
      <c r="I2133" s="36">
        <f>IF($C2133="","",_xlfn.XLOOKUP($C2133,Order!$C:$C,Order!$O:$O,"",0,1))</f>
        <v>0</v>
      </c>
      <c r="J2133" s="4" t="str">
        <f>IF(C2133="","",Order!$O$16)</f>
        <v>WOOD FINISH (BA)</v>
      </c>
      <c r="K2133" s="36">
        <f>IF($C2133="","",_xlfn.XLOOKUP($C2133,Order!$C:$C,Order!$P:$P,"",0,1))</f>
        <v>0</v>
      </c>
      <c r="L2133" s="4">
        <f t="shared" si="33"/>
        <v>0</v>
      </c>
    </row>
    <row r="2134" spans="2:12" ht="23.25" hidden="1" customHeight="1" x14ac:dyDescent="0.25">
      <c r="B2134" s="4">
        <v>2129</v>
      </c>
      <c r="C2134" s="36" t="str">
        <f>IF(Order!$C$75="","",Order!$C$75)</f>
        <v>CL006</v>
      </c>
      <c r="D2134" s="36" t="str">
        <f>IF($C2134="","",_xlfn.XLOOKUP($C2134,Order!$C:$C,Order!$D:$D,"",0,1))</f>
        <v>CL006</v>
      </c>
      <c r="E2134" s="4" t="e" vm="263">
        <f>IF($C2134="","",_xlfn.XLOOKUP($C2134,Order!$C:$C,Order!$E:$E,"",0,1))</f>
        <v>#VALUE!</v>
      </c>
      <c r="F2134" s="4">
        <f>IF($C2134="","",_xlfn.XLOOKUP($C2134,Order!$C:$C,Order!$F:$F,"",0,1))</f>
        <v>6000</v>
      </c>
      <c r="G2134" s="4" t="str">
        <f>IF($C2134="","",_xlfn.XLOOKUP($C2134,Order!$C:$C,Order!$G:$G,"",0,1))</f>
        <v>6063T5</v>
      </c>
      <c r="H2134" s="4">
        <f>IF($C2134="","",_xlfn.XLOOKUP($C2134,Order!$C:$C,Order!$H:$H,"",0,1))</f>
        <v>1.115</v>
      </c>
      <c r="I2134" s="36">
        <f>IF($C2134="","",_xlfn.XLOOKUP($C2134,Order!$C:$C,Order!$O:$O,"",0,1))</f>
        <v>0</v>
      </c>
      <c r="J2134" s="4" t="str">
        <f>IF(C2134="","",Order!$O$16)</f>
        <v>WOOD FINISH (BA)</v>
      </c>
      <c r="K2134" s="36">
        <f>IF($C2134="","",_xlfn.XLOOKUP($C2134,Order!$C:$C,Order!$P:$P,"",0,1))</f>
        <v>0</v>
      </c>
      <c r="L2134" s="4">
        <f t="shared" si="33"/>
        <v>0</v>
      </c>
    </row>
    <row r="2135" spans="2:12" ht="23.25" hidden="1" customHeight="1" x14ac:dyDescent="0.25">
      <c r="B2135" s="4">
        <v>2130</v>
      </c>
      <c r="C2135" s="36" t="str">
        <f>IF(Order!$C$76="","",Order!$C$76)</f>
        <v>CL011</v>
      </c>
      <c r="D2135" s="36" t="str">
        <f>IF($C2135="","",_xlfn.XLOOKUP($C2135,Order!$C:$C,Order!$D:$D,"",0,1))</f>
        <v>CL011</v>
      </c>
      <c r="E2135" s="4" t="e" vm="264">
        <f>IF($C2135="","",_xlfn.XLOOKUP($C2135,Order!$C:$C,Order!$E:$E,"",0,1))</f>
        <v>#VALUE!</v>
      </c>
      <c r="F2135" s="4">
        <f>IF($C2135="","",_xlfn.XLOOKUP($C2135,Order!$C:$C,Order!$F:$F,"",0,1))</f>
        <v>6000</v>
      </c>
      <c r="G2135" s="4" t="str">
        <f>IF($C2135="","",_xlfn.XLOOKUP($C2135,Order!$C:$C,Order!$G:$G,"",0,1))</f>
        <v>6063T5</v>
      </c>
      <c r="H2135" s="4">
        <f>IF($C2135="","",_xlfn.XLOOKUP($C2135,Order!$C:$C,Order!$H:$H,"",0,1))</f>
        <v>0.311</v>
      </c>
      <c r="I2135" s="36">
        <f>IF($C2135="","",_xlfn.XLOOKUP($C2135,Order!$C:$C,Order!$O:$O,"",0,1))</f>
        <v>0</v>
      </c>
      <c r="J2135" s="4" t="str">
        <f>IF(C2135="","",Order!$O$16)</f>
        <v>WOOD FINISH (BA)</v>
      </c>
      <c r="K2135" s="36">
        <f>IF($C2135="","",_xlfn.XLOOKUP($C2135,Order!$C:$C,Order!$P:$P,"",0,1))</f>
        <v>0</v>
      </c>
      <c r="L2135" s="4">
        <f t="shared" si="33"/>
        <v>0</v>
      </c>
    </row>
    <row r="2136" spans="2:12" ht="23.25" hidden="1" customHeight="1" x14ac:dyDescent="0.25">
      <c r="B2136" s="4">
        <v>2131</v>
      </c>
      <c r="C2136" s="36" t="str">
        <f>IF(Order!$C$77="","",Order!$C$77)</f>
        <v>BX810</v>
      </c>
      <c r="D2136" s="36" t="str">
        <f>IF($C2136="","",_xlfn.XLOOKUP($C2136,Order!$C:$C,Order!$D:$D,"",0,1))</f>
        <v>BX810</v>
      </c>
      <c r="E2136" s="4" t="e" vm="265">
        <f>IF($C2136="","",_xlfn.XLOOKUP($C2136,Order!$C:$C,Order!$E:$E,"",0,1))</f>
        <v>#VALUE!</v>
      </c>
      <c r="F2136" s="4">
        <f>IF($C2136="","",_xlfn.XLOOKUP($C2136,Order!$C:$C,Order!$F:$F,"",0,1))</f>
        <v>6000</v>
      </c>
      <c r="G2136" s="4" t="str">
        <f>IF($C2136="","",_xlfn.XLOOKUP($C2136,Order!$C:$C,Order!$G:$G,"",0,1))</f>
        <v>6063T5</v>
      </c>
      <c r="H2136" s="4">
        <f>IF($C2136="","",_xlfn.XLOOKUP($C2136,Order!$C:$C,Order!$H:$H,"",0,1))</f>
        <v>0.53600000000000003</v>
      </c>
      <c r="I2136" s="36">
        <f>IF($C2136="","",_xlfn.XLOOKUP($C2136,Order!$C:$C,Order!$O:$O,"",0,1))</f>
        <v>0</v>
      </c>
      <c r="J2136" s="4" t="str">
        <f>IF(C2136="","",Order!$O$16)</f>
        <v>WOOD FINISH (BA)</v>
      </c>
      <c r="K2136" s="36">
        <f>IF($C2136="","",_xlfn.XLOOKUP($C2136,Order!$C:$C,Order!$P:$P,"",0,1))</f>
        <v>0</v>
      </c>
      <c r="L2136" s="4">
        <f t="shared" si="33"/>
        <v>0</v>
      </c>
    </row>
    <row r="2137" spans="2:12" ht="23.25" hidden="1" customHeight="1" x14ac:dyDescent="0.25">
      <c r="B2137" s="4">
        <v>2132</v>
      </c>
      <c r="C2137" s="36" t="str">
        <f>IF(Order!$C$78="","",Order!$C$78)</f>
        <v>BX811</v>
      </c>
      <c r="D2137" s="36" t="str">
        <f>IF($C2137="","",_xlfn.XLOOKUP($C2137,Order!$C:$C,Order!$D:$D,"",0,1))</f>
        <v>BX811</v>
      </c>
      <c r="E2137" s="4" t="e" vm="266">
        <f>IF($C2137="","",_xlfn.XLOOKUP($C2137,Order!$C:$C,Order!$E:$E,"",0,1))</f>
        <v>#VALUE!</v>
      </c>
      <c r="F2137" s="4">
        <f>IF($C2137="","",_xlfn.XLOOKUP($C2137,Order!$C:$C,Order!$F:$F,"",0,1))</f>
        <v>6000</v>
      </c>
      <c r="G2137" s="4" t="str">
        <f>IF($C2137="","",_xlfn.XLOOKUP($C2137,Order!$C:$C,Order!$G:$G,"",0,1))</f>
        <v>6063T5</v>
      </c>
      <c r="H2137" s="4">
        <f>IF($C2137="","",_xlfn.XLOOKUP($C2137,Order!$C:$C,Order!$H:$H,"",0,1))</f>
        <v>0.35799999999999998</v>
      </c>
      <c r="I2137" s="36">
        <f>IF($C2137="","",_xlfn.XLOOKUP($C2137,Order!$C:$C,Order!$O:$O,"",0,1))</f>
        <v>0</v>
      </c>
      <c r="J2137" s="4" t="str">
        <f>IF(C2137="","",Order!$O$16)</f>
        <v>WOOD FINISH (BA)</v>
      </c>
      <c r="K2137" s="36">
        <f>IF($C2137="","",_xlfn.XLOOKUP($C2137,Order!$C:$C,Order!$P:$P,"",0,1))</f>
        <v>0</v>
      </c>
      <c r="L2137" s="4">
        <f t="shared" si="33"/>
        <v>0</v>
      </c>
    </row>
    <row r="2138" spans="2:12" ht="23.25" hidden="1" customHeight="1" x14ac:dyDescent="0.25">
      <c r="B2138" s="4">
        <v>2133</v>
      </c>
      <c r="C2138" s="36" t="str">
        <f>IF(Order!$C$79="","",Order!$C$79)</f>
        <v>BX856</v>
      </c>
      <c r="D2138" s="36" t="str">
        <f>IF($C2138="","",_xlfn.XLOOKUP($C2138,Order!$C:$C,Order!$D:$D,"",0,1))</f>
        <v>BX856</v>
      </c>
      <c r="E2138" s="4" t="e" vm="267">
        <f>IF($C2138="","",_xlfn.XLOOKUP($C2138,Order!$C:$C,Order!$E:$E,"",0,1))</f>
        <v>#VALUE!</v>
      </c>
      <c r="F2138" s="4">
        <f>IF($C2138="","",_xlfn.XLOOKUP($C2138,Order!$C:$C,Order!$F:$F,"",0,1))</f>
        <v>6000</v>
      </c>
      <c r="G2138" s="4" t="str">
        <f>IF($C2138="","",_xlfn.XLOOKUP($C2138,Order!$C:$C,Order!$G:$G,"",0,1))</f>
        <v>6063T5</v>
      </c>
      <c r="H2138" s="4">
        <f>IF($C2138="","",_xlfn.XLOOKUP($C2138,Order!$C:$C,Order!$H:$H,"",0,1))</f>
        <v>0.22600000000000001</v>
      </c>
      <c r="I2138" s="36">
        <f>IF($C2138="","",_xlfn.XLOOKUP($C2138,Order!$C:$C,Order!$O:$O,"",0,1))</f>
        <v>0</v>
      </c>
      <c r="J2138" s="4" t="str">
        <f>IF(C2138="","",Order!$O$16)</f>
        <v>WOOD FINISH (BA)</v>
      </c>
      <c r="K2138" s="36">
        <f>IF($C2138="","",_xlfn.XLOOKUP($C2138,Order!$C:$C,Order!$P:$P,"",0,1))</f>
        <v>0</v>
      </c>
      <c r="L2138" s="4">
        <f t="shared" si="33"/>
        <v>0</v>
      </c>
    </row>
    <row r="2139" spans="2:12" ht="23.25" hidden="1" customHeight="1" x14ac:dyDescent="0.25">
      <c r="B2139" s="4">
        <v>2134</v>
      </c>
      <c r="C2139" s="36" t="str">
        <f>IF(Order!$C$80="","",Order!$C$80)</f>
        <v>AF051</v>
      </c>
      <c r="D2139" s="36" t="str">
        <f>IF($C2139="","",_xlfn.XLOOKUP($C2139,Order!$C:$C,Order!$D:$D,"",0,1))</f>
        <v>AF051</v>
      </c>
      <c r="E2139" s="4" t="e" vm="268">
        <f>IF($C2139="","",_xlfn.XLOOKUP($C2139,Order!$C:$C,Order!$E:$E,"",0,1))</f>
        <v>#VALUE!</v>
      </c>
      <c r="F2139" s="4">
        <f>IF($C2139="","",_xlfn.XLOOKUP($C2139,Order!$C:$C,Order!$F:$F,"",0,1))</f>
        <v>6000</v>
      </c>
      <c r="G2139" s="4" t="str">
        <f>IF($C2139="","",_xlfn.XLOOKUP($C2139,Order!$C:$C,Order!$G:$G,"",0,1))</f>
        <v>6063T5</v>
      </c>
      <c r="H2139" s="4">
        <f>IF($C2139="","",_xlfn.XLOOKUP($C2139,Order!$C:$C,Order!$H:$H,"",0,1))</f>
        <v>0.2</v>
      </c>
      <c r="I2139" s="36">
        <f>IF($C2139="","",_xlfn.XLOOKUP($C2139,Order!$C:$C,Order!$O:$O,"",0,1))</f>
        <v>0</v>
      </c>
      <c r="J2139" s="4" t="str">
        <f>IF(C2139="","",Order!$O$16)</f>
        <v>WOOD FINISH (BA)</v>
      </c>
      <c r="K2139" s="36">
        <f>IF($C2139="","",_xlfn.XLOOKUP($C2139,Order!$C:$C,Order!$P:$P,"",0,1))</f>
        <v>0</v>
      </c>
      <c r="L2139" s="4">
        <f t="shared" si="33"/>
        <v>0</v>
      </c>
    </row>
    <row r="2140" spans="2:12" ht="23.25" hidden="1" customHeight="1" x14ac:dyDescent="0.25">
      <c r="B2140" s="4">
        <v>2135</v>
      </c>
      <c r="C2140" s="36" t="str">
        <f>IF(Order!$C$81="","",Order!$C$81)</f>
        <v>AF053</v>
      </c>
      <c r="D2140" s="36" t="str">
        <f>IF($C2140="","",_xlfn.XLOOKUP($C2140,Order!$C:$C,Order!$D:$D,"",0,1))</f>
        <v>AF053</v>
      </c>
      <c r="E2140" s="4" t="e" vm="269">
        <f>IF($C2140="","",_xlfn.XLOOKUP($C2140,Order!$C:$C,Order!$E:$E,"",0,1))</f>
        <v>#VALUE!</v>
      </c>
      <c r="F2140" s="4">
        <f>IF($C2140="","",_xlfn.XLOOKUP($C2140,Order!$C:$C,Order!$F:$F,"",0,1))</f>
        <v>6000</v>
      </c>
      <c r="G2140" s="4" t="str">
        <f>IF($C2140="","",_xlfn.XLOOKUP($C2140,Order!$C:$C,Order!$G:$G,"",0,1))</f>
        <v>6063T5</v>
      </c>
      <c r="H2140" s="4">
        <f>IF($C2140="","",_xlfn.XLOOKUP($C2140,Order!$C:$C,Order!$H:$H,"",0,1))</f>
        <v>0.32500000000000001</v>
      </c>
      <c r="I2140" s="36">
        <f>IF($C2140="","",_xlfn.XLOOKUP($C2140,Order!$C:$C,Order!$O:$O,"",0,1))</f>
        <v>0</v>
      </c>
      <c r="J2140" s="4" t="str">
        <f>IF(C2140="","",Order!$O$16)</f>
        <v>WOOD FINISH (BA)</v>
      </c>
      <c r="K2140" s="36">
        <f>IF($C2140="","",_xlfn.XLOOKUP($C2140,Order!$C:$C,Order!$P:$P,"",0,1))</f>
        <v>0</v>
      </c>
      <c r="L2140" s="4">
        <f t="shared" si="33"/>
        <v>0</v>
      </c>
    </row>
    <row r="2141" spans="2:12" ht="23.25" hidden="1" customHeight="1" x14ac:dyDescent="0.25">
      <c r="B2141" s="4">
        <v>2136</v>
      </c>
      <c r="C2141" s="36" t="str">
        <f>IF(Order!$C$82="","",Order!$C$82)</f>
        <v>AF055</v>
      </c>
      <c r="D2141" s="36" t="str">
        <f>IF($C2141="","",_xlfn.XLOOKUP($C2141,Order!$C:$C,Order!$D:$D,"",0,1))</f>
        <v>AF055</v>
      </c>
      <c r="E2141" s="4" t="e" vm="270">
        <f>IF($C2141="","",_xlfn.XLOOKUP($C2141,Order!$C:$C,Order!$E:$E,"",0,1))</f>
        <v>#VALUE!</v>
      </c>
      <c r="F2141" s="4">
        <f>IF($C2141="","",_xlfn.XLOOKUP($C2141,Order!$C:$C,Order!$F:$F,"",0,1))</f>
        <v>6000</v>
      </c>
      <c r="G2141" s="4" t="str">
        <f>IF($C2141="","",_xlfn.XLOOKUP($C2141,Order!$C:$C,Order!$G:$G,"",0,1))</f>
        <v>6063T5</v>
      </c>
      <c r="H2141" s="4">
        <f>IF($C2141="","",_xlfn.XLOOKUP($C2141,Order!$C:$C,Order!$H:$H,"",0,1))</f>
        <v>0.26400000000000001</v>
      </c>
      <c r="I2141" s="36">
        <f>IF($C2141="","",_xlfn.XLOOKUP($C2141,Order!$C:$C,Order!$O:$O,"",0,1))</f>
        <v>0</v>
      </c>
      <c r="J2141" s="4" t="str">
        <f>IF(C2141="","",Order!$O$16)</f>
        <v>WOOD FINISH (BA)</v>
      </c>
      <c r="K2141" s="36">
        <f>IF($C2141="","",_xlfn.XLOOKUP($C2141,Order!$C:$C,Order!$P:$P,"",0,1))</f>
        <v>0</v>
      </c>
      <c r="L2141" s="4">
        <f t="shared" si="33"/>
        <v>0</v>
      </c>
    </row>
    <row r="2142" spans="2:12" ht="23.25" hidden="1" customHeight="1" x14ac:dyDescent="0.25">
      <c r="B2142" s="4">
        <v>2137</v>
      </c>
      <c r="C2142" s="36" t="str">
        <f>IF(Order!$C$83="","",Order!$C$83)</f>
        <v>AF056</v>
      </c>
      <c r="D2142" s="36" t="str">
        <f>IF($C2142="","",_xlfn.XLOOKUP($C2142,Order!$C:$C,Order!$D:$D,"",0,1))</f>
        <v>AF056</v>
      </c>
      <c r="E2142" s="4" t="e" vm="271">
        <f>IF($C2142="","",_xlfn.XLOOKUP($C2142,Order!$C:$C,Order!$E:$E,"",0,1))</f>
        <v>#VALUE!</v>
      </c>
      <c r="F2142" s="4">
        <f>IF($C2142="","",_xlfn.XLOOKUP($C2142,Order!$C:$C,Order!$F:$F,"",0,1))</f>
        <v>6000</v>
      </c>
      <c r="G2142" s="4" t="str">
        <f>IF($C2142="","",_xlfn.XLOOKUP($C2142,Order!$C:$C,Order!$G:$G,"",0,1))</f>
        <v>6063T5</v>
      </c>
      <c r="H2142" s="4">
        <f>IF($C2142="","",_xlfn.XLOOKUP($C2142,Order!$C:$C,Order!$H:$H,"",0,1))</f>
        <v>0</v>
      </c>
      <c r="I2142" s="36">
        <f>IF($C2142="","",_xlfn.XLOOKUP($C2142,Order!$C:$C,Order!$O:$O,"",0,1))</f>
        <v>0</v>
      </c>
      <c r="J2142" s="4" t="str">
        <f>IF(C2142="","",Order!$O$16)</f>
        <v>WOOD FINISH (BA)</v>
      </c>
      <c r="K2142" s="36">
        <f>IF($C2142="","",_xlfn.XLOOKUP($C2142,Order!$C:$C,Order!$P:$P,"",0,1))</f>
        <v>0</v>
      </c>
      <c r="L2142" s="4">
        <f t="shared" si="33"/>
        <v>0</v>
      </c>
    </row>
    <row r="2143" spans="2:12" ht="23.25" hidden="1" customHeight="1" x14ac:dyDescent="0.25">
      <c r="B2143" s="4">
        <v>2138</v>
      </c>
      <c r="C2143" s="36" t="str">
        <f>IF(Order!$C$84="","",Order!$C$84)</f>
        <v>AF057</v>
      </c>
      <c r="D2143" s="36" t="str">
        <f>IF($C2143="","",_xlfn.XLOOKUP($C2143,Order!$C:$C,Order!$D:$D,"",0,1))</f>
        <v>AF057</v>
      </c>
      <c r="E2143" s="4" t="e" vm="272">
        <f>IF($C2143="","",_xlfn.XLOOKUP($C2143,Order!$C:$C,Order!$E:$E,"",0,1))</f>
        <v>#VALUE!</v>
      </c>
      <c r="F2143" s="4">
        <f>IF($C2143="","",_xlfn.XLOOKUP($C2143,Order!$C:$C,Order!$F:$F,"",0,1))</f>
        <v>6000</v>
      </c>
      <c r="G2143" s="4" t="str">
        <f>IF($C2143="","",_xlfn.XLOOKUP($C2143,Order!$C:$C,Order!$G:$G,"",0,1))</f>
        <v>6063T5</v>
      </c>
      <c r="H2143" s="4">
        <f>IF($C2143="","",_xlfn.XLOOKUP($C2143,Order!$C:$C,Order!$H:$H,"",0,1))</f>
        <v>0.39100000000000001</v>
      </c>
      <c r="I2143" s="36">
        <f>IF($C2143="","",_xlfn.XLOOKUP($C2143,Order!$C:$C,Order!$O:$O,"",0,1))</f>
        <v>0</v>
      </c>
      <c r="J2143" s="4" t="str">
        <f>IF(C2143="","",Order!$O$16)</f>
        <v>WOOD FINISH (BA)</v>
      </c>
      <c r="K2143" s="36">
        <f>IF($C2143="","",_xlfn.XLOOKUP($C2143,Order!$C:$C,Order!$P:$P,"",0,1))</f>
        <v>0</v>
      </c>
      <c r="L2143" s="4">
        <f t="shared" si="33"/>
        <v>0</v>
      </c>
    </row>
    <row r="2144" spans="2:12" ht="23.25" hidden="1" customHeight="1" x14ac:dyDescent="0.25">
      <c r="B2144" s="4">
        <v>2139</v>
      </c>
      <c r="C2144" s="36" t="str">
        <f>IF(Order!$C$85="","",Order!$C$85)</f>
        <v>AF059</v>
      </c>
      <c r="D2144" s="36" t="str">
        <f>IF($C2144="","",_xlfn.XLOOKUP($C2144,Order!$C:$C,Order!$D:$D,"",0,1))</f>
        <v>AF059</v>
      </c>
      <c r="E2144" s="4" t="e" vm="273">
        <f>IF($C2144="","",_xlfn.XLOOKUP($C2144,Order!$C:$C,Order!$E:$E,"",0,1))</f>
        <v>#VALUE!</v>
      </c>
      <c r="F2144" s="4">
        <f>IF($C2144="","",_xlfn.XLOOKUP($C2144,Order!$C:$C,Order!$F:$F,"",0,1))</f>
        <v>6000</v>
      </c>
      <c r="G2144" s="4" t="str">
        <f>IF($C2144="","",_xlfn.XLOOKUP($C2144,Order!$C:$C,Order!$G:$G,"",0,1))</f>
        <v>6063T5</v>
      </c>
      <c r="H2144" s="4">
        <f>IF($C2144="","",_xlfn.XLOOKUP($C2144,Order!$C:$C,Order!$H:$H,"",0,1))</f>
        <v>0.443</v>
      </c>
      <c r="I2144" s="36">
        <f>IF($C2144="","",_xlfn.XLOOKUP($C2144,Order!$C:$C,Order!$O:$O,"",0,1))</f>
        <v>0</v>
      </c>
      <c r="J2144" s="4" t="str">
        <f>IF(C2144="","",Order!$O$16)</f>
        <v>WOOD FINISH (BA)</v>
      </c>
      <c r="K2144" s="36">
        <f>IF($C2144="","",_xlfn.XLOOKUP($C2144,Order!$C:$C,Order!$P:$P,"",0,1))</f>
        <v>0</v>
      </c>
      <c r="L2144" s="4">
        <f t="shared" si="33"/>
        <v>0</v>
      </c>
    </row>
    <row r="2145" spans="2:12" ht="23.25" hidden="1" customHeight="1" x14ac:dyDescent="0.25">
      <c r="B2145" s="4">
        <v>2140</v>
      </c>
      <c r="C2145" s="36" t="str">
        <f>IF(Order!$C$86="","",Order!$C$86)</f>
        <v>AF060</v>
      </c>
      <c r="D2145" s="36" t="str">
        <f>IF($C2145="","",_xlfn.XLOOKUP($C2145,Order!$C:$C,Order!$D:$D,"",0,1))</f>
        <v>AF060</v>
      </c>
      <c r="E2145" s="4" t="e" vm="274">
        <f>IF($C2145="","",_xlfn.XLOOKUP($C2145,Order!$C:$C,Order!$E:$E,"",0,1))</f>
        <v>#VALUE!</v>
      </c>
      <c r="F2145" s="4">
        <f>IF($C2145="","",_xlfn.XLOOKUP($C2145,Order!$C:$C,Order!$F:$F,"",0,1))</f>
        <v>6000</v>
      </c>
      <c r="G2145" s="4" t="str">
        <f>IF($C2145="","",_xlfn.XLOOKUP($C2145,Order!$C:$C,Order!$G:$G,"",0,1))</f>
        <v>6063T5</v>
      </c>
      <c r="H2145" s="4">
        <f>IF($C2145="","",_xlfn.XLOOKUP($C2145,Order!$C:$C,Order!$H:$H,"",0,1))</f>
        <v>0.45200000000000001</v>
      </c>
      <c r="I2145" s="36">
        <f>IF($C2145="","",_xlfn.XLOOKUP($C2145,Order!$C:$C,Order!$O:$O,"",0,1))</f>
        <v>0</v>
      </c>
      <c r="J2145" s="4" t="str">
        <f>IF(C2145="","",Order!$O$16)</f>
        <v>WOOD FINISH (BA)</v>
      </c>
      <c r="K2145" s="36">
        <f>IF($C2145="","",_xlfn.XLOOKUP($C2145,Order!$C:$C,Order!$P:$P,"",0,1))</f>
        <v>0</v>
      </c>
      <c r="L2145" s="4">
        <f t="shared" si="33"/>
        <v>0</v>
      </c>
    </row>
    <row r="2146" spans="2:12" ht="23.25" hidden="1" customHeight="1" x14ac:dyDescent="0.25">
      <c r="B2146" s="4">
        <v>2141</v>
      </c>
      <c r="C2146" s="36" t="str">
        <f>IF(Order!$C$87="","",Order!$C$87)</f>
        <v>AF061 15E</v>
      </c>
      <c r="D2146" s="36" t="str">
        <f>IF($C2146="","",_xlfn.XLOOKUP($C2146,Order!$C:$C,Order!$D:$D,"",0,1))</f>
        <v>AF 061 15E</v>
      </c>
      <c r="E2146" s="4" t="e" vm="275">
        <f>IF($C2146="","",_xlfn.XLOOKUP($C2146,Order!$C:$C,Order!$E:$E,"",0,1))</f>
        <v>#VALUE!</v>
      </c>
      <c r="F2146" s="4">
        <f>IF($C2146="","",_xlfn.XLOOKUP($C2146,Order!$C:$C,Order!$F:$F,"",0,1))</f>
        <v>6000</v>
      </c>
      <c r="G2146" s="4" t="str">
        <f>IF($C2146="","",_xlfn.XLOOKUP($C2146,Order!$C:$C,Order!$G:$G,"",0,1))</f>
        <v>6063T5</v>
      </c>
      <c r="H2146" s="4">
        <f>IF($C2146="","",_xlfn.XLOOKUP($C2146,Order!$C:$C,Order!$H:$H,"",0,1))</f>
        <v>0.20200000000000001</v>
      </c>
      <c r="I2146" s="36">
        <f>IF($C2146="","",_xlfn.XLOOKUP($C2146,Order!$C:$C,Order!$O:$O,"",0,1))</f>
        <v>0</v>
      </c>
      <c r="J2146" s="4" t="str">
        <f>IF(C2146="","",Order!$O$16)</f>
        <v>WOOD FINISH (BA)</v>
      </c>
      <c r="K2146" s="36">
        <f>IF($C2146="","",_xlfn.XLOOKUP($C2146,Order!$C:$C,Order!$P:$P,"",0,1))</f>
        <v>0</v>
      </c>
      <c r="L2146" s="4">
        <f t="shared" si="33"/>
        <v>0</v>
      </c>
    </row>
    <row r="2147" spans="2:12" ht="23.25" hidden="1" customHeight="1" x14ac:dyDescent="0.25">
      <c r="B2147" s="4">
        <v>2142</v>
      </c>
      <c r="C2147" s="36" t="str">
        <f>IF(Order!$C$88="","",Order!$C$88)</f>
        <v>AF061 15</v>
      </c>
      <c r="D2147" s="36" t="str">
        <f>IF($C2147="","",_xlfn.XLOOKUP($C2147,Order!$C:$C,Order!$D:$D,"",0,1))</f>
        <v>AF061 15</v>
      </c>
      <c r="E2147" s="4" t="e" vm="276">
        <f>IF($C2147="","",_xlfn.XLOOKUP($C2147,Order!$C:$C,Order!$E:$E,"",0,1))</f>
        <v>#VALUE!</v>
      </c>
      <c r="F2147" s="4">
        <f>IF($C2147="","",_xlfn.XLOOKUP($C2147,Order!$C:$C,Order!$F:$F,"",0,1))</f>
        <v>6000</v>
      </c>
      <c r="G2147" s="4" t="str">
        <f>IF($C2147="","",_xlfn.XLOOKUP($C2147,Order!$C:$C,Order!$G:$G,"",0,1))</f>
        <v>6063T5</v>
      </c>
      <c r="H2147" s="4">
        <f>IF($C2147="","",_xlfn.XLOOKUP($C2147,Order!$C:$C,Order!$H:$H,"",0,1))</f>
        <v>0.36399999999999999</v>
      </c>
      <c r="I2147" s="36">
        <f>IF($C2147="","",_xlfn.XLOOKUP($C2147,Order!$C:$C,Order!$O:$O,"",0,1))</f>
        <v>0</v>
      </c>
      <c r="J2147" s="4" t="str">
        <f>IF(C2147="","",Order!$O$16)</f>
        <v>WOOD FINISH (BA)</v>
      </c>
      <c r="K2147" s="36">
        <f>IF($C2147="","",_xlfn.XLOOKUP($C2147,Order!$C:$C,Order!$P:$P,"",0,1))</f>
        <v>0</v>
      </c>
      <c r="L2147" s="4">
        <f t="shared" si="33"/>
        <v>0</v>
      </c>
    </row>
    <row r="2148" spans="2:12" ht="23.25" hidden="1" customHeight="1" x14ac:dyDescent="0.25">
      <c r="B2148" s="4">
        <v>2143</v>
      </c>
      <c r="C2148" s="36" t="str">
        <f>IF(Order!$C$89="","",Order!$C$89)</f>
        <v>AF061 18</v>
      </c>
      <c r="D2148" s="36" t="str">
        <f>IF($C2148="","",_xlfn.XLOOKUP($C2148,Order!$C:$C,Order!$D:$D,"",0,1))</f>
        <v>AF061 18</v>
      </c>
      <c r="E2148" s="4" t="e" vm="277">
        <f>IF($C2148="","",_xlfn.XLOOKUP($C2148,Order!$C:$C,Order!$E:$E,"",0,1))</f>
        <v>#VALUE!</v>
      </c>
      <c r="F2148" s="4">
        <f>IF($C2148="","",_xlfn.XLOOKUP($C2148,Order!$C:$C,Order!$F:$F,"",0,1))</f>
        <v>6000</v>
      </c>
      <c r="G2148" s="4" t="str">
        <f>IF($C2148="","",_xlfn.XLOOKUP($C2148,Order!$C:$C,Order!$G:$G,"",0,1))</f>
        <v>6063T5</v>
      </c>
      <c r="H2148" s="4">
        <f>IF($C2148="","",_xlfn.XLOOKUP($C2148,Order!$C:$C,Order!$H:$H,"",0,1))</f>
        <v>0</v>
      </c>
      <c r="I2148" s="36">
        <f>IF($C2148="","",_xlfn.XLOOKUP($C2148,Order!$C:$C,Order!$O:$O,"",0,1))</f>
        <v>0</v>
      </c>
      <c r="J2148" s="4" t="str">
        <f>IF(C2148="","",Order!$O$16)</f>
        <v>WOOD FINISH (BA)</v>
      </c>
      <c r="K2148" s="36">
        <f>IF($C2148="","",_xlfn.XLOOKUP($C2148,Order!$C:$C,Order!$P:$P,"",0,1))</f>
        <v>0</v>
      </c>
      <c r="L2148" s="4">
        <f t="shared" si="33"/>
        <v>0</v>
      </c>
    </row>
    <row r="2149" spans="2:12" ht="23.25" hidden="1" customHeight="1" x14ac:dyDescent="0.25">
      <c r="B2149" s="4">
        <v>2144</v>
      </c>
      <c r="C2149" s="36" t="str">
        <f>IF(Order!$C$90="","",Order!$C$90)</f>
        <v>AF066</v>
      </c>
      <c r="D2149" s="36" t="str">
        <f>IF($C2149="","",_xlfn.XLOOKUP($C2149,Order!$C:$C,Order!$D:$D,"",0,1))</f>
        <v>AF066</v>
      </c>
      <c r="E2149" s="4" t="e" vm="278">
        <f>IF($C2149="","",_xlfn.XLOOKUP($C2149,Order!$C:$C,Order!$E:$E,"",0,1))</f>
        <v>#VALUE!</v>
      </c>
      <c r="F2149" s="4">
        <f>IF($C2149="","",_xlfn.XLOOKUP($C2149,Order!$C:$C,Order!$F:$F,"",0,1))</f>
        <v>6000</v>
      </c>
      <c r="G2149" s="4" t="str">
        <f>IF($C2149="","",_xlfn.XLOOKUP($C2149,Order!$C:$C,Order!$G:$G,"",0,1))</f>
        <v>6063T5</v>
      </c>
      <c r="H2149" s="4">
        <f>IF($C2149="","",_xlfn.XLOOKUP($C2149,Order!$C:$C,Order!$H:$H,"",0,1))</f>
        <v>0</v>
      </c>
      <c r="I2149" s="36">
        <f>IF($C2149="","",_xlfn.XLOOKUP($C2149,Order!$C:$C,Order!$O:$O,"",0,1))</f>
        <v>0</v>
      </c>
      <c r="J2149" s="4" t="str">
        <f>IF(C2149="","",Order!$O$16)</f>
        <v>WOOD FINISH (BA)</v>
      </c>
      <c r="K2149" s="36">
        <f>IF($C2149="","",_xlfn.XLOOKUP($C2149,Order!$C:$C,Order!$P:$P,"",0,1))</f>
        <v>0</v>
      </c>
      <c r="L2149" s="4">
        <f t="shared" si="33"/>
        <v>0</v>
      </c>
    </row>
    <row r="2150" spans="2:12" ht="23.25" hidden="1" customHeight="1" x14ac:dyDescent="0.25">
      <c r="B2150" s="4">
        <v>2145</v>
      </c>
      <c r="C2150" s="36" t="str">
        <f>IF(Order!$C$91="","",Order!$C$91)</f>
        <v>AFY-15</v>
      </c>
      <c r="D2150" s="36" t="str">
        <f>IF($C2150="","",_xlfn.XLOOKUP($C2150,Order!$C:$C,Order!$D:$D,"",0,1))</f>
        <v>AFY-15</v>
      </c>
      <c r="E2150" s="4" t="e" vm="279">
        <f>IF($C2150="","",_xlfn.XLOOKUP($C2150,Order!$C:$C,Order!$E:$E,"",0,1))</f>
        <v>#VALUE!</v>
      </c>
      <c r="F2150" s="4">
        <f>IF($C2150="","",_xlfn.XLOOKUP($C2150,Order!$C:$C,Order!$F:$F,"",0,1))</f>
        <v>6000</v>
      </c>
      <c r="G2150" s="4" t="str">
        <f>IF($C2150="","",_xlfn.XLOOKUP($C2150,Order!$C:$C,Order!$G:$G,"",0,1))</f>
        <v>6063T5</v>
      </c>
      <c r="H2150" s="4">
        <f>IF($C2150="","",_xlfn.XLOOKUP($C2150,Order!$C:$C,Order!$H:$H,"",0,1))</f>
        <v>0.308</v>
      </c>
      <c r="I2150" s="36">
        <f>IF($C2150="","",_xlfn.XLOOKUP($C2150,Order!$C:$C,Order!$O:$O,"",0,1))</f>
        <v>0</v>
      </c>
      <c r="J2150" s="4" t="str">
        <f>IF(C2150="","",Order!$O$16)</f>
        <v>WOOD FINISH (BA)</v>
      </c>
      <c r="K2150" s="36">
        <f>IF($C2150="","",_xlfn.XLOOKUP($C2150,Order!$C:$C,Order!$P:$P,"",0,1))</f>
        <v>0</v>
      </c>
      <c r="L2150" s="4">
        <f t="shared" si="33"/>
        <v>0</v>
      </c>
    </row>
    <row r="2151" spans="2:12" ht="23.25" hidden="1" customHeight="1" x14ac:dyDescent="0.25">
      <c r="B2151" s="4">
        <v>2146</v>
      </c>
      <c r="C2151" s="36" t="str">
        <f>IF(Order!$C$92="","",Order!$C$92)</f>
        <v>BX275</v>
      </c>
      <c r="D2151" s="36" t="str">
        <f>IF($C2151="","",_xlfn.XLOOKUP($C2151,Order!$C:$C,Order!$D:$D,"",0,1))</f>
        <v>BX275</v>
      </c>
      <c r="E2151" s="4" t="e" vm="280">
        <f>IF($C2151="","",_xlfn.XLOOKUP($C2151,Order!$C:$C,Order!$E:$E,"",0,1))</f>
        <v>#VALUE!</v>
      </c>
      <c r="F2151" s="4">
        <f>IF($C2151="","",_xlfn.XLOOKUP($C2151,Order!$C:$C,Order!$F:$F,"",0,1))</f>
        <v>6000</v>
      </c>
      <c r="G2151" s="4" t="str">
        <f>IF($C2151="","",_xlfn.XLOOKUP($C2151,Order!$C:$C,Order!$G:$G,"",0,1))</f>
        <v>6063T5</v>
      </c>
      <c r="H2151" s="4">
        <f>IF($C2151="","",_xlfn.XLOOKUP($C2151,Order!$C:$C,Order!$H:$H,"",0,1))</f>
        <v>0.72299999999999998</v>
      </c>
      <c r="I2151" s="36">
        <f>IF($C2151="","",_xlfn.XLOOKUP($C2151,Order!$C:$C,Order!$O:$O,"",0,1))</f>
        <v>0</v>
      </c>
      <c r="J2151" s="4" t="str">
        <f>IF(C2151="","",Order!$O$16)</f>
        <v>WOOD FINISH (BA)</v>
      </c>
      <c r="K2151" s="36">
        <f>IF($C2151="","",_xlfn.XLOOKUP($C2151,Order!$C:$C,Order!$P:$P,"",0,1))</f>
        <v>0</v>
      </c>
      <c r="L2151" s="4">
        <f t="shared" si="33"/>
        <v>0</v>
      </c>
    </row>
    <row r="2152" spans="2:12" ht="23.25" hidden="1" customHeight="1" x14ac:dyDescent="0.25">
      <c r="B2152" s="4">
        <v>2147</v>
      </c>
      <c r="C2152" s="36" t="str">
        <f>IF(Order!$C$93="","",Order!$C$93)</f>
        <v>DV021</v>
      </c>
      <c r="D2152" s="36" t="str">
        <f>IF($C2152="","",_xlfn.XLOOKUP($C2152,Order!$C:$C,Order!$D:$D,"",0,1))</f>
        <v>DV021</v>
      </c>
      <c r="E2152" s="4" t="e" vm="281">
        <f>IF($C2152="","",_xlfn.XLOOKUP($C2152,Order!$C:$C,Order!$E:$E,"",0,1))</f>
        <v>#VALUE!</v>
      </c>
      <c r="F2152" s="4">
        <f>IF($C2152="","",_xlfn.XLOOKUP($C2152,Order!$C:$C,Order!$F:$F,"",0,1))</f>
        <v>6000</v>
      </c>
      <c r="G2152" s="4" t="str">
        <f>IF($C2152="","",_xlfn.XLOOKUP($C2152,Order!$C:$C,Order!$G:$G,"",0,1))</f>
        <v>6063T5</v>
      </c>
      <c r="H2152" s="4">
        <f>IF($C2152="","",_xlfn.XLOOKUP($C2152,Order!$C:$C,Order!$H:$H,"",0,1))</f>
        <v>0.32800000000000001</v>
      </c>
      <c r="I2152" s="36">
        <f>IF($C2152="","",_xlfn.XLOOKUP($C2152,Order!$C:$C,Order!$O:$O,"",0,1))</f>
        <v>0</v>
      </c>
      <c r="J2152" s="4" t="str">
        <f>IF(C2152="","",Order!$O$16)</f>
        <v>WOOD FINISH (BA)</v>
      </c>
      <c r="K2152" s="36">
        <f>IF($C2152="","",_xlfn.XLOOKUP($C2152,Order!$C:$C,Order!$P:$P,"",0,1))</f>
        <v>0</v>
      </c>
      <c r="L2152" s="4">
        <f t="shared" si="33"/>
        <v>0</v>
      </c>
    </row>
    <row r="2153" spans="2:12" ht="23.25" hidden="1" customHeight="1" x14ac:dyDescent="0.25">
      <c r="B2153" s="4">
        <v>2148</v>
      </c>
      <c r="C2153" s="36" t="str">
        <f>IF(Order!$C$94="","",Order!$C$94)</f>
        <v>DV021A</v>
      </c>
      <c r="D2153" s="36" t="str">
        <f>IF($C2153="","",_xlfn.XLOOKUP($C2153,Order!$C:$C,Order!$D:$D,"",0,1))</f>
        <v>DV021A</v>
      </c>
      <c r="E2153" s="4" t="e" vm="282">
        <f>IF($C2153="","",_xlfn.XLOOKUP($C2153,Order!$C:$C,Order!$E:$E,"",0,1))</f>
        <v>#VALUE!</v>
      </c>
      <c r="F2153" s="4">
        <f>IF($C2153="","",_xlfn.XLOOKUP($C2153,Order!$C:$C,Order!$F:$F,"",0,1))</f>
        <v>6000</v>
      </c>
      <c r="G2153" s="4" t="str">
        <f>IF($C2153="","",_xlfn.XLOOKUP($C2153,Order!$C:$C,Order!$G:$G,"",0,1))</f>
        <v>6063T5</v>
      </c>
      <c r="H2153" s="4">
        <f>IF($C2153="","",_xlfn.XLOOKUP($C2153,Order!$C:$C,Order!$H:$H,"",0,1))</f>
        <v>0.317</v>
      </c>
      <c r="I2153" s="36">
        <f>IF($C2153="","",_xlfn.XLOOKUP($C2153,Order!$C:$C,Order!$O:$O,"",0,1))</f>
        <v>0</v>
      </c>
      <c r="J2153" s="4" t="str">
        <f>IF(C2153="","",Order!$O$16)</f>
        <v>WOOD FINISH (BA)</v>
      </c>
      <c r="K2153" s="36">
        <f>IF($C2153="","",_xlfn.XLOOKUP($C2153,Order!$C:$C,Order!$P:$P,"",0,1))</f>
        <v>0</v>
      </c>
      <c r="L2153" s="4">
        <f t="shared" si="33"/>
        <v>0</v>
      </c>
    </row>
    <row r="2154" spans="2:12" ht="23.25" hidden="1" customHeight="1" x14ac:dyDescent="0.25">
      <c r="B2154" s="4">
        <v>2149</v>
      </c>
      <c r="C2154" s="36" t="str">
        <f>IF(Order!$C$95="","",Order!$C$95)</f>
        <v>DV022</v>
      </c>
      <c r="D2154" s="36" t="str">
        <f>IF($C2154="","",_xlfn.XLOOKUP($C2154,Order!$C:$C,Order!$D:$D,"",0,1))</f>
        <v>DV022</v>
      </c>
      <c r="E2154" s="4" t="e" vm="283">
        <f>IF($C2154="","",_xlfn.XLOOKUP($C2154,Order!$C:$C,Order!$E:$E,"",0,1))</f>
        <v>#VALUE!</v>
      </c>
      <c r="F2154" s="4">
        <f>IF($C2154="","",_xlfn.XLOOKUP($C2154,Order!$C:$C,Order!$F:$F,"",0,1))</f>
        <v>6000</v>
      </c>
      <c r="G2154" s="4" t="str">
        <f>IF($C2154="","",_xlfn.XLOOKUP($C2154,Order!$C:$C,Order!$G:$G,"",0,1))</f>
        <v>6063T5</v>
      </c>
      <c r="H2154" s="4">
        <f>IF($C2154="","",_xlfn.XLOOKUP($C2154,Order!$C:$C,Order!$H:$H,"",0,1))</f>
        <v>0.32400000000000001</v>
      </c>
      <c r="I2154" s="36">
        <f>IF($C2154="","",_xlfn.XLOOKUP($C2154,Order!$C:$C,Order!$O:$O,"",0,1))</f>
        <v>0</v>
      </c>
      <c r="J2154" s="4" t="str">
        <f>IF(C2154="","",Order!$O$16)</f>
        <v>WOOD FINISH (BA)</v>
      </c>
      <c r="K2154" s="36">
        <f>IF($C2154="","",_xlfn.XLOOKUP($C2154,Order!$C:$C,Order!$P:$P,"",0,1))</f>
        <v>0</v>
      </c>
      <c r="L2154" s="4">
        <f t="shared" si="33"/>
        <v>0</v>
      </c>
    </row>
    <row r="2155" spans="2:12" ht="23.25" hidden="1" customHeight="1" x14ac:dyDescent="0.25">
      <c r="B2155" s="4">
        <v>2150</v>
      </c>
      <c r="C2155" s="36" t="str">
        <f>IF(Order!$C$96="","",Order!$C$96)</f>
        <v>DV185</v>
      </c>
      <c r="D2155" s="36" t="str">
        <f>IF($C2155="","",_xlfn.XLOOKUP($C2155,Order!$C:$C,Order!$D:$D,"",0,1))</f>
        <v>DV185</v>
      </c>
      <c r="E2155" s="4" t="e" vm="284">
        <f>IF($C2155="","",_xlfn.XLOOKUP($C2155,Order!$C:$C,Order!$E:$E,"",0,1))</f>
        <v>#VALUE!</v>
      </c>
      <c r="F2155" s="4">
        <f>IF($C2155="","",_xlfn.XLOOKUP($C2155,Order!$C:$C,Order!$F:$F,"",0,1))</f>
        <v>6000</v>
      </c>
      <c r="G2155" s="4" t="str">
        <f>IF($C2155="","",_xlfn.XLOOKUP($C2155,Order!$C:$C,Order!$G:$G,"",0,1))</f>
        <v>6063T5</v>
      </c>
      <c r="H2155" s="4">
        <f>IF($C2155="","",_xlfn.XLOOKUP($C2155,Order!$C:$C,Order!$H:$H,"",0,1))</f>
        <v>0.34499999999999997</v>
      </c>
      <c r="I2155" s="36">
        <f>IF($C2155="","",_xlfn.XLOOKUP($C2155,Order!$C:$C,Order!$O:$O,"",0,1))</f>
        <v>0</v>
      </c>
      <c r="J2155" s="4" t="str">
        <f>IF(C2155="","",Order!$O$16)</f>
        <v>WOOD FINISH (BA)</v>
      </c>
      <c r="K2155" s="36">
        <f>IF($C2155="","",_xlfn.XLOOKUP($C2155,Order!$C:$C,Order!$P:$P,"",0,1))</f>
        <v>0</v>
      </c>
      <c r="L2155" s="4">
        <f t="shared" si="33"/>
        <v>0</v>
      </c>
    </row>
    <row r="2156" spans="2:12" ht="23.25" hidden="1" customHeight="1" x14ac:dyDescent="0.25">
      <c r="B2156" s="4">
        <v>2151</v>
      </c>
      <c r="C2156" s="36" t="str">
        <f>IF(Order!$C$97="","",Order!$C$97)</f>
        <v>DV389</v>
      </c>
      <c r="D2156" s="36" t="str">
        <f>IF($C2156="","",_xlfn.XLOOKUP($C2156,Order!$C:$C,Order!$D:$D,"",0,1))</f>
        <v>DV389</v>
      </c>
      <c r="E2156" s="4" t="e" vm="285">
        <f>IF($C2156="","",_xlfn.XLOOKUP($C2156,Order!$C:$C,Order!$E:$E,"",0,1))</f>
        <v>#VALUE!</v>
      </c>
      <c r="F2156" s="4">
        <f>IF($C2156="","",_xlfn.XLOOKUP($C2156,Order!$C:$C,Order!$F:$F,"",0,1))</f>
        <v>6000</v>
      </c>
      <c r="G2156" s="4" t="str">
        <f>IF($C2156="","",_xlfn.XLOOKUP($C2156,Order!$C:$C,Order!$G:$G,"",0,1))</f>
        <v>6063T5</v>
      </c>
      <c r="H2156" s="4">
        <f>IF($C2156="","",_xlfn.XLOOKUP($C2156,Order!$C:$C,Order!$H:$H,"",0,1))</f>
        <v>0.79700000000000004</v>
      </c>
      <c r="I2156" s="36">
        <f>IF($C2156="","",_xlfn.XLOOKUP($C2156,Order!$C:$C,Order!$O:$O,"",0,1))</f>
        <v>0</v>
      </c>
      <c r="J2156" s="4" t="str">
        <f>IF(C2156="","",Order!$O$16)</f>
        <v>WOOD FINISH (BA)</v>
      </c>
      <c r="K2156" s="36">
        <f>IF($C2156="","",_xlfn.XLOOKUP($C2156,Order!$C:$C,Order!$P:$P,"",0,1))</f>
        <v>0</v>
      </c>
      <c r="L2156" s="4">
        <f t="shared" si="33"/>
        <v>0</v>
      </c>
    </row>
    <row r="2157" spans="2:12" ht="23.25" hidden="1" customHeight="1" x14ac:dyDescent="0.25">
      <c r="B2157" s="4">
        <v>2152</v>
      </c>
      <c r="C2157" s="36" t="str">
        <f>IF(Order!$C$98="","",Order!$C$98)</f>
        <v>BX628</v>
      </c>
      <c r="D2157" s="36" t="str">
        <f>IF($C2157="","",_xlfn.XLOOKUP($C2157,Order!$C:$C,Order!$D:$D,"",0,1))</f>
        <v>BX628</v>
      </c>
      <c r="E2157" s="4" t="e" vm="286">
        <f>IF($C2157="","",_xlfn.XLOOKUP($C2157,Order!$C:$C,Order!$E:$E,"",0,1))</f>
        <v>#VALUE!</v>
      </c>
      <c r="F2157" s="4">
        <f>IF($C2157="","",_xlfn.XLOOKUP($C2157,Order!$C:$C,Order!$F:$F,"",0,1))</f>
        <v>6000</v>
      </c>
      <c r="G2157" s="4" t="str">
        <f>IF($C2157="","",_xlfn.XLOOKUP($C2157,Order!$C:$C,Order!$G:$G,"",0,1))</f>
        <v>6063T5</v>
      </c>
      <c r="H2157" s="4">
        <f>IF($C2157="","",_xlfn.XLOOKUP($C2157,Order!$C:$C,Order!$H:$H,"",0,1))</f>
        <v>0.42199999999999999</v>
      </c>
      <c r="I2157" s="36">
        <f>IF($C2157="","",_xlfn.XLOOKUP($C2157,Order!$C:$C,Order!$O:$O,"",0,1))</f>
        <v>0</v>
      </c>
      <c r="J2157" s="4" t="str">
        <f>IF(C2157="","",Order!$O$16)</f>
        <v>WOOD FINISH (BA)</v>
      </c>
      <c r="K2157" s="36">
        <f>IF($C2157="","",_xlfn.XLOOKUP($C2157,Order!$C:$C,Order!$P:$P,"",0,1))</f>
        <v>0</v>
      </c>
      <c r="L2157" s="4">
        <f t="shared" si="33"/>
        <v>0</v>
      </c>
    </row>
    <row r="2158" spans="2:12" ht="23.25" hidden="1" customHeight="1" x14ac:dyDescent="0.25">
      <c r="B2158" s="4">
        <v>2153</v>
      </c>
      <c r="C2158" s="36" t="str">
        <f>IF(Order!$C$99="","",Order!$C$99)</f>
        <v>BX705</v>
      </c>
      <c r="D2158" s="36" t="str">
        <f>IF($C2158="","",_xlfn.XLOOKUP($C2158,Order!$C:$C,Order!$D:$D,"",0,1))</f>
        <v>BX705</v>
      </c>
      <c r="E2158" s="4" t="e" vm="287">
        <f>IF($C2158="","",_xlfn.XLOOKUP($C2158,Order!$C:$C,Order!$E:$E,"",0,1))</f>
        <v>#VALUE!</v>
      </c>
      <c r="F2158" s="4">
        <f>IF($C2158="","",_xlfn.XLOOKUP($C2158,Order!$C:$C,Order!$F:$F,"",0,1))</f>
        <v>6000</v>
      </c>
      <c r="G2158" s="4" t="str">
        <f>IF($C2158="","",_xlfn.XLOOKUP($C2158,Order!$C:$C,Order!$G:$G,"",0,1))</f>
        <v>6063T5</v>
      </c>
      <c r="H2158" s="4">
        <f>IF($C2158="","",_xlfn.XLOOKUP($C2158,Order!$C:$C,Order!$H:$H,"",0,1))</f>
        <v>0.21199999999999999</v>
      </c>
      <c r="I2158" s="36">
        <f>IF($C2158="","",_xlfn.XLOOKUP($C2158,Order!$C:$C,Order!$O:$O,"",0,1))</f>
        <v>0</v>
      </c>
      <c r="J2158" s="4" t="str">
        <f>IF(C2158="","",Order!$O$16)</f>
        <v>WOOD FINISH (BA)</v>
      </c>
      <c r="K2158" s="36">
        <f>IF($C2158="","",_xlfn.XLOOKUP($C2158,Order!$C:$C,Order!$P:$P,"",0,1))</f>
        <v>0</v>
      </c>
      <c r="L2158" s="4">
        <f t="shared" si="33"/>
        <v>0</v>
      </c>
    </row>
    <row r="2159" spans="2:12" ht="23.25" hidden="1" customHeight="1" x14ac:dyDescent="0.25">
      <c r="B2159" s="4">
        <v>2154</v>
      </c>
      <c r="C2159" s="36" t="str">
        <f>IF(Order!$C$100="","",Order!$C$100)</f>
        <v>BX818</v>
      </c>
      <c r="D2159" s="36" t="str">
        <f>IF($C2159="","",_xlfn.XLOOKUP($C2159,Order!$C:$C,Order!$D:$D,"",0,1))</f>
        <v>BX818</v>
      </c>
      <c r="E2159" s="4" t="e" vm="288">
        <f>IF($C2159="","",_xlfn.XLOOKUP($C2159,Order!$C:$C,Order!$E:$E,"",0,1))</f>
        <v>#VALUE!</v>
      </c>
      <c r="F2159" s="4">
        <f>IF($C2159="","",_xlfn.XLOOKUP($C2159,Order!$C:$C,Order!$F:$F,"",0,1))</f>
        <v>6000</v>
      </c>
      <c r="G2159" s="4" t="str">
        <f>IF($C2159="","",_xlfn.XLOOKUP($C2159,Order!$C:$C,Order!$G:$G,"",0,1))</f>
        <v>6063T5</v>
      </c>
      <c r="H2159" s="4">
        <f>IF($C2159="","",_xlfn.XLOOKUP($C2159,Order!$C:$C,Order!$H:$H,"",0,1))</f>
        <v>0</v>
      </c>
      <c r="I2159" s="36">
        <f>IF($C2159="","",_xlfn.XLOOKUP($C2159,Order!$C:$C,Order!$O:$O,"",0,1))</f>
        <v>0</v>
      </c>
      <c r="J2159" s="4" t="str">
        <f>IF(C2159="","",Order!$O$16)</f>
        <v>WOOD FINISH (BA)</v>
      </c>
      <c r="K2159" s="36">
        <f>IF($C2159="","",_xlfn.XLOOKUP($C2159,Order!$C:$C,Order!$P:$P,"",0,1))</f>
        <v>0</v>
      </c>
      <c r="L2159" s="4">
        <f t="shared" si="33"/>
        <v>0</v>
      </c>
    </row>
    <row r="2160" spans="2:12" ht="23.25" hidden="1" customHeight="1" x14ac:dyDescent="0.25">
      <c r="B2160" s="4">
        <v>2155</v>
      </c>
      <c r="C2160" s="36" t="str">
        <f>IF(Order!$C$101="","",Order!$C$101)</f>
        <v>BX819</v>
      </c>
      <c r="D2160" s="36" t="str">
        <f>IF($C2160="","",_xlfn.XLOOKUP($C2160,Order!$C:$C,Order!$D:$D,"",0,1))</f>
        <v>BX819</v>
      </c>
      <c r="E2160" s="4" t="e" vm="289">
        <f>IF($C2160="","",_xlfn.XLOOKUP($C2160,Order!$C:$C,Order!$E:$E,"",0,1))</f>
        <v>#VALUE!</v>
      </c>
      <c r="F2160" s="4">
        <f>IF($C2160="","",_xlfn.XLOOKUP($C2160,Order!$C:$C,Order!$F:$F,"",0,1))</f>
        <v>6000</v>
      </c>
      <c r="G2160" s="4" t="str">
        <f>IF($C2160="","",_xlfn.XLOOKUP($C2160,Order!$C:$C,Order!$G:$G,"",0,1))</f>
        <v>6063T5</v>
      </c>
      <c r="H2160" s="4">
        <f>IF($C2160="","",_xlfn.XLOOKUP($C2160,Order!$C:$C,Order!$H:$H,"",0,1))</f>
        <v>0.216</v>
      </c>
      <c r="I2160" s="36">
        <f>IF($C2160="","",_xlfn.XLOOKUP($C2160,Order!$C:$C,Order!$O:$O,"",0,1))</f>
        <v>0</v>
      </c>
      <c r="J2160" s="4" t="str">
        <f>IF(C2160="","",Order!$O$16)</f>
        <v>WOOD FINISH (BA)</v>
      </c>
      <c r="K2160" s="36">
        <f>IF($C2160="","",_xlfn.XLOOKUP($C2160,Order!$C:$C,Order!$P:$P,"",0,1))</f>
        <v>0</v>
      </c>
      <c r="L2160" s="4">
        <f t="shared" si="33"/>
        <v>0</v>
      </c>
    </row>
    <row r="2161" spans="2:12" ht="23.25" hidden="1" customHeight="1" x14ac:dyDescent="0.25">
      <c r="B2161" s="4">
        <v>2156</v>
      </c>
      <c r="C2161" s="36" t="str">
        <f>IF(Order!$C$102="","",Order!$C$102)</f>
        <v>BX820</v>
      </c>
      <c r="D2161" s="36" t="str">
        <f>IF($C2161="","",_xlfn.XLOOKUP($C2161,Order!$C:$C,Order!$D:$D,"",0,1))</f>
        <v>BX820</v>
      </c>
      <c r="E2161" s="4" t="e" vm="290">
        <f>IF($C2161="","",_xlfn.XLOOKUP($C2161,Order!$C:$C,Order!$E:$E,"",0,1))</f>
        <v>#VALUE!</v>
      </c>
      <c r="F2161" s="4">
        <f>IF($C2161="","",_xlfn.XLOOKUP($C2161,Order!$C:$C,Order!$F:$F,"",0,1))</f>
        <v>6000</v>
      </c>
      <c r="G2161" s="4" t="str">
        <f>IF($C2161="","",_xlfn.XLOOKUP($C2161,Order!$C:$C,Order!$G:$G,"",0,1))</f>
        <v>6063T5</v>
      </c>
      <c r="H2161" s="4">
        <f>IF($C2161="","",_xlfn.XLOOKUP($C2161,Order!$C:$C,Order!$H:$H,"",0,1))</f>
        <v>0.74299999999999999</v>
      </c>
      <c r="I2161" s="36">
        <f>IF($C2161="","",_xlfn.XLOOKUP($C2161,Order!$C:$C,Order!$O:$O,"",0,1))</f>
        <v>0</v>
      </c>
      <c r="J2161" s="4" t="str">
        <f>IF(C2161="","",Order!$O$16)</f>
        <v>WOOD FINISH (BA)</v>
      </c>
      <c r="K2161" s="36">
        <f>IF($C2161="","",_xlfn.XLOOKUP($C2161,Order!$C:$C,Order!$P:$P,"",0,1))</f>
        <v>0</v>
      </c>
      <c r="L2161" s="4">
        <f t="shared" si="33"/>
        <v>0</v>
      </c>
    </row>
    <row r="2162" spans="2:12" ht="23.25" hidden="1" customHeight="1" x14ac:dyDescent="0.25">
      <c r="B2162" s="4">
        <v>2157</v>
      </c>
      <c r="C2162" s="36" t="str">
        <f>IF(Order!$C$103="","",Order!$C$103)</f>
        <v>BX838</v>
      </c>
      <c r="D2162" s="36" t="str">
        <f>IF($C2162="","",_xlfn.XLOOKUP($C2162,Order!$C:$C,Order!$D:$D,"",0,1))</f>
        <v>BX838</v>
      </c>
      <c r="E2162" s="4" t="e" vm="291">
        <f>IF($C2162="","",_xlfn.XLOOKUP($C2162,Order!$C:$C,Order!$E:$E,"",0,1))</f>
        <v>#VALUE!</v>
      </c>
      <c r="F2162" s="4">
        <f>IF($C2162="","",_xlfn.XLOOKUP($C2162,Order!$C:$C,Order!$F:$F,"",0,1))</f>
        <v>6000</v>
      </c>
      <c r="G2162" s="4" t="str">
        <f>IF($C2162="","",_xlfn.XLOOKUP($C2162,Order!$C:$C,Order!$G:$G,"",0,1))</f>
        <v>6063T5</v>
      </c>
      <c r="H2162" s="4">
        <f>IF($C2162="","",_xlfn.XLOOKUP($C2162,Order!$C:$C,Order!$H:$H,"",0,1))</f>
        <v>0.26800000000000002</v>
      </c>
      <c r="I2162" s="36">
        <f>IF($C2162="","",_xlfn.XLOOKUP($C2162,Order!$C:$C,Order!$O:$O,"",0,1))</f>
        <v>0</v>
      </c>
      <c r="J2162" s="4" t="str">
        <f>IF(C2162="","",Order!$O$16)</f>
        <v>WOOD FINISH (BA)</v>
      </c>
      <c r="K2162" s="36">
        <f>IF($C2162="","",_xlfn.XLOOKUP($C2162,Order!$C:$C,Order!$P:$P,"",0,1))</f>
        <v>0</v>
      </c>
      <c r="L2162" s="4">
        <f t="shared" si="33"/>
        <v>0</v>
      </c>
    </row>
    <row r="2163" spans="2:12" ht="23.25" hidden="1" customHeight="1" x14ac:dyDescent="0.25">
      <c r="B2163" s="4">
        <v>2158</v>
      </c>
      <c r="C2163" s="36" t="str">
        <f>IF(Order!$C$104="","",Order!$C$104)</f>
        <v>BX855</v>
      </c>
      <c r="D2163" s="36" t="str">
        <f>IF($C2163="","",_xlfn.XLOOKUP($C2163,Order!$C:$C,Order!$D:$D,"",0,1))</f>
        <v>BX855</v>
      </c>
      <c r="E2163" s="4" t="e" vm="292">
        <f>IF($C2163="","",_xlfn.XLOOKUP($C2163,Order!$C:$C,Order!$E:$E,"",0,1))</f>
        <v>#VALUE!</v>
      </c>
      <c r="F2163" s="4">
        <f>IF($C2163="","",_xlfn.XLOOKUP($C2163,Order!$C:$C,Order!$F:$F,"",0,1))</f>
        <v>6000</v>
      </c>
      <c r="G2163" s="4" t="str">
        <f>IF($C2163="","",_xlfn.XLOOKUP($C2163,Order!$C:$C,Order!$G:$G,"",0,1))</f>
        <v>6063T5</v>
      </c>
      <c r="H2163" s="4">
        <f>IF($C2163="","",_xlfn.XLOOKUP($C2163,Order!$C:$C,Order!$H:$H,"",0,1))</f>
        <v>0.34599999999999997</v>
      </c>
      <c r="I2163" s="36">
        <f>IF($C2163="","",_xlfn.XLOOKUP($C2163,Order!$C:$C,Order!$O:$O,"",0,1))</f>
        <v>0</v>
      </c>
      <c r="J2163" s="4" t="str">
        <f>IF(C2163="","",Order!$O$16)</f>
        <v>WOOD FINISH (BA)</v>
      </c>
      <c r="K2163" s="36">
        <f>IF($C2163="","",_xlfn.XLOOKUP($C2163,Order!$C:$C,Order!$P:$P,"",0,1))</f>
        <v>0</v>
      </c>
      <c r="L2163" s="4">
        <f t="shared" si="33"/>
        <v>0</v>
      </c>
    </row>
    <row r="2164" spans="2:12" ht="23.25" hidden="1" customHeight="1" x14ac:dyDescent="0.25">
      <c r="B2164" s="4">
        <v>2159</v>
      </c>
      <c r="C2164" s="36" t="str">
        <f>IF(Order!$C$105="","",Order!$C$105)</f>
        <v>BX952</v>
      </c>
      <c r="D2164" s="36" t="str">
        <f>IF($C2164="","",_xlfn.XLOOKUP($C2164,Order!$C:$C,Order!$D:$D,"",0,1))</f>
        <v>BX952</v>
      </c>
      <c r="E2164" s="4" t="e" vm="293">
        <f>IF($C2164="","",_xlfn.XLOOKUP($C2164,Order!$C:$C,Order!$E:$E,"",0,1))</f>
        <v>#VALUE!</v>
      </c>
      <c r="F2164" s="4">
        <f>IF($C2164="","",_xlfn.XLOOKUP($C2164,Order!$C:$C,Order!$F:$F,"",0,1))</f>
        <v>6000</v>
      </c>
      <c r="G2164" s="4" t="str">
        <f>IF($C2164="","",_xlfn.XLOOKUP($C2164,Order!$C:$C,Order!$G:$G,"",0,1))</f>
        <v>6063T5</v>
      </c>
      <c r="H2164" s="4">
        <f>IF($C2164="","",_xlfn.XLOOKUP($C2164,Order!$C:$C,Order!$H:$H,"",0,1))</f>
        <v>0.22900000000000001</v>
      </c>
      <c r="I2164" s="36">
        <f>IF($C2164="","",_xlfn.XLOOKUP($C2164,Order!$C:$C,Order!$O:$O,"",0,1))</f>
        <v>0</v>
      </c>
      <c r="J2164" s="4" t="str">
        <f>IF(C2164="","",Order!$O$16)</f>
        <v>WOOD FINISH (BA)</v>
      </c>
      <c r="K2164" s="36">
        <f>IF($C2164="","",_xlfn.XLOOKUP($C2164,Order!$C:$C,Order!$P:$P,"",0,1))</f>
        <v>0</v>
      </c>
      <c r="L2164" s="4">
        <f t="shared" si="33"/>
        <v>0</v>
      </c>
    </row>
    <row r="2165" spans="2:12" ht="23.25" hidden="1" customHeight="1" x14ac:dyDescent="0.25">
      <c r="B2165" s="4">
        <v>2160</v>
      </c>
      <c r="C2165" s="36" t="str">
        <f>IF(Order!$C$106="","",Order!$C$106)</f>
        <v>BX954</v>
      </c>
      <c r="D2165" s="36" t="str">
        <f>IF($C2165="","",_xlfn.XLOOKUP($C2165,Order!$C:$C,Order!$D:$D,"",0,1))</f>
        <v>BX954</v>
      </c>
      <c r="E2165" s="4" t="e" vm="294">
        <f>IF($C2165="","",_xlfn.XLOOKUP($C2165,Order!$C:$C,Order!$E:$E,"",0,1))</f>
        <v>#VALUE!</v>
      </c>
      <c r="F2165" s="4">
        <f>IF($C2165="","",_xlfn.XLOOKUP($C2165,Order!$C:$C,Order!$F:$F,"",0,1))</f>
        <v>6000</v>
      </c>
      <c r="G2165" s="4" t="str">
        <f>IF($C2165="","",_xlfn.XLOOKUP($C2165,Order!$C:$C,Order!$G:$G,"",0,1))</f>
        <v>6063T5</v>
      </c>
      <c r="H2165" s="4">
        <f>IF($C2165="","",_xlfn.XLOOKUP($C2165,Order!$C:$C,Order!$H:$H,"",0,1))</f>
        <v>0.47199999999999998</v>
      </c>
      <c r="I2165" s="36">
        <f>IF($C2165="","",_xlfn.XLOOKUP($C2165,Order!$C:$C,Order!$O:$O,"",0,1))</f>
        <v>0</v>
      </c>
      <c r="J2165" s="4" t="str">
        <f>IF(C2165="","",Order!$O$16)</f>
        <v>WOOD FINISH (BA)</v>
      </c>
      <c r="K2165" s="36">
        <f>IF($C2165="","",_xlfn.XLOOKUP($C2165,Order!$C:$C,Order!$P:$P,"",0,1))</f>
        <v>0</v>
      </c>
      <c r="L2165" s="4">
        <f t="shared" si="33"/>
        <v>0</v>
      </c>
    </row>
    <row r="2166" spans="2:12" ht="23.25" hidden="1" customHeight="1" x14ac:dyDescent="0.25">
      <c r="B2166" s="4">
        <v>2161</v>
      </c>
      <c r="C2166" s="36" t="str">
        <f>IF(Order!$C$107="","",Order!$C$107)</f>
        <v>BX955</v>
      </c>
      <c r="D2166" s="36" t="str">
        <f>IF($C2166="","",_xlfn.XLOOKUP($C2166,Order!$C:$C,Order!$D:$D,"",0,1))</f>
        <v>BX955</v>
      </c>
      <c r="E2166" s="4" t="e" vm="295">
        <f>IF($C2166="","",_xlfn.XLOOKUP($C2166,Order!$C:$C,Order!$E:$E,"",0,1))</f>
        <v>#VALUE!</v>
      </c>
      <c r="F2166" s="4">
        <f>IF($C2166="","",_xlfn.XLOOKUP($C2166,Order!$C:$C,Order!$F:$F,"",0,1))</f>
        <v>6000</v>
      </c>
      <c r="G2166" s="4" t="str">
        <f>IF($C2166="","",_xlfn.XLOOKUP($C2166,Order!$C:$C,Order!$G:$G,"",0,1))</f>
        <v>6063T5</v>
      </c>
      <c r="H2166" s="4">
        <f>IF($C2166="","",_xlfn.XLOOKUP($C2166,Order!$C:$C,Order!$H:$H,"",0,1))</f>
        <v>0.18</v>
      </c>
      <c r="I2166" s="36">
        <f>IF($C2166="","",_xlfn.XLOOKUP($C2166,Order!$C:$C,Order!$O:$O,"",0,1))</f>
        <v>0</v>
      </c>
      <c r="J2166" s="4" t="str">
        <f>IF(C2166="","",Order!$O$16)</f>
        <v>WOOD FINISH (BA)</v>
      </c>
      <c r="K2166" s="36">
        <f>IF($C2166="","",_xlfn.XLOOKUP($C2166,Order!$C:$C,Order!$P:$P,"",0,1))</f>
        <v>0</v>
      </c>
      <c r="L2166" s="4">
        <f t="shared" si="33"/>
        <v>0</v>
      </c>
    </row>
    <row r="2167" spans="2:12" ht="23.25" hidden="1" customHeight="1" x14ac:dyDescent="0.25">
      <c r="B2167" s="4">
        <v>2162</v>
      </c>
      <c r="C2167" s="36" t="str">
        <f>IF(Order!$C$108="","",Order!$C$108)</f>
        <v>BG011</v>
      </c>
      <c r="D2167" s="36" t="str">
        <f>IF($C2167="","",_xlfn.XLOOKUP($C2167,Order!$C:$C,Order!$D:$D,"",0,1))</f>
        <v>BG011</v>
      </c>
      <c r="E2167" s="4" t="e" vm="296">
        <f>IF($C2167="","",_xlfn.XLOOKUP($C2167,Order!$C:$C,Order!$E:$E,"",0,1))</f>
        <v>#VALUE!</v>
      </c>
      <c r="F2167" s="4">
        <f>IF($C2167="","",_xlfn.XLOOKUP($C2167,Order!$C:$C,Order!$F:$F,"",0,1))</f>
        <v>6000</v>
      </c>
      <c r="G2167" s="4" t="str">
        <f>IF($C2167="","",_xlfn.XLOOKUP($C2167,Order!$C:$C,Order!$G:$G,"",0,1))</f>
        <v>6063T5</v>
      </c>
      <c r="H2167" s="4">
        <f>IF($C2167="","",_xlfn.XLOOKUP($C2167,Order!$C:$C,Order!$H:$H,"",0,1))</f>
        <v>8.4000000000000005E-2</v>
      </c>
      <c r="I2167" s="36">
        <f>IF($C2167="","",_xlfn.XLOOKUP($C2167,Order!$C:$C,Order!$O:$O,"",0,1))</f>
        <v>0</v>
      </c>
      <c r="J2167" s="4" t="str">
        <f>IF(C2167="","",Order!$O$16)</f>
        <v>WOOD FINISH (BA)</v>
      </c>
      <c r="K2167" s="36">
        <f>IF($C2167="","",_xlfn.XLOOKUP($C2167,Order!$C:$C,Order!$P:$P,"",0,1))</f>
        <v>0</v>
      </c>
      <c r="L2167" s="4">
        <f t="shared" si="33"/>
        <v>0</v>
      </c>
    </row>
    <row r="2168" spans="2:12" ht="23.25" hidden="1" customHeight="1" x14ac:dyDescent="0.25">
      <c r="B2168" s="4">
        <v>2163</v>
      </c>
      <c r="C2168" s="36" t="str">
        <f>IF(Order!$C$109="","",Order!$C$109)</f>
        <v>DV110</v>
      </c>
      <c r="D2168" s="36" t="str">
        <f>IF($C2168="","",_xlfn.XLOOKUP($C2168,Order!$C:$C,Order!$D:$D,"",0,1))</f>
        <v>DV110</v>
      </c>
      <c r="E2168" s="4" t="e" vm="297">
        <f>IF($C2168="","",_xlfn.XLOOKUP($C2168,Order!$C:$C,Order!$E:$E,"",0,1))</f>
        <v>#VALUE!</v>
      </c>
      <c r="F2168" s="4">
        <f>IF($C2168="","",_xlfn.XLOOKUP($C2168,Order!$C:$C,Order!$F:$F,"",0,1))</f>
        <v>6000</v>
      </c>
      <c r="G2168" s="4" t="str">
        <f>IF($C2168="","",_xlfn.XLOOKUP($C2168,Order!$C:$C,Order!$G:$G,"",0,1))</f>
        <v>6063T5</v>
      </c>
      <c r="H2168" s="4">
        <f>IF($C2168="","",_xlfn.XLOOKUP($C2168,Order!$C:$C,Order!$H:$H,"",0,1))</f>
        <v>0.28299999999999997</v>
      </c>
      <c r="I2168" s="36">
        <f>IF($C2168="","",_xlfn.XLOOKUP($C2168,Order!$C:$C,Order!$O:$O,"",0,1))</f>
        <v>0</v>
      </c>
      <c r="J2168" s="4" t="str">
        <f>IF(C2168="","",Order!$O$16)</f>
        <v>WOOD FINISH (BA)</v>
      </c>
      <c r="K2168" s="36">
        <f>IF($C2168="","",_xlfn.XLOOKUP($C2168,Order!$C:$C,Order!$P:$P,"",0,1))</f>
        <v>0</v>
      </c>
      <c r="L2168" s="4">
        <f t="shared" si="33"/>
        <v>0</v>
      </c>
    </row>
    <row r="2169" spans="2:12" ht="23.25" hidden="1" customHeight="1" x14ac:dyDescent="0.25">
      <c r="B2169" s="4">
        <v>2164</v>
      </c>
      <c r="C2169" s="36" t="str">
        <f>IF(Order!$C$110="","",Order!$C$110)</f>
        <v>DV111</v>
      </c>
      <c r="D2169" s="36" t="str">
        <f>IF($C2169="","",_xlfn.XLOOKUP($C2169,Order!$C:$C,Order!$D:$D,"",0,1))</f>
        <v>DV111</v>
      </c>
      <c r="E2169" s="4" t="e" vm="298">
        <f>IF($C2169="","",_xlfn.XLOOKUP($C2169,Order!$C:$C,Order!$E:$E,"",0,1))</f>
        <v>#VALUE!</v>
      </c>
      <c r="F2169" s="4">
        <f>IF($C2169="","",_xlfn.XLOOKUP($C2169,Order!$C:$C,Order!$F:$F,"",0,1))</f>
        <v>6000</v>
      </c>
      <c r="G2169" s="4" t="str">
        <f>IF($C2169="","",_xlfn.XLOOKUP($C2169,Order!$C:$C,Order!$G:$G,"",0,1))</f>
        <v>6063T5</v>
      </c>
      <c r="H2169" s="4">
        <f>IF($C2169="","",_xlfn.XLOOKUP($C2169,Order!$C:$C,Order!$H:$H,"",0,1))</f>
        <v>0.188</v>
      </c>
      <c r="I2169" s="36">
        <f>IF($C2169="","",_xlfn.XLOOKUP($C2169,Order!$C:$C,Order!$O:$O,"",0,1))</f>
        <v>0</v>
      </c>
      <c r="J2169" s="4" t="str">
        <f>IF(C2169="","",Order!$O$16)</f>
        <v>WOOD FINISH (BA)</v>
      </c>
      <c r="K2169" s="36">
        <f>IF($C2169="","",_xlfn.XLOOKUP($C2169,Order!$C:$C,Order!$P:$P,"",0,1))</f>
        <v>0</v>
      </c>
      <c r="L2169" s="4">
        <f t="shared" si="33"/>
        <v>0</v>
      </c>
    </row>
    <row r="2170" spans="2:12" ht="23.25" hidden="1" customHeight="1" x14ac:dyDescent="0.25">
      <c r="B2170" s="4">
        <v>2165</v>
      </c>
      <c r="C2170" s="36" t="str">
        <f>IF(Order!$C$111="","",Order!$C$111)</f>
        <v>DV112</v>
      </c>
      <c r="D2170" s="36" t="str">
        <f>IF($C2170="","",_xlfn.XLOOKUP($C2170,Order!$C:$C,Order!$D:$D,"",0,1))</f>
        <v>DV112</v>
      </c>
      <c r="E2170" s="4" t="e" vm="299">
        <f>IF($C2170="","",_xlfn.XLOOKUP($C2170,Order!$C:$C,Order!$E:$E,"",0,1))</f>
        <v>#VALUE!</v>
      </c>
      <c r="F2170" s="4">
        <f>IF($C2170="","",_xlfn.XLOOKUP($C2170,Order!$C:$C,Order!$F:$F,"",0,1))</f>
        <v>6000</v>
      </c>
      <c r="G2170" s="4" t="str">
        <f>IF($C2170="","",_xlfn.XLOOKUP($C2170,Order!$C:$C,Order!$G:$G,"",0,1))</f>
        <v>6063T5</v>
      </c>
      <c r="H2170" s="4">
        <f>IF($C2170="","",_xlfn.XLOOKUP($C2170,Order!$C:$C,Order!$H:$H,"",0,1))</f>
        <v>0.23200000000000001</v>
      </c>
      <c r="I2170" s="36">
        <f>IF($C2170="","",_xlfn.XLOOKUP($C2170,Order!$C:$C,Order!$O:$O,"",0,1))</f>
        <v>0</v>
      </c>
      <c r="J2170" s="4" t="str">
        <f>IF(C2170="","",Order!$O$16)</f>
        <v>WOOD FINISH (BA)</v>
      </c>
      <c r="K2170" s="36">
        <f>IF($C2170="","",_xlfn.XLOOKUP($C2170,Order!$C:$C,Order!$P:$P,"",0,1))</f>
        <v>0</v>
      </c>
      <c r="L2170" s="4">
        <f t="shared" si="33"/>
        <v>0</v>
      </c>
    </row>
    <row r="2171" spans="2:12" ht="23.25" hidden="1" customHeight="1" x14ac:dyDescent="0.25">
      <c r="B2171" s="4">
        <v>2166</v>
      </c>
      <c r="C2171" s="36" t="str">
        <f>IF(Order!$C$112="","",Order!$C$112)</f>
        <v>DV132</v>
      </c>
      <c r="D2171" s="36" t="str">
        <f>IF($C2171="","",_xlfn.XLOOKUP($C2171,Order!$C:$C,Order!$D:$D,"",0,1))</f>
        <v>DV132</v>
      </c>
      <c r="E2171" s="4" t="e" vm="300">
        <f>IF($C2171="","",_xlfn.XLOOKUP($C2171,Order!$C:$C,Order!$E:$E,"",0,1))</f>
        <v>#VALUE!</v>
      </c>
      <c r="F2171" s="4">
        <f>IF($C2171="","",_xlfn.XLOOKUP($C2171,Order!$C:$C,Order!$F:$F,"",0,1))</f>
        <v>6000</v>
      </c>
      <c r="G2171" s="4" t="str">
        <f>IF($C2171="","",_xlfn.XLOOKUP($C2171,Order!$C:$C,Order!$G:$G,"",0,1))</f>
        <v>6063T5</v>
      </c>
      <c r="H2171" s="4">
        <f>IF($C2171="","",_xlfn.XLOOKUP($C2171,Order!$C:$C,Order!$H:$H,"",0,1))</f>
        <v>0.246</v>
      </c>
      <c r="I2171" s="36">
        <f>IF($C2171="","",_xlfn.XLOOKUP($C2171,Order!$C:$C,Order!$O:$O,"",0,1))</f>
        <v>0</v>
      </c>
      <c r="J2171" s="4" t="str">
        <f>IF(C2171="","",Order!$O$16)</f>
        <v>WOOD FINISH (BA)</v>
      </c>
      <c r="K2171" s="36">
        <f>IF($C2171="","",_xlfn.XLOOKUP($C2171,Order!$C:$C,Order!$P:$P,"",0,1))</f>
        <v>0</v>
      </c>
      <c r="L2171" s="4">
        <f t="shared" si="33"/>
        <v>0</v>
      </c>
    </row>
    <row r="2172" spans="2:12" ht="23.25" hidden="1" customHeight="1" x14ac:dyDescent="0.25">
      <c r="B2172" s="4">
        <v>2167</v>
      </c>
      <c r="C2172" s="36" t="str">
        <f>IF(Order!$C$113="","",Order!$C$113)</f>
        <v>BX796</v>
      </c>
      <c r="D2172" s="36" t="str">
        <f>IF($C2172="","",_xlfn.XLOOKUP($C2172,Order!$C:$C,Order!$D:$D,"",0,1))</f>
        <v>BX796</v>
      </c>
      <c r="E2172" s="4" t="e" vm="301">
        <f>IF($C2172="","",_xlfn.XLOOKUP($C2172,Order!$C:$C,Order!$E:$E,"",0,1))</f>
        <v>#VALUE!</v>
      </c>
      <c r="F2172" s="4">
        <f>IF($C2172="","",_xlfn.XLOOKUP($C2172,Order!$C:$C,Order!$F:$F,"",0,1))</f>
        <v>6000</v>
      </c>
      <c r="G2172" s="4" t="str">
        <f>IF($C2172="","",_xlfn.XLOOKUP($C2172,Order!$C:$C,Order!$G:$G,"",0,1))</f>
        <v>6063T5</v>
      </c>
      <c r="H2172" s="4">
        <f>IF($C2172="","",_xlfn.XLOOKUP($C2172,Order!$C:$C,Order!$H:$H,"",0,1))</f>
        <v>0.22700000000000001</v>
      </c>
      <c r="I2172" s="36">
        <f>IF($C2172="","",_xlfn.XLOOKUP($C2172,Order!$C:$C,Order!$O:$O,"",0,1))</f>
        <v>0</v>
      </c>
      <c r="J2172" s="4" t="str">
        <f>IF(C2172="","",Order!$O$16)</f>
        <v>WOOD FINISH (BA)</v>
      </c>
      <c r="K2172" s="36">
        <f>IF($C2172="","",_xlfn.XLOOKUP($C2172,Order!$C:$C,Order!$P:$P,"",0,1))</f>
        <v>0</v>
      </c>
      <c r="L2172" s="4">
        <f t="shared" si="33"/>
        <v>0</v>
      </c>
    </row>
    <row r="2173" spans="2:12" ht="23.25" hidden="1" customHeight="1" x14ac:dyDescent="0.25">
      <c r="B2173" s="4">
        <v>2168</v>
      </c>
      <c r="C2173" s="36" t="str">
        <f>IF(Order!$C$114="","",Order!$C$114)</f>
        <v>BX797</v>
      </c>
      <c r="D2173" s="36" t="str">
        <f>IF($C2173="","",_xlfn.XLOOKUP($C2173,Order!$C:$C,Order!$D:$D,"",0,1))</f>
        <v>BX797</v>
      </c>
      <c r="E2173" s="4" t="e" vm="302">
        <f>IF($C2173="","",_xlfn.XLOOKUP($C2173,Order!$C:$C,Order!$E:$E,"",0,1))</f>
        <v>#VALUE!</v>
      </c>
      <c r="F2173" s="4">
        <f>IF($C2173="","",_xlfn.XLOOKUP($C2173,Order!$C:$C,Order!$F:$F,"",0,1))</f>
        <v>6000</v>
      </c>
      <c r="G2173" s="4" t="str">
        <f>IF($C2173="","",_xlfn.XLOOKUP($C2173,Order!$C:$C,Order!$G:$G,"",0,1))</f>
        <v>6063T5</v>
      </c>
      <c r="H2173" s="4">
        <f>IF($C2173="","",_xlfn.XLOOKUP($C2173,Order!$C:$C,Order!$H:$H,"",0,1))</f>
        <v>8.6999999999999994E-2</v>
      </c>
      <c r="I2173" s="36">
        <f>IF($C2173="","",_xlfn.XLOOKUP($C2173,Order!$C:$C,Order!$O:$O,"",0,1))</f>
        <v>0</v>
      </c>
      <c r="J2173" s="4" t="str">
        <f>IF(C2173="","",Order!$O$16)</f>
        <v>WOOD FINISH (BA)</v>
      </c>
      <c r="K2173" s="36">
        <f>IF($C2173="","",_xlfn.XLOOKUP($C2173,Order!$C:$C,Order!$P:$P,"",0,1))</f>
        <v>0</v>
      </c>
      <c r="L2173" s="4">
        <f t="shared" si="33"/>
        <v>0</v>
      </c>
    </row>
    <row r="2174" spans="2:12" ht="23.25" hidden="1" customHeight="1" x14ac:dyDescent="0.25">
      <c r="B2174" s="4">
        <v>2169</v>
      </c>
      <c r="C2174" s="36" t="str">
        <f>IF(Order!$C$115="","",Order!$C$115)</f>
        <v>BX798</v>
      </c>
      <c r="D2174" s="36" t="str">
        <f>IF($C2174="","",_xlfn.XLOOKUP($C2174,Order!$C:$C,Order!$D:$D,"",0,1))</f>
        <v>BX798</v>
      </c>
      <c r="E2174" s="4" t="e" vm="303">
        <f>IF($C2174="","",_xlfn.XLOOKUP($C2174,Order!$C:$C,Order!$E:$E,"",0,1))</f>
        <v>#VALUE!</v>
      </c>
      <c r="F2174" s="4">
        <f>IF($C2174="","",_xlfn.XLOOKUP($C2174,Order!$C:$C,Order!$F:$F,"",0,1))</f>
        <v>6000</v>
      </c>
      <c r="G2174" s="4" t="str">
        <f>IF($C2174="","",_xlfn.XLOOKUP($C2174,Order!$C:$C,Order!$G:$G,"",0,1))</f>
        <v>6063T5</v>
      </c>
      <c r="H2174" s="4">
        <f>IF($C2174="","",_xlfn.XLOOKUP($C2174,Order!$C:$C,Order!$H:$H,"",0,1))</f>
        <v>0.20300000000000001</v>
      </c>
      <c r="I2174" s="36">
        <f>IF($C2174="","",_xlfn.XLOOKUP($C2174,Order!$C:$C,Order!$O:$O,"",0,1))</f>
        <v>0</v>
      </c>
      <c r="J2174" s="4" t="str">
        <f>IF(C2174="","",Order!$O$16)</f>
        <v>WOOD FINISH (BA)</v>
      </c>
      <c r="K2174" s="36">
        <f>IF($C2174="","",_xlfn.XLOOKUP($C2174,Order!$C:$C,Order!$P:$P,"",0,1))</f>
        <v>0</v>
      </c>
      <c r="L2174" s="4">
        <f t="shared" si="33"/>
        <v>0</v>
      </c>
    </row>
    <row r="2175" spans="2:12" ht="23.25" hidden="1" customHeight="1" x14ac:dyDescent="0.25">
      <c r="B2175" s="4">
        <v>2170</v>
      </c>
      <c r="C2175" s="36" t="str">
        <f>IF(Order!$C$116="","",Order!$C$116)</f>
        <v>BX799</v>
      </c>
      <c r="D2175" s="36" t="str">
        <f>IF($C2175="","",_xlfn.XLOOKUP($C2175,Order!$C:$C,Order!$D:$D,"",0,1))</f>
        <v>BX799</v>
      </c>
      <c r="E2175" s="4" t="e" vm="304">
        <f>IF($C2175="","",_xlfn.XLOOKUP($C2175,Order!$C:$C,Order!$E:$E,"",0,1))</f>
        <v>#VALUE!</v>
      </c>
      <c r="F2175" s="4">
        <f>IF($C2175="","",_xlfn.XLOOKUP($C2175,Order!$C:$C,Order!$F:$F,"",0,1))</f>
        <v>6000</v>
      </c>
      <c r="G2175" s="4" t="str">
        <f>IF($C2175="","",_xlfn.XLOOKUP($C2175,Order!$C:$C,Order!$G:$G,"",0,1))</f>
        <v>6063T5</v>
      </c>
      <c r="H2175" s="4">
        <f>IF($C2175="","",_xlfn.XLOOKUP($C2175,Order!$C:$C,Order!$H:$H,"",0,1))</f>
        <v>0.16300000000000001</v>
      </c>
      <c r="I2175" s="36">
        <f>IF($C2175="","",_xlfn.XLOOKUP($C2175,Order!$C:$C,Order!$O:$O,"",0,1))</f>
        <v>0</v>
      </c>
      <c r="J2175" s="4" t="str">
        <f>IF(C2175="","",Order!$O$16)</f>
        <v>WOOD FINISH (BA)</v>
      </c>
      <c r="K2175" s="36">
        <f>IF($C2175="","",_xlfn.XLOOKUP($C2175,Order!$C:$C,Order!$P:$P,"",0,1))</f>
        <v>0</v>
      </c>
      <c r="L2175" s="4">
        <f t="shared" si="33"/>
        <v>0</v>
      </c>
    </row>
    <row r="2176" spans="2:12" ht="23.25" hidden="1" customHeight="1" x14ac:dyDescent="0.25">
      <c r="B2176" s="4">
        <v>2171</v>
      </c>
      <c r="C2176" s="36" t="str">
        <f>IF(Order!$C$117="","",Order!$C$117)</f>
        <v>BX958</v>
      </c>
      <c r="D2176" s="36" t="str">
        <f>IF($C2176="","",_xlfn.XLOOKUP($C2176,Order!$C:$C,Order!$D:$D,"",0,1))</f>
        <v>BX958</v>
      </c>
      <c r="E2176" s="4" t="e" vm="305">
        <f>IF($C2176="","",_xlfn.XLOOKUP($C2176,Order!$C:$C,Order!$E:$E,"",0,1))</f>
        <v>#VALUE!</v>
      </c>
      <c r="F2176" s="4">
        <f>IF($C2176="","",_xlfn.XLOOKUP($C2176,Order!$C:$C,Order!$F:$F,"",0,1))</f>
        <v>6000</v>
      </c>
      <c r="G2176" s="4" t="str">
        <f>IF($C2176="","",_xlfn.XLOOKUP($C2176,Order!$C:$C,Order!$G:$G,"",0,1))</f>
        <v>6063T5</v>
      </c>
      <c r="H2176" s="4">
        <f>IF($C2176="","",_xlfn.XLOOKUP($C2176,Order!$C:$C,Order!$H:$H,"",0,1))</f>
        <v>0.48199999999999998</v>
      </c>
      <c r="I2176" s="36">
        <f>IF($C2176="","",_xlfn.XLOOKUP($C2176,Order!$C:$C,Order!$O:$O,"",0,1))</f>
        <v>0</v>
      </c>
      <c r="J2176" s="4" t="str">
        <f>IF(C2176="","",Order!$O$16)</f>
        <v>WOOD FINISH (BA)</v>
      </c>
      <c r="K2176" s="36">
        <f>IF($C2176="","",_xlfn.XLOOKUP($C2176,Order!$C:$C,Order!$P:$P,"",0,1))</f>
        <v>0</v>
      </c>
      <c r="L2176" s="4">
        <f t="shared" si="33"/>
        <v>0</v>
      </c>
    </row>
    <row r="2177" spans="2:12" ht="23.25" hidden="1" customHeight="1" x14ac:dyDescent="0.25">
      <c r="B2177" s="4">
        <v>2172</v>
      </c>
      <c r="C2177" s="36" t="str">
        <f>IF(Order!$C$118="","",Order!$C$118)</f>
        <v>BG202</v>
      </c>
      <c r="D2177" s="36" t="str">
        <f>IF($C2177="","",_xlfn.XLOOKUP($C2177,Order!$C:$C,Order!$D:$D,"",0,1))</f>
        <v>BG202</v>
      </c>
      <c r="E2177" s="4" t="e" vm="306">
        <f>IF($C2177="","",_xlfn.XLOOKUP($C2177,Order!$C:$C,Order!$E:$E,"",0,1))</f>
        <v>#VALUE!</v>
      </c>
      <c r="F2177" s="4">
        <f>IF($C2177="","",_xlfn.XLOOKUP($C2177,Order!$C:$C,Order!$F:$F,"",0,1))</f>
        <v>6000</v>
      </c>
      <c r="G2177" s="4" t="str">
        <f>IF($C2177="","",_xlfn.XLOOKUP($C2177,Order!$C:$C,Order!$G:$G,"",0,1))</f>
        <v>6063T5</v>
      </c>
      <c r="H2177" s="4">
        <f>IF($C2177="","",_xlfn.XLOOKUP($C2177,Order!$C:$C,Order!$H:$H,"",0,1))</f>
        <v>8.8999999999999996E-2</v>
      </c>
      <c r="I2177" s="36">
        <f>IF($C2177="","",_xlfn.XLOOKUP($C2177,Order!$C:$C,Order!$O:$O,"",0,1))</f>
        <v>0</v>
      </c>
      <c r="J2177" s="4" t="str">
        <f>IF(C2177="","",Order!$O$16)</f>
        <v>WOOD FINISH (BA)</v>
      </c>
      <c r="K2177" s="36">
        <f>IF($C2177="","",_xlfn.XLOOKUP($C2177,Order!$C:$C,Order!$P:$P,"",0,1))</f>
        <v>0</v>
      </c>
      <c r="L2177" s="4">
        <f t="shared" si="33"/>
        <v>0</v>
      </c>
    </row>
    <row r="2178" spans="2:12" ht="23.25" hidden="1" customHeight="1" x14ac:dyDescent="0.25">
      <c r="B2178" s="4">
        <v>2173</v>
      </c>
      <c r="C2178" s="36" t="str">
        <f>IF(Order!$C$119="","",Order!$C$119)</f>
        <v>MP069</v>
      </c>
      <c r="D2178" s="36" t="str">
        <f>IF($C2178="","",_xlfn.XLOOKUP($C2178,Order!$C:$C,Order!$D:$D,"",0,1))</f>
        <v>MP069</v>
      </c>
      <c r="E2178" s="4" t="e" vm="307">
        <f>IF($C2178="","",_xlfn.XLOOKUP($C2178,Order!$C:$C,Order!$E:$E,"",0,1))</f>
        <v>#VALUE!</v>
      </c>
      <c r="F2178" s="4">
        <f>IF($C2178="","",_xlfn.XLOOKUP($C2178,Order!$C:$C,Order!$F:$F,"",0,1))</f>
        <v>0</v>
      </c>
      <c r="G2178" s="4" t="str">
        <f>IF($C2178="","",_xlfn.XLOOKUP($C2178,Order!$C:$C,Order!$G:$G,"",0,1))</f>
        <v>6063T5</v>
      </c>
      <c r="H2178" s="4">
        <f>IF($C2178="","",_xlfn.XLOOKUP($C2178,Order!$C:$C,Order!$H:$H,"",0,1))</f>
        <v>0.57799999999999996</v>
      </c>
      <c r="I2178" s="36">
        <f>IF($C2178="","",_xlfn.XLOOKUP($C2178,Order!$C:$C,Order!$O:$O,"",0,1))</f>
        <v>0</v>
      </c>
      <c r="J2178" s="4" t="str">
        <f>IF(C2178="","",Order!$O$16)</f>
        <v>WOOD FINISH (BA)</v>
      </c>
      <c r="K2178" s="36">
        <f>IF($C2178="","",_xlfn.XLOOKUP($C2178,Order!$C:$C,Order!$P:$P,"",0,1))</f>
        <v>0</v>
      </c>
      <c r="L2178" s="4">
        <f t="shared" si="33"/>
        <v>0</v>
      </c>
    </row>
    <row r="2179" spans="2:12" ht="23.25" hidden="1" customHeight="1" x14ac:dyDescent="0.25">
      <c r="B2179" s="4">
        <v>2174</v>
      </c>
      <c r="C2179" s="36" t="str">
        <f>IF(Order!$C$120="","",Order!$C$120)</f>
        <v>MP070</v>
      </c>
      <c r="D2179" s="36" t="str">
        <f>IF($C2179="","",_xlfn.XLOOKUP($C2179,Order!$C:$C,Order!$D:$D,"",0,1))</f>
        <v>MP070</v>
      </c>
      <c r="E2179" s="4" t="e" vm="308">
        <f>IF($C2179="","",_xlfn.XLOOKUP($C2179,Order!$C:$C,Order!$E:$E,"",0,1))</f>
        <v>#VALUE!</v>
      </c>
      <c r="F2179" s="4">
        <f>IF($C2179="","",_xlfn.XLOOKUP($C2179,Order!$C:$C,Order!$F:$F,"",0,1))</f>
        <v>0</v>
      </c>
      <c r="G2179" s="4" t="str">
        <f>IF($C2179="","",_xlfn.XLOOKUP($C2179,Order!$C:$C,Order!$G:$G,"",0,1))</f>
        <v>6063T5</v>
      </c>
      <c r="H2179" s="4">
        <f>IF($C2179="","",_xlfn.XLOOKUP($C2179,Order!$C:$C,Order!$H:$H,"",0,1))</f>
        <v>0.46800000000000003</v>
      </c>
      <c r="I2179" s="36">
        <f>IF($C2179="","",_xlfn.XLOOKUP($C2179,Order!$C:$C,Order!$O:$O,"",0,1))</f>
        <v>0</v>
      </c>
      <c r="J2179" s="4" t="str">
        <f>IF(C2179="","",Order!$O$16)</f>
        <v>WOOD FINISH (BA)</v>
      </c>
      <c r="K2179" s="36">
        <f>IF($C2179="","",_xlfn.XLOOKUP($C2179,Order!$C:$C,Order!$P:$P,"",0,1))</f>
        <v>0</v>
      </c>
      <c r="L2179" s="4">
        <f t="shared" si="33"/>
        <v>0</v>
      </c>
    </row>
    <row r="2180" spans="2:12" ht="23.25" hidden="1" customHeight="1" x14ac:dyDescent="0.25">
      <c r="B2180" s="4">
        <v>2175</v>
      </c>
      <c r="C2180" s="36" t="str">
        <f>IF(Order!$C$121="","",Order!$C$121)</f>
        <v>MP300</v>
      </c>
      <c r="D2180" s="36" t="str">
        <f>IF($C2180="","",_xlfn.XLOOKUP($C2180,Order!$C:$C,Order!$D:$D,"",0,1))</f>
        <v>MP300MP</v>
      </c>
      <c r="E2180" s="4" t="e" vm="309">
        <f>IF($C2180="","",_xlfn.XLOOKUP($C2180,Order!$C:$C,Order!$E:$E,"",0,1))</f>
        <v>#VALUE!</v>
      </c>
      <c r="F2180" s="4">
        <f>IF($C2180="","",_xlfn.XLOOKUP($C2180,Order!$C:$C,Order!$F:$F,"",0,1))</f>
        <v>6000</v>
      </c>
      <c r="G2180" s="4" t="str">
        <f>IF($C2180="","",_xlfn.XLOOKUP($C2180,Order!$C:$C,Order!$G:$G,"",0,1))</f>
        <v>6063T5</v>
      </c>
      <c r="H2180" s="4">
        <f>IF($C2180="","",_xlfn.XLOOKUP($C2180,Order!$C:$C,Order!$H:$H,"",0,1))</f>
        <v>0.29799999999999999</v>
      </c>
      <c r="I2180" s="36">
        <f>IF($C2180="","",_xlfn.XLOOKUP($C2180,Order!$C:$C,Order!$O:$O,"",0,1))</f>
        <v>0</v>
      </c>
      <c r="J2180" s="4" t="str">
        <f>IF(C2180="","",Order!$O$16)</f>
        <v>WOOD FINISH (BA)</v>
      </c>
      <c r="K2180" s="36">
        <f>IF($C2180="","",_xlfn.XLOOKUP($C2180,Order!$C:$C,Order!$P:$P,"",0,1))</f>
        <v>0</v>
      </c>
      <c r="L2180" s="4">
        <f t="shared" si="33"/>
        <v>0</v>
      </c>
    </row>
    <row r="2181" spans="2:12" ht="23.25" hidden="1" customHeight="1" x14ac:dyDescent="0.25">
      <c r="B2181" s="4">
        <v>2176</v>
      </c>
      <c r="C2181" s="36" t="str">
        <f>IF(Order!$C$122="","",Order!$C$122)</f>
        <v>MP302</v>
      </c>
      <c r="D2181" s="36" t="str">
        <f>IF($C2181="","",_xlfn.XLOOKUP($C2181,Order!$C:$C,Order!$D:$D,"",0,1))</f>
        <v>MP302</v>
      </c>
      <c r="E2181" s="4" t="e" vm="310">
        <f>IF($C2181="","",_xlfn.XLOOKUP($C2181,Order!$C:$C,Order!$E:$E,"",0,1))</f>
        <v>#VALUE!</v>
      </c>
      <c r="F2181" s="4">
        <f>IF($C2181="","",_xlfn.XLOOKUP($C2181,Order!$C:$C,Order!$F:$F,"",0,1))</f>
        <v>6000</v>
      </c>
      <c r="G2181" s="4" t="str">
        <f>IF($C2181="","",_xlfn.XLOOKUP($C2181,Order!$C:$C,Order!$G:$G,"",0,1))</f>
        <v>6063T5</v>
      </c>
      <c r="H2181" s="4">
        <f>IF($C2181="","",_xlfn.XLOOKUP($C2181,Order!$C:$C,Order!$H:$H,"",0,1))</f>
        <v>0.34399999999999997</v>
      </c>
      <c r="I2181" s="36">
        <f>IF($C2181="","",_xlfn.XLOOKUP($C2181,Order!$C:$C,Order!$O:$O,"",0,1))</f>
        <v>0</v>
      </c>
      <c r="J2181" s="4" t="str">
        <f>IF(C2181="","",Order!$O$16)</f>
        <v>WOOD FINISH (BA)</v>
      </c>
      <c r="K2181" s="36">
        <f>IF($C2181="","",_xlfn.XLOOKUP($C2181,Order!$C:$C,Order!$P:$P,"",0,1))</f>
        <v>0</v>
      </c>
      <c r="L2181" s="4">
        <f t="shared" si="33"/>
        <v>0</v>
      </c>
    </row>
    <row r="2182" spans="2:12" ht="23.25" hidden="1" customHeight="1" x14ac:dyDescent="0.25">
      <c r="B2182" s="4">
        <v>2177</v>
      </c>
      <c r="C2182" s="36" t="str">
        <f>IF(Order!$C$123="","",Order!$C$123)</f>
        <v>MP309</v>
      </c>
      <c r="D2182" s="36" t="str">
        <f>IF($C2182="","",_xlfn.XLOOKUP($C2182,Order!$C:$C,Order!$D:$D,"",0,1))</f>
        <v>MP309</v>
      </c>
      <c r="E2182" s="4" t="e" vm="311">
        <f>IF($C2182="","",_xlfn.XLOOKUP($C2182,Order!$C:$C,Order!$E:$E,"",0,1))</f>
        <v>#VALUE!</v>
      </c>
      <c r="F2182" s="4">
        <f>IF($C2182="","",_xlfn.XLOOKUP($C2182,Order!$C:$C,Order!$F:$F,"",0,1))</f>
        <v>6000</v>
      </c>
      <c r="G2182" s="4" t="str">
        <f>IF($C2182="","",_xlfn.XLOOKUP($C2182,Order!$C:$C,Order!$G:$G,"",0,1))</f>
        <v>6063T5</v>
      </c>
      <c r="H2182" s="4">
        <f>IF($C2182="","",_xlfn.XLOOKUP($C2182,Order!$C:$C,Order!$H:$H,"",0,1))</f>
        <v>0.36499999999999999</v>
      </c>
      <c r="I2182" s="36">
        <f>IF($C2182="","",_xlfn.XLOOKUP($C2182,Order!$C:$C,Order!$O:$O,"",0,1))</f>
        <v>0</v>
      </c>
      <c r="J2182" s="4" t="str">
        <f>IF(C2182="","",Order!$O$16)</f>
        <v>WOOD FINISH (BA)</v>
      </c>
      <c r="K2182" s="36">
        <f>IF($C2182="","",_xlfn.XLOOKUP($C2182,Order!$C:$C,Order!$P:$P,"",0,1))</f>
        <v>0</v>
      </c>
      <c r="L2182" s="4">
        <f t="shared" si="33"/>
        <v>0</v>
      </c>
    </row>
    <row r="2183" spans="2:12" ht="23.25" hidden="1" customHeight="1" x14ac:dyDescent="0.25">
      <c r="B2183" s="4">
        <v>2178</v>
      </c>
      <c r="C2183" s="36" t="str">
        <f>IF(Order!$C$124="","",Order!$C$124)</f>
        <v>MP321</v>
      </c>
      <c r="D2183" s="36" t="str">
        <f>IF($C2183="","",_xlfn.XLOOKUP($C2183,Order!$C:$C,Order!$D:$D,"",0,1))</f>
        <v>MP321MP</v>
      </c>
      <c r="E2183" s="4" t="e" vm="312">
        <f>IF($C2183="","",_xlfn.XLOOKUP($C2183,Order!$C:$C,Order!$E:$E,"",0,1))</f>
        <v>#VALUE!</v>
      </c>
      <c r="F2183" s="4">
        <f>IF($C2183="","",_xlfn.XLOOKUP($C2183,Order!$C:$C,Order!$F:$F,"",0,1))</f>
        <v>6000</v>
      </c>
      <c r="G2183" s="4" t="str">
        <f>IF($C2183="","",_xlfn.XLOOKUP($C2183,Order!$C:$C,Order!$G:$G,"",0,1))</f>
        <v>6063T5</v>
      </c>
      <c r="H2183" s="4">
        <f>IF($C2183="","",_xlfn.XLOOKUP($C2183,Order!$C:$C,Order!$H:$H,"",0,1))</f>
        <v>0.33900000000000002</v>
      </c>
      <c r="I2183" s="36">
        <f>IF($C2183="","",_xlfn.XLOOKUP($C2183,Order!$C:$C,Order!$O:$O,"",0,1))</f>
        <v>0</v>
      </c>
      <c r="J2183" s="4" t="str">
        <f>IF(C2183="","",Order!$O$16)</f>
        <v>WOOD FINISH (BA)</v>
      </c>
      <c r="K2183" s="36">
        <f>IF($C2183="","",_xlfn.XLOOKUP($C2183,Order!$C:$C,Order!$P:$P,"",0,1))</f>
        <v>0</v>
      </c>
      <c r="L2183" s="4">
        <f t="shared" ref="L2183:L2246" si="34">IF(C2183="","",F2183/1000*H2183*I2183)</f>
        <v>0</v>
      </c>
    </row>
    <row r="2184" spans="2:12" ht="23.25" hidden="1" customHeight="1" x14ac:dyDescent="0.25">
      <c r="B2184" s="4">
        <v>2179</v>
      </c>
      <c r="C2184" s="36" t="str">
        <f>IF(Order!$C$125="","",Order!$C$125)</f>
        <v>MP332</v>
      </c>
      <c r="D2184" s="36" t="str">
        <f>IF($C2184="","",_xlfn.XLOOKUP($C2184,Order!$C:$C,Order!$D:$D,"",0,1))</f>
        <v>MP332</v>
      </c>
      <c r="E2184" s="4" t="e" vm="313">
        <f>IF($C2184="","",_xlfn.XLOOKUP($C2184,Order!$C:$C,Order!$E:$E,"",0,1))</f>
        <v>#VALUE!</v>
      </c>
      <c r="F2184" s="4">
        <f>IF($C2184="","",_xlfn.XLOOKUP($C2184,Order!$C:$C,Order!$F:$F,"",0,1))</f>
        <v>6000</v>
      </c>
      <c r="G2184" s="4" t="str">
        <f>IF($C2184="","",_xlfn.XLOOKUP($C2184,Order!$C:$C,Order!$G:$G,"",0,1))</f>
        <v>6063T5</v>
      </c>
      <c r="H2184" s="4">
        <f>IF($C2184="","",_xlfn.XLOOKUP($C2184,Order!$C:$C,Order!$H:$H,"",0,1))</f>
        <v>0.47599999999999998</v>
      </c>
      <c r="I2184" s="36">
        <f>IF($C2184="","",_xlfn.XLOOKUP($C2184,Order!$C:$C,Order!$O:$O,"",0,1))</f>
        <v>0</v>
      </c>
      <c r="J2184" s="4" t="str">
        <f>IF(C2184="","",Order!$O$16)</f>
        <v>WOOD FINISH (BA)</v>
      </c>
      <c r="K2184" s="36">
        <f>IF($C2184="","",_xlfn.XLOOKUP($C2184,Order!$C:$C,Order!$P:$P,"",0,1))</f>
        <v>0</v>
      </c>
      <c r="L2184" s="4">
        <f t="shared" si="34"/>
        <v>0</v>
      </c>
    </row>
    <row r="2185" spans="2:12" ht="23.25" hidden="1" customHeight="1" x14ac:dyDescent="0.25">
      <c r="B2185" s="4">
        <v>2180</v>
      </c>
      <c r="C2185" s="36" t="str">
        <f>IF(Order!$C$126="","",Order!$C$126)</f>
        <v>MP336</v>
      </c>
      <c r="D2185" s="36" t="str">
        <f>IF($C2185="","",_xlfn.XLOOKUP($C2185,Order!$C:$C,Order!$D:$D,"",0,1))</f>
        <v>MP336MP</v>
      </c>
      <c r="E2185" s="4" t="e" vm="314">
        <f>IF($C2185="","",_xlfn.XLOOKUP($C2185,Order!$C:$C,Order!$E:$E,"",0,1))</f>
        <v>#VALUE!</v>
      </c>
      <c r="F2185" s="4">
        <f>IF($C2185="","",_xlfn.XLOOKUP($C2185,Order!$C:$C,Order!$F:$F,"",0,1))</f>
        <v>0</v>
      </c>
      <c r="G2185" s="4" t="str">
        <f>IF($C2185="","",_xlfn.XLOOKUP($C2185,Order!$C:$C,Order!$G:$G,"",0,1))</f>
        <v>6063T5</v>
      </c>
      <c r="H2185" s="4">
        <f>IF($C2185="","",_xlfn.XLOOKUP($C2185,Order!$C:$C,Order!$H:$H,"",0,1))</f>
        <v>0.42299999999999999</v>
      </c>
      <c r="I2185" s="36">
        <f>IF($C2185="","",_xlfn.XLOOKUP($C2185,Order!$C:$C,Order!$O:$O,"",0,1))</f>
        <v>0</v>
      </c>
      <c r="J2185" s="4" t="str">
        <f>IF(C2185="","",Order!$O$16)</f>
        <v>WOOD FINISH (BA)</v>
      </c>
      <c r="K2185" s="36">
        <f>IF($C2185="","",_xlfn.XLOOKUP($C2185,Order!$C:$C,Order!$P:$P,"",0,1))</f>
        <v>0</v>
      </c>
      <c r="L2185" s="4">
        <f t="shared" si="34"/>
        <v>0</v>
      </c>
    </row>
    <row r="2186" spans="2:12" ht="23.25" hidden="1" customHeight="1" x14ac:dyDescent="0.25">
      <c r="B2186" s="4">
        <v>2181</v>
      </c>
      <c r="C2186" s="36" t="str">
        <f>IF(Order!$C$127="","",Order!$C$127)</f>
        <v>MP352</v>
      </c>
      <c r="D2186" s="36" t="str">
        <f>IF($C2186="","",_xlfn.XLOOKUP($C2186,Order!$C:$C,Order!$D:$D,"",0,1))</f>
        <v>MP352</v>
      </c>
      <c r="E2186" s="4" t="e" vm="315">
        <f>IF($C2186="","",_xlfn.XLOOKUP($C2186,Order!$C:$C,Order!$E:$E,"",0,1))</f>
        <v>#VALUE!</v>
      </c>
      <c r="F2186" s="4">
        <f>IF($C2186="","",_xlfn.XLOOKUP($C2186,Order!$C:$C,Order!$F:$F,"",0,1))</f>
        <v>6000</v>
      </c>
      <c r="G2186" s="4" t="str">
        <f>IF($C2186="","",_xlfn.XLOOKUP($C2186,Order!$C:$C,Order!$G:$G,"",0,1))</f>
        <v>6063T5</v>
      </c>
      <c r="H2186" s="4">
        <f>IF($C2186="","",_xlfn.XLOOKUP($C2186,Order!$C:$C,Order!$H:$H,"",0,1))</f>
        <v>0.159</v>
      </c>
      <c r="I2186" s="36">
        <f>IF($C2186="","",_xlfn.XLOOKUP($C2186,Order!$C:$C,Order!$O:$O,"",0,1))</f>
        <v>0</v>
      </c>
      <c r="J2186" s="4" t="str">
        <f>IF(C2186="","",Order!$O$16)</f>
        <v>WOOD FINISH (BA)</v>
      </c>
      <c r="K2186" s="36">
        <f>IF($C2186="","",_xlfn.XLOOKUP($C2186,Order!$C:$C,Order!$P:$P,"",0,1))</f>
        <v>0</v>
      </c>
      <c r="L2186" s="4">
        <f t="shared" si="34"/>
        <v>0</v>
      </c>
    </row>
    <row r="2187" spans="2:12" ht="23.25" hidden="1" customHeight="1" x14ac:dyDescent="0.25">
      <c r="B2187" s="4">
        <v>2182</v>
      </c>
      <c r="C2187" s="36" t="str">
        <f>IF(Order!$C$128="","",Order!$C$128)</f>
        <v>MP354</v>
      </c>
      <c r="D2187" s="36" t="str">
        <f>IF($C2187="","",_xlfn.XLOOKUP($C2187,Order!$C:$C,Order!$D:$D,"",0,1))</f>
        <v>MP354</v>
      </c>
      <c r="E2187" s="4" t="e" vm="316">
        <f>IF($C2187="","",_xlfn.XLOOKUP($C2187,Order!$C:$C,Order!$E:$E,"",0,1))</f>
        <v>#VALUE!</v>
      </c>
      <c r="F2187" s="4">
        <f>IF($C2187="","",_xlfn.XLOOKUP($C2187,Order!$C:$C,Order!$F:$F,"",0,1))</f>
        <v>6000</v>
      </c>
      <c r="G2187" s="4" t="str">
        <f>IF($C2187="","",_xlfn.XLOOKUP($C2187,Order!$C:$C,Order!$G:$G,"",0,1))</f>
        <v>6063T5</v>
      </c>
      <c r="H2187" s="4">
        <f>IF($C2187="","",_xlfn.XLOOKUP($C2187,Order!$C:$C,Order!$H:$H,"",0,1))</f>
        <v>0.78700000000000003</v>
      </c>
      <c r="I2187" s="36">
        <f>IF($C2187="","",_xlfn.XLOOKUP($C2187,Order!$C:$C,Order!$O:$O,"",0,1))</f>
        <v>0</v>
      </c>
      <c r="J2187" s="4" t="str">
        <f>IF(C2187="","",Order!$O$16)</f>
        <v>WOOD FINISH (BA)</v>
      </c>
      <c r="K2187" s="36">
        <f>IF($C2187="","",_xlfn.XLOOKUP($C2187,Order!$C:$C,Order!$P:$P,"",0,1))</f>
        <v>0</v>
      </c>
      <c r="L2187" s="4">
        <f t="shared" si="34"/>
        <v>0</v>
      </c>
    </row>
    <row r="2188" spans="2:12" ht="23.25" hidden="1" customHeight="1" x14ac:dyDescent="0.25">
      <c r="B2188" s="4">
        <v>2183</v>
      </c>
      <c r="C2188" s="36" t="str">
        <f>IF(Order!$C$129="","",Order!$C$129)</f>
        <v>MP357</v>
      </c>
      <c r="D2188" s="36" t="str">
        <f>IF($C2188="","",_xlfn.XLOOKUP($C2188,Order!$C:$C,Order!$D:$D,"",0,1))</f>
        <v>MP357</v>
      </c>
      <c r="E2188" s="4" t="e" vm="317">
        <f>IF($C2188="","",_xlfn.XLOOKUP($C2188,Order!$C:$C,Order!$E:$E,"",0,1))</f>
        <v>#VALUE!</v>
      </c>
      <c r="F2188" s="4">
        <f>IF($C2188="","",_xlfn.XLOOKUP($C2188,Order!$C:$C,Order!$F:$F,"",0,1))</f>
        <v>6000</v>
      </c>
      <c r="G2188" s="4" t="str">
        <f>IF($C2188="","",_xlfn.XLOOKUP($C2188,Order!$C:$C,Order!$G:$G,"",0,1))</f>
        <v>6063T5</v>
      </c>
      <c r="H2188" s="4">
        <f>IF($C2188="","",_xlfn.XLOOKUP($C2188,Order!$C:$C,Order!$H:$H,"",0,1))</f>
        <v>0.46200000000000002</v>
      </c>
      <c r="I2188" s="36">
        <f>IF($C2188="","",_xlfn.XLOOKUP($C2188,Order!$C:$C,Order!$O:$O,"",0,1))</f>
        <v>0</v>
      </c>
      <c r="J2188" s="4" t="str">
        <f>IF(C2188="","",Order!$O$16)</f>
        <v>WOOD FINISH (BA)</v>
      </c>
      <c r="K2188" s="36">
        <f>IF($C2188="","",_xlfn.XLOOKUP($C2188,Order!$C:$C,Order!$P:$P,"",0,1))</f>
        <v>0</v>
      </c>
      <c r="L2188" s="4">
        <f t="shared" si="34"/>
        <v>0</v>
      </c>
    </row>
    <row r="2189" spans="2:12" ht="23.25" hidden="1" customHeight="1" x14ac:dyDescent="0.25">
      <c r="B2189" s="4">
        <v>2184</v>
      </c>
      <c r="C2189" s="36" t="str">
        <f>IF(Order!$C$130="","",Order!$C$130)</f>
        <v>MP358</v>
      </c>
      <c r="D2189" s="36" t="str">
        <f>IF($C2189="","",_xlfn.XLOOKUP($C2189,Order!$C:$C,Order!$D:$D,"",0,1))</f>
        <v>MP358</v>
      </c>
      <c r="E2189" s="4" t="e" vm="318">
        <f>IF($C2189="","",_xlfn.XLOOKUP($C2189,Order!$C:$C,Order!$E:$E,"",0,1))</f>
        <v>#VALUE!</v>
      </c>
      <c r="F2189" s="4">
        <f>IF($C2189="","",_xlfn.XLOOKUP($C2189,Order!$C:$C,Order!$F:$F,"",0,1))</f>
        <v>6000</v>
      </c>
      <c r="G2189" s="4" t="str">
        <f>IF($C2189="","",_xlfn.XLOOKUP($C2189,Order!$C:$C,Order!$G:$G,"",0,1))</f>
        <v>6063T5</v>
      </c>
      <c r="H2189" s="4">
        <f>IF($C2189="","",_xlfn.XLOOKUP($C2189,Order!$C:$C,Order!$H:$H,"",0,1))</f>
        <v>0.42799999999999999</v>
      </c>
      <c r="I2189" s="36">
        <f>IF($C2189="","",_xlfn.XLOOKUP($C2189,Order!$C:$C,Order!$O:$O,"",0,1))</f>
        <v>0</v>
      </c>
      <c r="J2189" s="4" t="str">
        <f>IF(C2189="","",Order!$O$16)</f>
        <v>WOOD FINISH (BA)</v>
      </c>
      <c r="K2189" s="36">
        <f>IF($C2189="","",_xlfn.XLOOKUP($C2189,Order!$C:$C,Order!$P:$P,"",0,1))</f>
        <v>0</v>
      </c>
      <c r="L2189" s="4">
        <f t="shared" si="34"/>
        <v>0</v>
      </c>
    </row>
    <row r="2190" spans="2:12" ht="23.25" hidden="1" customHeight="1" x14ac:dyDescent="0.25">
      <c r="B2190" s="4">
        <v>2185</v>
      </c>
      <c r="C2190" s="36" t="str">
        <f>IF(Order!$C$131="","",Order!$C$131)</f>
        <v>MP359</v>
      </c>
      <c r="D2190" s="36" t="str">
        <f>IF($C2190="","",_xlfn.XLOOKUP($C2190,Order!$C:$C,Order!$D:$D,"",0,1))</f>
        <v>MP359</v>
      </c>
      <c r="E2190" s="4" t="e" vm="319">
        <f>IF($C2190="","",_xlfn.XLOOKUP($C2190,Order!$C:$C,Order!$E:$E,"",0,1))</f>
        <v>#VALUE!</v>
      </c>
      <c r="F2190" s="4">
        <f>IF($C2190="","",_xlfn.XLOOKUP($C2190,Order!$C:$C,Order!$F:$F,"",0,1))</f>
        <v>6000</v>
      </c>
      <c r="G2190" s="4" t="str">
        <f>IF($C2190="","",_xlfn.XLOOKUP($C2190,Order!$C:$C,Order!$G:$G,"",0,1))</f>
        <v>6063T5</v>
      </c>
      <c r="H2190" s="4">
        <f>IF($C2190="","",_xlfn.XLOOKUP($C2190,Order!$C:$C,Order!$H:$H,"",0,1))</f>
        <v>0.38200000000000001</v>
      </c>
      <c r="I2190" s="36">
        <f>IF($C2190="","",_xlfn.XLOOKUP($C2190,Order!$C:$C,Order!$O:$O,"",0,1))</f>
        <v>0</v>
      </c>
      <c r="J2190" s="4" t="str">
        <f>IF(C2190="","",Order!$O$16)</f>
        <v>WOOD FINISH (BA)</v>
      </c>
      <c r="K2190" s="36">
        <f>IF($C2190="","",_xlfn.XLOOKUP($C2190,Order!$C:$C,Order!$P:$P,"",0,1))</f>
        <v>0</v>
      </c>
      <c r="L2190" s="4">
        <f t="shared" si="34"/>
        <v>0</v>
      </c>
    </row>
    <row r="2191" spans="2:12" ht="23.25" hidden="1" customHeight="1" x14ac:dyDescent="0.25">
      <c r="B2191" s="4">
        <v>2186</v>
      </c>
      <c r="C2191" s="36" t="str">
        <f>IF(Order!$C$132="","",Order!$C$132)</f>
        <v>MP360</v>
      </c>
      <c r="D2191" s="36" t="str">
        <f>IF($C2191="","",_xlfn.XLOOKUP($C2191,Order!$C:$C,Order!$D:$D,"",0,1))</f>
        <v>MP360</v>
      </c>
      <c r="E2191" s="4" t="e" vm="320">
        <f>IF($C2191="","",_xlfn.XLOOKUP($C2191,Order!$C:$C,Order!$E:$E,"",0,1))</f>
        <v>#VALUE!</v>
      </c>
      <c r="F2191" s="4">
        <f>IF($C2191="","",_xlfn.XLOOKUP($C2191,Order!$C:$C,Order!$F:$F,"",0,1))</f>
        <v>6000</v>
      </c>
      <c r="G2191" s="4" t="str">
        <f>IF($C2191="","",_xlfn.XLOOKUP($C2191,Order!$C:$C,Order!$G:$G,"",0,1))</f>
        <v>6063T5</v>
      </c>
      <c r="H2191" s="4">
        <f>IF($C2191="","",_xlfn.XLOOKUP($C2191,Order!$C:$C,Order!$H:$H,"",0,1))</f>
        <v>0.313</v>
      </c>
      <c r="I2191" s="36">
        <f>IF($C2191="","",_xlfn.XLOOKUP($C2191,Order!$C:$C,Order!$O:$O,"",0,1))</f>
        <v>0</v>
      </c>
      <c r="J2191" s="4" t="str">
        <f>IF(C2191="","",Order!$O$16)</f>
        <v>WOOD FINISH (BA)</v>
      </c>
      <c r="K2191" s="36">
        <f>IF($C2191="","",_xlfn.XLOOKUP($C2191,Order!$C:$C,Order!$P:$P,"",0,1))</f>
        <v>0</v>
      </c>
      <c r="L2191" s="4">
        <f t="shared" si="34"/>
        <v>0</v>
      </c>
    </row>
    <row r="2192" spans="2:12" ht="23.25" hidden="1" customHeight="1" x14ac:dyDescent="0.25">
      <c r="B2192" s="4">
        <v>2187</v>
      </c>
      <c r="C2192" s="36" t="str">
        <f>IF(Order!$C$133="","",Order!$C$133)</f>
        <v>MP361</v>
      </c>
      <c r="D2192" s="36" t="str">
        <f>IF($C2192="","",_xlfn.XLOOKUP($C2192,Order!$C:$C,Order!$D:$D,"",0,1))</f>
        <v>MP361</v>
      </c>
      <c r="E2192" s="4" t="e" vm="321">
        <f>IF($C2192="","",_xlfn.XLOOKUP($C2192,Order!$C:$C,Order!$E:$E,"",0,1))</f>
        <v>#VALUE!</v>
      </c>
      <c r="F2192" s="4">
        <f>IF($C2192="","",_xlfn.XLOOKUP($C2192,Order!$C:$C,Order!$F:$F,"",0,1))</f>
        <v>6000</v>
      </c>
      <c r="G2192" s="4" t="str">
        <f>IF($C2192="","",_xlfn.XLOOKUP($C2192,Order!$C:$C,Order!$G:$G,"",0,1))</f>
        <v>6063T5</v>
      </c>
      <c r="H2192" s="4">
        <f>IF($C2192="","",_xlfn.XLOOKUP($C2192,Order!$C:$C,Order!$H:$H,"",0,1))</f>
        <v>1.06</v>
      </c>
      <c r="I2192" s="36">
        <f>IF($C2192="","",_xlfn.XLOOKUP($C2192,Order!$C:$C,Order!$O:$O,"",0,1))</f>
        <v>0</v>
      </c>
      <c r="J2192" s="4" t="str">
        <f>IF(C2192="","",Order!$O$16)</f>
        <v>WOOD FINISH (BA)</v>
      </c>
      <c r="K2192" s="36">
        <f>IF($C2192="","",_xlfn.XLOOKUP($C2192,Order!$C:$C,Order!$P:$P,"",0,1))</f>
        <v>0</v>
      </c>
      <c r="L2192" s="4">
        <f t="shared" si="34"/>
        <v>0</v>
      </c>
    </row>
    <row r="2193" spans="2:12" ht="23.25" hidden="1" customHeight="1" x14ac:dyDescent="0.25">
      <c r="B2193" s="4">
        <v>2188</v>
      </c>
      <c r="C2193" s="36" t="str">
        <f>IF(Order!$C$134="","",Order!$C$134)</f>
        <v>MP362</v>
      </c>
      <c r="D2193" s="36" t="str">
        <f>IF($C2193="","",_xlfn.XLOOKUP($C2193,Order!$C:$C,Order!$D:$D,"",0,1))</f>
        <v>MP362</v>
      </c>
      <c r="E2193" s="4" t="e" vm="322">
        <f>IF($C2193="","",_xlfn.XLOOKUP($C2193,Order!$C:$C,Order!$E:$E,"",0,1))</f>
        <v>#VALUE!</v>
      </c>
      <c r="F2193" s="4">
        <f>IF($C2193="","",_xlfn.XLOOKUP($C2193,Order!$C:$C,Order!$F:$F,"",0,1))</f>
        <v>6000</v>
      </c>
      <c r="G2193" s="4" t="str">
        <f>IF($C2193="","",_xlfn.XLOOKUP($C2193,Order!$C:$C,Order!$G:$G,"",0,1))</f>
        <v>6063T5</v>
      </c>
      <c r="H2193" s="4">
        <f>IF($C2193="","",_xlfn.XLOOKUP($C2193,Order!$C:$C,Order!$H:$H,"",0,1))</f>
        <v>0.98199999999999998</v>
      </c>
      <c r="I2193" s="36">
        <f>IF($C2193="","",_xlfn.XLOOKUP($C2193,Order!$C:$C,Order!$O:$O,"",0,1))</f>
        <v>0</v>
      </c>
      <c r="J2193" s="4" t="str">
        <f>IF(C2193="","",Order!$O$16)</f>
        <v>WOOD FINISH (BA)</v>
      </c>
      <c r="K2193" s="36">
        <f>IF($C2193="","",_xlfn.XLOOKUP($C2193,Order!$C:$C,Order!$P:$P,"",0,1))</f>
        <v>0</v>
      </c>
      <c r="L2193" s="4">
        <f t="shared" si="34"/>
        <v>0</v>
      </c>
    </row>
    <row r="2194" spans="2:12" ht="23.25" hidden="1" customHeight="1" x14ac:dyDescent="0.25">
      <c r="B2194" s="4">
        <v>2189</v>
      </c>
      <c r="C2194" s="36" t="str">
        <f>IF(Order!$C$135="","",Order!$C$135)</f>
        <v>MP363</v>
      </c>
      <c r="D2194" s="36" t="str">
        <f>IF($C2194="","",_xlfn.XLOOKUP($C2194,Order!$C:$C,Order!$D:$D,"",0,1))</f>
        <v>MP363</v>
      </c>
      <c r="E2194" s="4" t="e" vm="323">
        <f>IF($C2194="","",_xlfn.XLOOKUP($C2194,Order!$C:$C,Order!$E:$E,"",0,1))</f>
        <v>#VALUE!</v>
      </c>
      <c r="F2194" s="4">
        <f>IF($C2194="","",_xlfn.XLOOKUP($C2194,Order!$C:$C,Order!$F:$F,"",0,1))</f>
        <v>6000</v>
      </c>
      <c r="G2194" s="4" t="str">
        <f>IF($C2194="","",_xlfn.XLOOKUP($C2194,Order!$C:$C,Order!$G:$G,"",0,1))</f>
        <v>6063T5</v>
      </c>
      <c r="H2194" s="4">
        <f>IF($C2194="","",_xlfn.XLOOKUP($C2194,Order!$C:$C,Order!$H:$H,"",0,1))</f>
        <v>0.49</v>
      </c>
      <c r="I2194" s="36">
        <f>IF($C2194="","",_xlfn.XLOOKUP($C2194,Order!$C:$C,Order!$O:$O,"",0,1))</f>
        <v>0</v>
      </c>
      <c r="J2194" s="4" t="str">
        <f>IF(C2194="","",Order!$O$16)</f>
        <v>WOOD FINISH (BA)</v>
      </c>
      <c r="K2194" s="36">
        <f>IF($C2194="","",_xlfn.XLOOKUP($C2194,Order!$C:$C,Order!$P:$P,"",0,1))</f>
        <v>0</v>
      </c>
      <c r="L2194" s="4">
        <f t="shared" si="34"/>
        <v>0</v>
      </c>
    </row>
    <row r="2195" spans="2:12" ht="23.25" hidden="1" customHeight="1" x14ac:dyDescent="0.25">
      <c r="B2195" s="4">
        <v>2190</v>
      </c>
      <c r="C2195" s="36" t="str">
        <f>IF(Order!$C$136="","",Order!$C$136)</f>
        <v>MP370</v>
      </c>
      <c r="D2195" s="36" t="str">
        <f>IF($C2195="","",_xlfn.XLOOKUP($C2195,Order!$C:$C,Order!$D:$D,"",0,1))</f>
        <v>MP370</v>
      </c>
      <c r="E2195" s="4" t="e" vm="324">
        <f>IF($C2195="","",_xlfn.XLOOKUP($C2195,Order!$C:$C,Order!$E:$E,"",0,1))</f>
        <v>#VALUE!</v>
      </c>
      <c r="F2195" s="4">
        <f>IF($C2195="","",_xlfn.XLOOKUP($C2195,Order!$C:$C,Order!$F:$F,"",0,1))</f>
        <v>6000</v>
      </c>
      <c r="G2195" s="4" t="str">
        <f>IF($C2195="","",_xlfn.XLOOKUP($C2195,Order!$C:$C,Order!$G:$G,"",0,1))</f>
        <v>6063T5</v>
      </c>
      <c r="H2195" s="4">
        <f>IF($C2195="","",_xlfn.XLOOKUP($C2195,Order!$C:$C,Order!$H:$H,"",0,1))</f>
        <v>0.58099999999999996</v>
      </c>
      <c r="I2195" s="36">
        <f>IF($C2195="","",_xlfn.XLOOKUP($C2195,Order!$C:$C,Order!$O:$O,"",0,1))</f>
        <v>0</v>
      </c>
      <c r="J2195" s="4" t="str">
        <f>IF(C2195="","",Order!$O$16)</f>
        <v>WOOD FINISH (BA)</v>
      </c>
      <c r="K2195" s="36">
        <f>IF($C2195="","",_xlfn.XLOOKUP($C2195,Order!$C:$C,Order!$P:$P,"",0,1))</f>
        <v>0</v>
      </c>
      <c r="L2195" s="4">
        <f t="shared" si="34"/>
        <v>0</v>
      </c>
    </row>
    <row r="2196" spans="2:12" ht="23.25" hidden="1" customHeight="1" x14ac:dyDescent="0.25">
      <c r="B2196" s="4">
        <v>2191</v>
      </c>
      <c r="C2196" s="36" t="str">
        <f>IF(Order!$C$137="","",Order!$C$137)</f>
        <v>BG001</v>
      </c>
      <c r="D2196" s="36" t="str">
        <f>IF($C2196="","",_xlfn.XLOOKUP($C2196,Order!$C:$C,Order!$D:$D,"",0,1))</f>
        <v>BG001</v>
      </c>
      <c r="E2196" s="4" t="e" vm="325">
        <f>IF($C2196="","",_xlfn.XLOOKUP($C2196,Order!$C:$C,Order!$E:$E,"",0,1))</f>
        <v>#VALUE!</v>
      </c>
      <c r="F2196" s="4">
        <f>IF($C2196="","",_xlfn.XLOOKUP($C2196,Order!$C:$C,Order!$F:$F,"",0,1))</f>
        <v>6000</v>
      </c>
      <c r="G2196" s="4" t="str">
        <f>IF($C2196="","",_xlfn.XLOOKUP($C2196,Order!$C:$C,Order!$G:$G,"",0,1))</f>
        <v>6063T5</v>
      </c>
      <c r="H2196" s="4">
        <f>IF($C2196="","",_xlfn.XLOOKUP($C2196,Order!$C:$C,Order!$H:$H,"",0,1))</f>
        <v>0.10299999999999999</v>
      </c>
      <c r="I2196" s="36">
        <f>IF($C2196="","",_xlfn.XLOOKUP($C2196,Order!$C:$C,Order!$O:$O,"",0,1))</f>
        <v>0</v>
      </c>
      <c r="J2196" s="4" t="str">
        <f>IF(C2196="","",Order!$O$16)</f>
        <v>WOOD FINISH (BA)</v>
      </c>
      <c r="K2196" s="36">
        <f>IF($C2196="","",_xlfn.XLOOKUP($C2196,Order!$C:$C,Order!$P:$P,"",0,1))</f>
        <v>0</v>
      </c>
      <c r="L2196" s="4">
        <f t="shared" si="34"/>
        <v>0</v>
      </c>
    </row>
    <row r="2197" spans="2:12" ht="23.25" hidden="1" customHeight="1" x14ac:dyDescent="0.25">
      <c r="B2197" s="4">
        <v>2192</v>
      </c>
      <c r="C2197" s="36" t="str">
        <f>IF(Order!$C$138="","",Order!$C$138)</f>
        <v>BG035</v>
      </c>
      <c r="D2197" s="36" t="str">
        <f>IF($C2197="","",_xlfn.XLOOKUP($C2197,Order!$C:$C,Order!$D:$D,"",0,1))</f>
        <v>BG035</v>
      </c>
      <c r="E2197" s="4" t="e" vm="326">
        <f>IF($C2197="","",_xlfn.XLOOKUP($C2197,Order!$C:$C,Order!$E:$E,"",0,1))</f>
        <v>#VALUE!</v>
      </c>
      <c r="F2197" s="4">
        <f>IF($C2197="","",_xlfn.XLOOKUP($C2197,Order!$C:$C,Order!$F:$F,"",0,1))</f>
        <v>6000</v>
      </c>
      <c r="G2197" s="4" t="str">
        <f>IF($C2197="","",_xlfn.XLOOKUP($C2197,Order!$C:$C,Order!$G:$G,"",0,1))</f>
        <v>6063T5</v>
      </c>
      <c r="H2197" s="4">
        <f>IF($C2197="","",_xlfn.XLOOKUP($C2197,Order!$C:$C,Order!$H:$H,"",0,1))</f>
        <v>0.108</v>
      </c>
      <c r="I2197" s="36">
        <f>IF($C2197="","",_xlfn.XLOOKUP($C2197,Order!$C:$C,Order!$O:$O,"",0,1))</f>
        <v>0</v>
      </c>
      <c r="J2197" s="4" t="str">
        <f>IF(C2197="","",Order!$O$16)</f>
        <v>WOOD FINISH (BA)</v>
      </c>
      <c r="K2197" s="36">
        <f>IF($C2197="","",_xlfn.XLOOKUP($C2197,Order!$C:$C,Order!$P:$P,"",0,1))</f>
        <v>0</v>
      </c>
      <c r="L2197" s="4">
        <f t="shared" si="34"/>
        <v>0</v>
      </c>
    </row>
    <row r="2198" spans="2:12" ht="23.25" hidden="1" customHeight="1" x14ac:dyDescent="0.25">
      <c r="B2198" s="4">
        <v>2193</v>
      </c>
      <c r="C2198" s="36" t="str">
        <f>IF(Order!$C$139="","",Order!$C$139)</f>
        <v>ME056</v>
      </c>
      <c r="D2198" s="36" t="str">
        <f>IF($C2198="","",_xlfn.XLOOKUP($C2198,Order!$C:$C,Order!$D:$D,"",0,1))</f>
        <v>ME056</v>
      </c>
      <c r="E2198" s="4" t="e" vm="327">
        <f>IF($C2198="","",_xlfn.XLOOKUP($C2198,Order!$C:$C,Order!$E:$E,"",0,1))</f>
        <v>#VALUE!</v>
      </c>
      <c r="F2198" s="4">
        <f>IF($C2198="","",_xlfn.XLOOKUP($C2198,Order!$C:$C,Order!$F:$F,"",0,1))</f>
        <v>6000</v>
      </c>
      <c r="G2198" s="4" t="str">
        <f>IF($C2198="","",_xlfn.XLOOKUP($C2198,Order!$C:$C,Order!$G:$G,"",0,1))</f>
        <v>6063T5</v>
      </c>
      <c r="H2198" s="4">
        <f>IF($C2198="","",_xlfn.XLOOKUP($C2198,Order!$C:$C,Order!$H:$H,"",0,1))</f>
        <v>0.16900000000000001</v>
      </c>
      <c r="I2198" s="36">
        <f>IF($C2198="","",_xlfn.XLOOKUP($C2198,Order!$C:$C,Order!$O:$O,"",0,1))</f>
        <v>0</v>
      </c>
      <c r="J2198" s="4" t="str">
        <f>IF(C2198="","",Order!$O$16)</f>
        <v>WOOD FINISH (BA)</v>
      </c>
      <c r="K2198" s="36">
        <f>IF($C2198="","",_xlfn.XLOOKUP($C2198,Order!$C:$C,Order!$P:$P,"",0,1))</f>
        <v>0</v>
      </c>
      <c r="L2198" s="4">
        <f t="shared" si="34"/>
        <v>0</v>
      </c>
    </row>
    <row r="2199" spans="2:12" ht="23.25" hidden="1" customHeight="1" x14ac:dyDescent="0.25">
      <c r="B2199" s="4">
        <v>2194</v>
      </c>
      <c r="C2199" s="36">
        <f>IF(Order!$C$140="","",Order!$C$140)</f>
        <v>25001</v>
      </c>
      <c r="D2199" s="36">
        <f>IF($C2199="","",_xlfn.XLOOKUP($C2199,Order!$C:$C,Order!$D:$D,"",0,1))</f>
        <v>25001</v>
      </c>
      <c r="E2199" s="4" t="e" vm="328">
        <f>IF($C2199="","",_xlfn.XLOOKUP($C2199,Order!$C:$C,Order!$E:$E,"",0,1))</f>
        <v>#VALUE!</v>
      </c>
      <c r="F2199" s="4">
        <f>IF($C2199="","",_xlfn.XLOOKUP($C2199,Order!$C:$C,Order!$F:$F,"",0,1))</f>
        <v>6000</v>
      </c>
      <c r="G2199" s="4" t="str">
        <f>IF($C2199="","",_xlfn.XLOOKUP($C2199,Order!$C:$C,Order!$G:$G,"",0,1))</f>
        <v>6063T5</v>
      </c>
      <c r="H2199" s="4">
        <f>IF($C2199="","",_xlfn.XLOOKUP($C2199,Order!$C:$C,Order!$H:$H,"",0,1))</f>
        <v>0.28599999999999998</v>
      </c>
      <c r="I2199" s="36">
        <f>IF($C2199="","",_xlfn.XLOOKUP($C2199,Order!$C:$C,Order!$O:$O,"",0,1))</f>
        <v>0</v>
      </c>
      <c r="J2199" s="4" t="str">
        <f>IF(C2199="","",Order!$O$16)</f>
        <v>WOOD FINISH (BA)</v>
      </c>
      <c r="K2199" s="36">
        <f>IF($C2199="","",_xlfn.XLOOKUP($C2199,Order!$C:$C,Order!$P:$P,"",0,1))</f>
        <v>0</v>
      </c>
      <c r="L2199" s="4">
        <f t="shared" si="34"/>
        <v>0</v>
      </c>
    </row>
    <row r="2200" spans="2:12" ht="23.25" hidden="1" customHeight="1" x14ac:dyDescent="0.25">
      <c r="B2200" s="4">
        <v>2195</v>
      </c>
      <c r="C2200" s="36" t="str">
        <f>IF(Order!$C$141="","",Order!$C$141)</f>
        <v>25002L</v>
      </c>
      <c r="D2200" s="36" t="str">
        <f>IF($C2200="","",_xlfn.XLOOKUP($C2200,Order!$C:$C,Order!$D:$D,"",0,1))</f>
        <v>25002L</v>
      </c>
      <c r="E2200" s="4" t="e" vm="329">
        <f>IF($C2200="","",_xlfn.XLOOKUP($C2200,Order!$C:$C,Order!$E:$E,"",0,1))</f>
        <v>#VALUE!</v>
      </c>
      <c r="F2200" s="4">
        <f>IF($C2200="","",_xlfn.XLOOKUP($C2200,Order!$C:$C,Order!$F:$F,"",0,1))</f>
        <v>6000</v>
      </c>
      <c r="G2200" s="4" t="str">
        <f>IF($C2200="","",_xlfn.XLOOKUP($C2200,Order!$C:$C,Order!$G:$G,"",0,1))</f>
        <v>6063T5</v>
      </c>
      <c r="H2200" s="4">
        <f>IF($C2200="","",_xlfn.XLOOKUP($C2200,Order!$C:$C,Order!$H:$H,"",0,1))</f>
        <v>0.24399999999999999</v>
      </c>
      <c r="I2200" s="36">
        <f>IF($C2200="","",_xlfn.XLOOKUP($C2200,Order!$C:$C,Order!$O:$O,"",0,1))</f>
        <v>0</v>
      </c>
      <c r="J2200" s="4" t="str">
        <f>IF(C2200="","",Order!$O$16)</f>
        <v>WOOD FINISH (BA)</v>
      </c>
      <c r="K2200" s="36">
        <f>IF($C2200="","",_xlfn.XLOOKUP($C2200,Order!$C:$C,Order!$P:$P,"",0,1))</f>
        <v>0</v>
      </c>
      <c r="L2200" s="4">
        <f t="shared" si="34"/>
        <v>0</v>
      </c>
    </row>
    <row r="2201" spans="2:12" ht="23.25" hidden="1" customHeight="1" x14ac:dyDescent="0.25">
      <c r="B2201" s="4">
        <v>2196</v>
      </c>
      <c r="C2201" s="36">
        <f>IF(Order!$C$142="","",Order!$C$142)</f>
        <v>25016</v>
      </c>
      <c r="D2201" s="36">
        <f>IF($C2201="","",_xlfn.XLOOKUP($C2201,Order!$C:$C,Order!$D:$D,"",0,1))</f>
        <v>25016</v>
      </c>
      <c r="E2201" s="4" t="e" vm="330">
        <f>IF($C2201="","",_xlfn.XLOOKUP($C2201,Order!$C:$C,Order!$E:$E,"",0,1))</f>
        <v>#VALUE!</v>
      </c>
      <c r="F2201" s="4">
        <f>IF($C2201="","",_xlfn.XLOOKUP($C2201,Order!$C:$C,Order!$F:$F,"",0,1))</f>
        <v>6000</v>
      </c>
      <c r="G2201" s="4" t="str">
        <f>IF($C2201="","",_xlfn.XLOOKUP($C2201,Order!$C:$C,Order!$G:$G,"",0,1))</f>
        <v>6063T5</v>
      </c>
      <c r="H2201" s="4">
        <f>IF($C2201="","",_xlfn.XLOOKUP($C2201,Order!$C:$C,Order!$H:$H,"",0,1))</f>
        <v>0.32300000000000001</v>
      </c>
      <c r="I2201" s="36">
        <f>IF($C2201="","",_xlfn.XLOOKUP($C2201,Order!$C:$C,Order!$O:$O,"",0,1))</f>
        <v>0</v>
      </c>
      <c r="J2201" s="4" t="str">
        <f>IF(C2201="","",Order!$O$16)</f>
        <v>WOOD FINISH (BA)</v>
      </c>
      <c r="K2201" s="36">
        <f>IF($C2201="","",_xlfn.XLOOKUP($C2201,Order!$C:$C,Order!$P:$P,"",0,1))</f>
        <v>0</v>
      </c>
      <c r="L2201" s="4">
        <f t="shared" si="34"/>
        <v>0</v>
      </c>
    </row>
    <row r="2202" spans="2:12" ht="23.25" hidden="1" customHeight="1" x14ac:dyDescent="0.25">
      <c r="B2202" s="4">
        <v>2197</v>
      </c>
      <c r="C2202" s="36">
        <f>IF(Order!$C$143="","",Order!$C$143)</f>
        <v>25021</v>
      </c>
      <c r="D2202" s="36">
        <f>IF($C2202="","",_xlfn.XLOOKUP($C2202,Order!$C:$C,Order!$D:$D,"",0,1))</f>
        <v>25021</v>
      </c>
      <c r="E2202" s="4" t="e" vm="331">
        <f>IF($C2202="","",_xlfn.XLOOKUP($C2202,Order!$C:$C,Order!$E:$E,"",0,1))</f>
        <v>#VALUE!</v>
      </c>
      <c r="F2202" s="4">
        <f>IF($C2202="","",_xlfn.XLOOKUP($C2202,Order!$C:$C,Order!$F:$F,"",0,1))</f>
        <v>6000</v>
      </c>
      <c r="G2202" s="4" t="str">
        <f>IF($C2202="","",_xlfn.XLOOKUP($C2202,Order!$C:$C,Order!$G:$G,"",0,1))</f>
        <v>6063T5</v>
      </c>
      <c r="H2202" s="4">
        <f>IF($C2202="","",_xlfn.XLOOKUP($C2202,Order!$C:$C,Order!$H:$H,"",0,1))</f>
        <v>0.21299999999999999</v>
      </c>
      <c r="I2202" s="36">
        <f>IF($C2202="","",_xlfn.XLOOKUP($C2202,Order!$C:$C,Order!$O:$O,"",0,1))</f>
        <v>0</v>
      </c>
      <c r="J2202" s="4" t="str">
        <f>IF(C2202="","",Order!$O$16)</f>
        <v>WOOD FINISH (BA)</v>
      </c>
      <c r="K2202" s="36">
        <f>IF($C2202="","",_xlfn.XLOOKUP($C2202,Order!$C:$C,Order!$P:$P,"",0,1))</f>
        <v>0</v>
      </c>
      <c r="L2202" s="4">
        <f t="shared" si="34"/>
        <v>0</v>
      </c>
    </row>
    <row r="2203" spans="2:12" ht="23.25" hidden="1" customHeight="1" x14ac:dyDescent="0.25">
      <c r="B2203" s="4">
        <v>2198</v>
      </c>
      <c r="C2203" s="36">
        <f>IF(Order!$C$144="","",Order!$C$144)</f>
        <v>25026</v>
      </c>
      <c r="D2203" s="36">
        <f>IF($C2203="","",_xlfn.XLOOKUP($C2203,Order!$C:$C,Order!$D:$D,"",0,1))</f>
        <v>25026</v>
      </c>
      <c r="E2203" s="4" t="e" vm="332">
        <f>IF($C2203="","",_xlfn.XLOOKUP($C2203,Order!$C:$C,Order!$E:$E,"",0,1))</f>
        <v>#VALUE!</v>
      </c>
      <c r="F2203" s="4">
        <f>IF($C2203="","",_xlfn.XLOOKUP($C2203,Order!$C:$C,Order!$F:$F,"",0,1))</f>
        <v>6000</v>
      </c>
      <c r="G2203" s="4" t="str">
        <f>IF($C2203="","",_xlfn.XLOOKUP($C2203,Order!$C:$C,Order!$G:$G,"",0,1))</f>
        <v>6063T5</v>
      </c>
      <c r="H2203" s="4">
        <f>IF($C2203="","",_xlfn.XLOOKUP($C2203,Order!$C:$C,Order!$H:$H,"",0,1))</f>
        <v>0.47599999999999998</v>
      </c>
      <c r="I2203" s="36">
        <f>IF($C2203="","",_xlfn.XLOOKUP($C2203,Order!$C:$C,Order!$O:$O,"",0,1))</f>
        <v>0</v>
      </c>
      <c r="J2203" s="4" t="str">
        <f>IF(C2203="","",Order!$O$16)</f>
        <v>WOOD FINISH (BA)</v>
      </c>
      <c r="K2203" s="36">
        <f>IF($C2203="","",_xlfn.XLOOKUP($C2203,Order!$C:$C,Order!$P:$P,"",0,1))</f>
        <v>0</v>
      </c>
      <c r="L2203" s="4">
        <f t="shared" si="34"/>
        <v>0</v>
      </c>
    </row>
    <row r="2204" spans="2:12" ht="23.25" hidden="1" customHeight="1" x14ac:dyDescent="0.25">
      <c r="B2204" s="4">
        <v>2199</v>
      </c>
      <c r="C2204" s="36" t="str">
        <f>IF(Order!$C$145="","",Order!$C$145)</f>
        <v>25048 (MM-376)</v>
      </c>
      <c r="D2204" s="36">
        <f>IF($C2204="","",_xlfn.XLOOKUP($C2204,Order!$C:$C,Order!$D:$D,"",0,1))</f>
        <v>25048</v>
      </c>
      <c r="E2204" s="4" t="e" vm="333">
        <f>IF($C2204="","",_xlfn.XLOOKUP($C2204,Order!$C:$C,Order!$E:$E,"",0,1))</f>
        <v>#VALUE!</v>
      </c>
      <c r="F2204" s="4">
        <f>IF($C2204="","",_xlfn.XLOOKUP($C2204,Order!$C:$C,Order!$F:$F,"",0,1))</f>
        <v>6000</v>
      </c>
      <c r="G2204" s="4" t="str">
        <f>IF($C2204="","",_xlfn.XLOOKUP($C2204,Order!$C:$C,Order!$G:$G,"",0,1))</f>
        <v>6063T5</v>
      </c>
      <c r="H2204" s="4">
        <f>IF($C2204="","",_xlfn.XLOOKUP($C2204,Order!$C:$C,Order!$H:$H,"",0,1))</f>
        <v>0.436</v>
      </c>
      <c r="I2204" s="36">
        <f>IF($C2204="","",_xlfn.XLOOKUP($C2204,Order!$C:$C,Order!$O:$O,"",0,1))</f>
        <v>0</v>
      </c>
      <c r="J2204" s="4" t="str">
        <f>IF(C2204="","",Order!$O$16)</f>
        <v>WOOD FINISH (BA)</v>
      </c>
      <c r="K2204" s="36">
        <f>IF($C2204="","",_xlfn.XLOOKUP($C2204,Order!$C:$C,Order!$P:$P,"",0,1))</f>
        <v>0</v>
      </c>
      <c r="L2204" s="4">
        <f t="shared" si="34"/>
        <v>0</v>
      </c>
    </row>
    <row r="2205" spans="2:12" ht="23.25" hidden="1" customHeight="1" x14ac:dyDescent="0.25">
      <c r="B2205" s="4">
        <v>2200</v>
      </c>
      <c r="C2205" s="36" t="str">
        <f>IF(Order!$C$146="","",Order!$C$146)</f>
        <v>25052 (MM-375)</v>
      </c>
      <c r="D2205" s="36">
        <f>IF($C2205="","",_xlfn.XLOOKUP($C2205,Order!$C:$C,Order!$D:$D,"",0,1))</f>
        <v>25052</v>
      </c>
      <c r="E2205" s="4" t="e" vm="334">
        <f>IF($C2205="","",_xlfn.XLOOKUP($C2205,Order!$C:$C,Order!$E:$E,"",0,1))</f>
        <v>#VALUE!</v>
      </c>
      <c r="F2205" s="4">
        <f>IF($C2205="","",_xlfn.XLOOKUP($C2205,Order!$C:$C,Order!$F:$F,"",0,1))</f>
        <v>6000</v>
      </c>
      <c r="G2205" s="4" t="str">
        <f>IF($C2205="","",_xlfn.XLOOKUP($C2205,Order!$C:$C,Order!$G:$G,"",0,1))</f>
        <v>6063T5</v>
      </c>
      <c r="H2205" s="4">
        <f>IF($C2205="","",_xlfn.XLOOKUP($C2205,Order!$C:$C,Order!$H:$H,"",0,1))</f>
        <v>0.33</v>
      </c>
      <c r="I2205" s="36">
        <f>IF($C2205="","",_xlfn.XLOOKUP($C2205,Order!$C:$C,Order!$O:$O,"",0,1))</f>
        <v>0</v>
      </c>
      <c r="J2205" s="4" t="str">
        <f>IF(C2205="","",Order!$O$16)</f>
        <v>WOOD FINISH (BA)</v>
      </c>
      <c r="K2205" s="36">
        <f>IF($C2205="","",_xlfn.XLOOKUP($C2205,Order!$C:$C,Order!$P:$P,"",0,1))</f>
        <v>0</v>
      </c>
      <c r="L2205" s="4">
        <f t="shared" si="34"/>
        <v>0</v>
      </c>
    </row>
    <row r="2206" spans="2:12" ht="23.25" hidden="1" customHeight="1" x14ac:dyDescent="0.25">
      <c r="B2206" s="4">
        <v>2201</v>
      </c>
      <c r="C2206" s="36">
        <f>IF(Order!$C$147="","",Order!$C$147)</f>
        <v>25301</v>
      </c>
      <c r="D2206" s="36">
        <f>IF($C2206="","",_xlfn.XLOOKUP($C2206,Order!$C:$C,Order!$D:$D,"",0,1))</f>
        <v>25301</v>
      </c>
      <c r="E2206" s="4" t="e" vm="335">
        <f>IF($C2206="","",_xlfn.XLOOKUP($C2206,Order!$C:$C,Order!$E:$E,"",0,1))</f>
        <v>#VALUE!</v>
      </c>
      <c r="F2206" s="4">
        <f>IF($C2206="","",_xlfn.XLOOKUP($C2206,Order!$C:$C,Order!$F:$F,"",0,1))</f>
        <v>6000</v>
      </c>
      <c r="G2206" s="4" t="str">
        <f>IF($C2206="","",_xlfn.XLOOKUP($C2206,Order!$C:$C,Order!$G:$G,"",0,1))</f>
        <v>6063T5</v>
      </c>
      <c r="H2206" s="4">
        <f>IF($C2206="","",_xlfn.XLOOKUP($C2206,Order!$C:$C,Order!$H:$H,"",0,1))</f>
        <v>0.29299999999999998</v>
      </c>
      <c r="I2206" s="36">
        <f>IF($C2206="","",_xlfn.XLOOKUP($C2206,Order!$C:$C,Order!$O:$O,"",0,1))</f>
        <v>0</v>
      </c>
      <c r="J2206" s="4" t="str">
        <f>IF(C2206="","",Order!$O$16)</f>
        <v>WOOD FINISH (BA)</v>
      </c>
      <c r="K2206" s="36">
        <f>IF($C2206="","",_xlfn.XLOOKUP($C2206,Order!$C:$C,Order!$P:$P,"",0,1))</f>
        <v>0</v>
      </c>
      <c r="L2206" s="4">
        <f t="shared" si="34"/>
        <v>0</v>
      </c>
    </row>
    <row r="2207" spans="2:12" ht="23.25" hidden="1" customHeight="1" x14ac:dyDescent="0.25">
      <c r="B2207" s="4">
        <v>2202</v>
      </c>
      <c r="C2207" s="36">
        <f>IF(Order!$C$148="","",Order!$C$148)</f>
        <v>25311</v>
      </c>
      <c r="D2207" s="36">
        <f>IF($C2207="","",_xlfn.XLOOKUP($C2207,Order!$C:$C,Order!$D:$D,"",0,1))</f>
        <v>25311</v>
      </c>
      <c r="E2207" s="4" t="e" vm="336">
        <f>IF($C2207="","",_xlfn.XLOOKUP($C2207,Order!$C:$C,Order!$E:$E,"",0,1))</f>
        <v>#VALUE!</v>
      </c>
      <c r="F2207" s="4">
        <f>IF($C2207="","",_xlfn.XLOOKUP($C2207,Order!$C:$C,Order!$F:$F,"",0,1))</f>
        <v>6000</v>
      </c>
      <c r="G2207" s="4" t="str">
        <f>IF($C2207="","",_xlfn.XLOOKUP($C2207,Order!$C:$C,Order!$G:$G,"",0,1))</f>
        <v>6063T5</v>
      </c>
      <c r="H2207" s="4">
        <f>IF($C2207="","",_xlfn.XLOOKUP($C2207,Order!$C:$C,Order!$H:$H,"",0,1))</f>
        <v>0.28899999999999998</v>
      </c>
      <c r="I2207" s="36">
        <f>IF($C2207="","",_xlfn.XLOOKUP($C2207,Order!$C:$C,Order!$O:$O,"",0,1))</f>
        <v>0</v>
      </c>
      <c r="J2207" s="4" t="str">
        <f>IF(C2207="","",Order!$O$16)</f>
        <v>WOOD FINISH (BA)</v>
      </c>
      <c r="K2207" s="36">
        <f>IF($C2207="","",_xlfn.XLOOKUP($C2207,Order!$C:$C,Order!$P:$P,"",0,1))</f>
        <v>0</v>
      </c>
      <c r="L2207" s="4">
        <f t="shared" si="34"/>
        <v>0</v>
      </c>
    </row>
    <row r="2208" spans="2:12" ht="23.25" hidden="1" customHeight="1" x14ac:dyDescent="0.25">
      <c r="B2208" s="4">
        <v>2203</v>
      </c>
      <c r="C2208" s="36" t="str">
        <f>IF(Order!$C$149="","",Order!$C$149)</f>
        <v>25312(25046)</v>
      </c>
      <c r="D2208" s="36">
        <f>IF($C2208="","",_xlfn.XLOOKUP($C2208,Order!$C:$C,Order!$D:$D,"",0,1))</f>
        <v>25312</v>
      </c>
      <c r="E2208" s="4" t="e" vm="337">
        <f>IF($C2208="","",_xlfn.XLOOKUP($C2208,Order!$C:$C,Order!$E:$E,"",0,1))</f>
        <v>#VALUE!</v>
      </c>
      <c r="F2208" s="4">
        <f>IF($C2208="","",_xlfn.XLOOKUP($C2208,Order!$C:$C,Order!$F:$F,"",0,1))</f>
        <v>6000</v>
      </c>
      <c r="G2208" s="4" t="str">
        <f>IF($C2208="","",_xlfn.XLOOKUP($C2208,Order!$C:$C,Order!$G:$G,"",0,1))</f>
        <v>6063T5</v>
      </c>
      <c r="H2208" s="4">
        <f>IF($C2208="","",_xlfn.XLOOKUP($C2208,Order!$C:$C,Order!$H:$H,"",0,1))</f>
        <v>0.316</v>
      </c>
      <c r="I2208" s="36">
        <f>IF($C2208="","",_xlfn.XLOOKUP($C2208,Order!$C:$C,Order!$O:$O,"",0,1))</f>
        <v>0</v>
      </c>
      <c r="J2208" s="4" t="str">
        <f>IF(C2208="","",Order!$O$16)</f>
        <v>WOOD FINISH (BA)</v>
      </c>
      <c r="K2208" s="36">
        <f>IF($C2208="","",_xlfn.XLOOKUP($C2208,Order!$C:$C,Order!$P:$P,"",0,1))</f>
        <v>0</v>
      </c>
      <c r="L2208" s="4">
        <f t="shared" si="34"/>
        <v>0</v>
      </c>
    </row>
    <row r="2209" spans="2:12" ht="23.25" hidden="1" customHeight="1" x14ac:dyDescent="0.25">
      <c r="B2209" s="4">
        <v>2204</v>
      </c>
      <c r="C2209" s="36" t="str">
        <f>IF(Order!$C$150="","",Order!$C$150)</f>
        <v>25504L</v>
      </c>
      <c r="D2209" s="36" t="str">
        <f>IF($C2209="","",_xlfn.XLOOKUP($C2209,Order!$C:$C,Order!$D:$D,"",0,1))</f>
        <v>25504L</v>
      </c>
      <c r="E2209" s="4" t="e" vm="338">
        <f>IF($C2209="","",_xlfn.XLOOKUP($C2209,Order!$C:$C,Order!$E:$E,"",0,1))</f>
        <v>#VALUE!</v>
      </c>
      <c r="F2209" s="4">
        <f>IF($C2209="","",_xlfn.XLOOKUP($C2209,Order!$C:$C,Order!$F:$F,"",0,1))</f>
        <v>6000</v>
      </c>
      <c r="G2209" s="4" t="str">
        <f>IF($C2209="","",_xlfn.XLOOKUP($C2209,Order!$C:$C,Order!$G:$G,"",0,1))</f>
        <v>6063T5</v>
      </c>
      <c r="H2209" s="4">
        <f>IF($C2209="","",_xlfn.XLOOKUP($C2209,Order!$C:$C,Order!$H:$H,"",0,1))</f>
        <v>0.39200000000000002</v>
      </c>
      <c r="I2209" s="36">
        <f>IF($C2209="","",_xlfn.XLOOKUP($C2209,Order!$C:$C,Order!$O:$O,"",0,1))</f>
        <v>0</v>
      </c>
      <c r="J2209" s="4" t="str">
        <f>IF(C2209="","",Order!$O$16)</f>
        <v>WOOD FINISH (BA)</v>
      </c>
      <c r="K2209" s="36">
        <f>IF($C2209="","",_xlfn.XLOOKUP($C2209,Order!$C:$C,Order!$P:$P,"",0,1))</f>
        <v>0</v>
      </c>
      <c r="L2209" s="4">
        <f t="shared" si="34"/>
        <v>0</v>
      </c>
    </row>
    <row r="2210" spans="2:12" ht="23.25" hidden="1" customHeight="1" x14ac:dyDescent="0.25">
      <c r="B2210" s="4">
        <v>2205</v>
      </c>
      <c r="C2210" s="36">
        <f>IF(Order!$C$151="","",Order!$C$151)</f>
        <v>25508</v>
      </c>
      <c r="D2210" s="36">
        <f>IF($C2210="","",_xlfn.XLOOKUP($C2210,Order!$C:$C,Order!$D:$D,"",0,1))</f>
        <v>25508</v>
      </c>
      <c r="E2210" s="4" t="e" vm="339">
        <f>IF($C2210="","",_xlfn.XLOOKUP($C2210,Order!$C:$C,Order!$E:$E,"",0,1))</f>
        <v>#VALUE!</v>
      </c>
      <c r="F2210" s="4">
        <f>IF($C2210="","",_xlfn.XLOOKUP($C2210,Order!$C:$C,Order!$F:$F,"",0,1))</f>
        <v>6000</v>
      </c>
      <c r="G2210" s="4" t="str">
        <f>IF($C2210="","",_xlfn.XLOOKUP($C2210,Order!$C:$C,Order!$G:$G,"",0,1))</f>
        <v>6063T5</v>
      </c>
      <c r="H2210" s="4">
        <f>IF($C2210="","",_xlfn.XLOOKUP($C2210,Order!$C:$C,Order!$H:$H,"",0,1))</f>
        <v>0.53300000000000003</v>
      </c>
      <c r="I2210" s="36">
        <f>IF($C2210="","",_xlfn.XLOOKUP($C2210,Order!$C:$C,Order!$O:$O,"",0,1))</f>
        <v>0</v>
      </c>
      <c r="J2210" s="4" t="str">
        <f>IF(C2210="","",Order!$O$16)</f>
        <v>WOOD FINISH (BA)</v>
      </c>
      <c r="K2210" s="36">
        <f>IF($C2210="","",_xlfn.XLOOKUP($C2210,Order!$C:$C,Order!$P:$P,"",0,1))</f>
        <v>0</v>
      </c>
      <c r="L2210" s="4">
        <f t="shared" si="34"/>
        <v>0</v>
      </c>
    </row>
    <row r="2211" spans="2:12" ht="23.25" hidden="1" customHeight="1" x14ac:dyDescent="0.25">
      <c r="B2211" s="4">
        <v>2206</v>
      </c>
      <c r="C2211" s="36">
        <f>IF(Order!$C$152="","",Order!$C$152)</f>
        <v>25515</v>
      </c>
      <c r="D2211" s="36">
        <f>IF($C2211="","",_xlfn.XLOOKUP($C2211,Order!$C:$C,Order!$D:$D,"",0,1))</f>
        <v>25515</v>
      </c>
      <c r="E2211" s="4" t="e" vm="340">
        <f>IF($C2211="","",_xlfn.XLOOKUP($C2211,Order!$C:$C,Order!$E:$E,"",0,1))</f>
        <v>#VALUE!</v>
      </c>
      <c r="F2211" s="4">
        <f>IF($C2211="","",_xlfn.XLOOKUP($C2211,Order!$C:$C,Order!$F:$F,"",0,1))</f>
        <v>6000</v>
      </c>
      <c r="G2211" s="4" t="str">
        <f>IF($C2211="","",_xlfn.XLOOKUP($C2211,Order!$C:$C,Order!$G:$G,"",0,1))</f>
        <v>6063T5</v>
      </c>
      <c r="H2211" s="4">
        <f>IF($C2211="","",_xlfn.XLOOKUP($C2211,Order!$C:$C,Order!$H:$H,"",0,1))</f>
        <v>0.48399999999999999</v>
      </c>
      <c r="I2211" s="36">
        <f>IF($C2211="","",_xlfn.XLOOKUP($C2211,Order!$C:$C,Order!$O:$O,"",0,1))</f>
        <v>0</v>
      </c>
      <c r="J2211" s="4" t="str">
        <f>IF(C2211="","",Order!$O$16)</f>
        <v>WOOD FINISH (BA)</v>
      </c>
      <c r="K2211" s="36">
        <f>IF($C2211="","",_xlfn.XLOOKUP($C2211,Order!$C:$C,Order!$P:$P,"",0,1))</f>
        <v>0</v>
      </c>
      <c r="L2211" s="4">
        <f t="shared" si="34"/>
        <v>0</v>
      </c>
    </row>
    <row r="2212" spans="2:12" ht="23.25" hidden="1" customHeight="1" x14ac:dyDescent="0.25">
      <c r="B2212" s="4">
        <v>2207</v>
      </c>
      <c r="C2212" s="36">
        <f>IF(Order!$C$153="","",Order!$C$153)</f>
        <v>25516</v>
      </c>
      <c r="D2212" s="36">
        <f>IF($C2212="","",_xlfn.XLOOKUP($C2212,Order!$C:$C,Order!$D:$D,"",0,1))</f>
        <v>25516</v>
      </c>
      <c r="E2212" s="4" t="e" vm="341">
        <f>IF($C2212="","",_xlfn.XLOOKUP($C2212,Order!$C:$C,Order!$E:$E,"",0,1))</f>
        <v>#VALUE!</v>
      </c>
      <c r="F2212" s="4">
        <f>IF($C2212="","",_xlfn.XLOOKUP($C2212,Order!$C:$C,Order!$F:$F,"",0,1))</f>
        <v>6000</v>
      </c>
      <c r="G2212" s="4" t="str">
        <f>IF($C2212="","",_xlfn.XLOOKUP($C2212,Order!$C:$C,Order!$G:$G,"",0,1))</f>
        <v>6063T5</v>
      </c>
      <c r="H2212" s="4">
        <f>IF($C2212="","",_xlfn.XLOOKUP($C2212,Order!$C:$C,Order!$H:$H,"",0,1))</f>
        <v>0.56000000000000005</v>
      </c>
      <c r="I2212" s="36">
        <f>IF($C2212="","",_xlfn.XLOOKUP($C2212,Order!$C:$C,Order!$O:$O,"",0,1))</f>
        <v>0</v>
      </c>
      <c r="J2212" s="4" t="str">
        <f>IF(C2212="","",Order!$O$16)</f>
        <v>WOOD FINISH (BA)</v>
      </c>
      <c r="K2212" s="36">
        <f>IF($C2212="","",_xlfn.XLOOKUP($C2212,Order!$C:$C,Order!$P:$P,"",0,1))</f>
        <v>0</v>
      </c>
      <c r="L2212" s="4">
        <f t="shared" si="34"/>
        <v>0</v>
      </c>
    </row>
    <row r="2213" spans="2:12" ht="23.25" hidden="1" customHeight="1" x14ac:dyDescent="0.25">
      <c r="B2213" s="4">
        <v>2208</v>
      </c>
      <c r="C2213" s="36">
        <f>IF(Order!$C$154="","",Order!$C$154)</f>
        <v>25540</v>
      </c>
      <c r="D2213" s="36">
        <f>IF($C2213="","",_xlfn.XLOOKUP($C2213,Order!$C:$C,Order!$D:$D,"",0,1))</f>
        <v>25540</v>
      </c>
      <c r="E2213" s="4" t="e" vm="342">
        <f>IF($C2213="","",_xlfn.XLOOKUP($C2213,Order!$C:$C,Order!$E:$E,"",0,1))</f>
        <v>#VALUE!</v>
      </c>
      <c r="F2213" s="4">
        <f>IF($C2213="","",_xlfn.XLOOKUP($C2213,Order!$C:$C,Order!$F:$F,"",0,1))</f>
        <v>6000</v>
      </c>
      <c r="G2213" s="4" t="str">
        <f>IF($C2213="","",_xlfn.XLOOKUP($C2213,Order!$C:$C,Order!$G:$G,"",0,1))</f>
        <v>6063T5</v>
      </c>
      <c r="H2213" s="4">
        <f>IF($C2213="","",_xlfn.XLOOKUP($C2213,Order!$C:$C,Order!$H:$H,"",0,1))</f>
        <v>0.45</v>
      </c>
      <c r="I2213" s="36">
        <f>IF($C2213="","",_xlfn.XLOOKUP($C2213,Order!$C:$C,Order!$O:$O,"",0,1))</f>
        <v>0</v>
      </c>
      <c r="J2213" s="4" t="str">
        <f>IF(C2213="","",Order!$O$16)</f>
        <v>WOOD FINISH (BA)</v>
      </c>
      <c r="K2213" s="36">
        <f>IF($C2213="","",_xlfn.XLOOKUP($C2213,Order!$C:$C,Order!$P:$P,"",0,1))</f>
        <v>0</v>
      </c>
      <c r="L2213" s="4">
        <f t="shared" si="34"/>
        <v>0</v>
      </c>
    </row>
    <row r="2214" spans="2:12" ht="23.25" hidden="1" customHeight="1" x14ac:dyDescent="0.25">
      <c r="B2214" s="4">
        <v>2209</v>
      </c>
      <c r="C2214" s="36">
        <f>IF(Order!$C$155="","",Order!$C$155)</f>
        <v>25542</v>
      </c>
      <c r="D2214" s="36">
        <f>IF($C2214="","",_xlfn.XLOOKUP($C2214,Order!$C:$C,Order!$D:$D,"",0,1))</f>
        <v>25542</v>
      </c>
      <c r="E2214" s="4" t="e" vm="343">
        <f>IF($C2214="","",_xlfn.XLOOKUP($C2214,Order!$C:$C,Order!$E:$E,"",0,1))</f>
        <v>#VALUE!</v>
      </c>
      <c r="F2214" s="4">
        <f>IF($C2214="","",_xlfn.XLOOKUP($C2214,Order!$C:$C,Order!$F:$F,"",0,1))</f>
        <v>6000</v>
      </c>
      <c r="G2214" s="4" t="str">
        <f>IF($C2214="","",_xlfn.XLOOKUP($C2214,Order!$C:$C,Order!$G:$G,"",0,1))</f>
        <v>6063T5</v>
      </c>
      <c r="H2214" s="4">
        <f>IF($C2214="","",_xlfn.XLOOKUP($C2214,Order!$C:$C,Order!$H:$H,"",0,1))</f>
        <v>0.54200000000000004</v>
      </c>
      <c r="I2214" s="36">
        <f>IF($C2214="","",_xlfn.XLOOKUP($C2214,Order!$C:$C,Order!$O:$O,"",0,1))</f>
        <v>0</v>
      </c>
      <c r="J2214" s="4" t="str">
        <f>IF(C2214="","",Order!$O$16)</f>
        <v>WOOD FINISH (BA)</v>
      </c>
      <c r="K2214" s="36">
        <f>IF($C2214="","",_xlfn.XLOOKUP($C2214,Order!$C:$C,Order!$P:$P,"",0,1))</f>
        <v>0</v>
      </c>
      <c r="L2214" s="4">
        <f t="shared" si="34"/>
        <v>0</v>
      </c>
    </row>
    <row r="2215" spans="2:12" ht="23.25" hidden="1" customHeight="1" x14ac:dyDescent="0.25">
      <c r="B2215" s="4">
        <v>2210</v>
      </c>
      <c r="C2215" s="36" t="str">
        <f>IF(Order!$C$156="","",Order!$C$156)</f>
        <v>VZ024L</v>
      </c>
      <c r="D2215" s="36" t="str">
        <f>IF($C2215="","",_xlfn.XLOOKUP($C2215,Order!$C:$C,Order!$D:$D,"",0,1))</f>
        <v>VZ024L</v>
      </c>
      <c r="E2215" s="4" t="e" vm="344">
        <f>IF($C2215="","",_xlfn.XLOOKUP($C2215,Order!$C:$C,Order!$E:$E,"",0,1))</f>
        <v>#VALUE!</v>
      </c>
      <c r="F2215" s="4">
        <f>IF($C2215="","",_xlfn.XLOOKUP($C2215,Order!$C:$C,Order!$F:$F,"",0,1))</f>
        <v>6000</v>
      </c>
      <c r="G2215" s="4" t="str">
        <f>IF($C2215="","",_xlfn.XLOOKUP($C2215,Order!$C:$C,Order!$G:$G,"",0,1))</f>
        <v>6063T5</v>
      </c>
      <c r="H2215" s="4">
        <f>IF($C2215="","",_xlfn.XLOOKUP($C2215,Order!$C:$C,Order!$H:$H,"",0,1))</f>
        <v>0.19800000000000001</v>
      </c>
      <c r="I2215" s="36">
        <f>IF($C2215="","",_xlfn.XLOOKUP($C2215,Order!$C:$C,Order!$O:$O,"",0,1))</f>
        <v>0</v>
      </c>
      <c r="J2215" s="4" t="str">
        <f>IF(C2215="","",Order!$O$16)</f>
        <v>WOOD FINISH (BA)</v>
      </c>
      <c r="K2215" s="36">
        <f>IF($C2215="","",_xlfn.XLOOKUP($C2215,Order!$C:$C,Order!$P:$P,"",0,1))</f>
        <v>0</v>
      </c>
      <c r="L2215" s="4">
        <f t="shared" si="34"/>
        <v>0</v>
      </c>
    </row>
    <row r="2216" spans="2:12" ht="23.25" hidden="1" customHeight="1" x14ac:dyDescent="0.25">
      <c r="B2216" s="4">
        <v>2211</v>
      </c>
      <c r="C2216" s="36" t="str">
        <f>IF(Order!$C$157="","",Order!$C$157)</f>
        <v/>
      </c>
      <c r="D2216" s="36" t="str">
        <f>IF($C2216="","",_xlfn.XLOOKUP($C2216,Order!$C:$C,Order!$D:$D,"",0,1))</f>
        <v/>
      </c>
      <c r="E2216" s="4" t="str">
        <f>IF($C2216="","",_xlfn.XLOOKUP($C2216,Order!$C:$C,Order!$E:$E,"",0,1))</f>
        <v/>
      </c>
      <c r="F2216" s="4" t="str">
        <f>IF($C2216="","",_xlfn.XLOOKUP($C2216,Order!$C:$C,Order!$F:$F,"",0,1))</f>
        <v/>
      </c>
      <c r="G2216" s="4" t="str">
        <f>IF($C2216="","",_xlfn.XLOOKUP($C2216,Order!$C:$C,Order!$G:$G,"",0,1))</f>
        <v/>
      </c>
      <c r="H2216" s="4" t="str">
        <f>IF($C2216="","",_xlfn.XLOOKUP($C2216,Order!$C:$C,Order!$H:$H,"",0,1))</f>
        <v/>
      </c>
      <c r="I2216" s="36" t="str">
        <f>IF($C2216="","",_xlfn.XLOOKUP($C2216,Order!$C:$C,Order!$O:$O,"",0,1))</f>
        <v/>
      </c>
      <c r="J2216" s="4" t="str">
        <f>IF(C2216="","",Order!$O$16)</f>
        <v/>
      </c>
      <c r="K2216" s="36" t="str">
        <f>IF($C2216="","",_xlfn.XLOOKUP($C2216,Order!$C:$C,Order!$P:$P,"",0,1))</f>
        <v/>
      </c>
      <c r="L2216" s="4" t="str">
        <f t="shared" si="34"/>
        <v/>
      </c>
    </row>
    <row r="2217" spans="2:12" ht="23.25" hidden="1" customHeight="1" x14ac:dyDescent="0.25">
      <c r="B2217" s="4">
        <v>2212</v>
      </c>
      <c r="C2217" s="36" t="str">
        <f>IF(Order!$C$158="","",Order!$C$158)</f>
        <v>VZ060L</v>
      </c>
      <c r="D2217" s="36" t="str">
        <f>IF($C2217="","",_xlfn.XLOOKUP($C2217,Order!$C:$C,Order!$D:$D,"",0,1))</f>
        <v>VZ060L</v>
      </c>
      <c r="E2217" s="4" t="e" vm="345">
        <f>IF($C2217="","",_xlfn.XLOOKUP($C2217,Order!$C:$C,Order!$E:$E,"",0,1))</f>
        <v>#VALUE!</v>
      </c>
      <c r="F2217" s="4">
        <f>IF($C2217="","",_xlfn.XLOOKUP($C2217,Order!$C:$C,Order!$F:$F,"",0,1))</f>
        <v>6000</v>
      </c>
      <c r="G2217" s="4" t="str">
        <f>IF($C2217="","",_xlfn.XLOOKUP($C2217,Order!$C:$C,Order!$G:$G,"",0,1))</f>
        <v>6063T5</v>
      </c>
      <c r="H2217" s="4">
        <f>IF($C2217="","",_xlfn.XLOOKUP($C2217,Order!$C:$C,Order!$H:$H,"",0,1))</f>
        <v>0.28799999999999998</v>
      </c>
      <c r="I2217" s="36">
        <f>IF($C2217="","",_xlfn.XLOOKUP($C2217,Order!$C:$C,Order!$O:$O,"",0,1))</f>
        <v>0</v>
      </c>
      <c r="J2217" s="4" t="str">
        <f>IF(C2217="","",Order!$O$16)</f>
        <v>WOOD FINISH (BA)</v>
      </c>
      <c r="K2217" s="36">
        <f>IF($C2217="","",_xlfn.XLOOKUP($C2217,Order!$C:$C,Order!$P:$P,"",0,1))</f>
        <v>0</v>
      </c>
      <c r="L2217" s="4">
        <f t="shared" si="34"/>
        <v>0</v>
      </c>
    </row>
    <row r="2218" spans="2:12" ht="23.25" hidden="1" customHeight="1" x14ac:dyDescent="0.25">
      <c r="B2218" s="4">
        <v>2213</v>
      </c>
      <c r="C2218" s="36" t="str">
        <f>IF(Order!$C$159="","",Order!$C$159)</f>
        <v>VZ201</v>
      </c>
      <c r="D2218" s="36" t="str">
        <f>IF($C2218="","",_xlfn.XLOOKUP($C2218,Order!$C:$C,Order!$D:$D,"",0,1))</f>
        <v>VZ201</v>
      </c>
      <c r="E2218" s="4" t="e" vm="346">
        <f>IF($C2218="","",_xlfn.XLOOKUP($C2218,Order!$C:$C,Order!$E:$E,"",0,1))</f>
        <v>#VALUE!</v>
      </c>
      <c r="F2218" s="4">
        <f>IF($C2218="","",_xlfn.XLOOKUP($C2218,Order!$C:$C,Order!$F:$F,"",0,1))</f>
        <v>6000</v>
      </c>
      <c r="G2218" s="4" t="str">
        <f>IF($C2218="","",_xlfn.XLOOKUP($C2218,Order!$C:$C,Order!$G:$G,"",0,1))</f>
        <v>6063T5</v>
      </c>
      <c r="H2218" s="4">
        <f>IF($C2218="","",_xlfn.XLOOKUP($C2218,Order!$C:$C,Order!$H:$H,"",0,1))</f>
        <v>0.21</v>
      </c>
      <c r="I2218" s="36">
        <f>IF($C2218="","",_xlfn.XLOOKUP($C2218,Order!$C:$C,Order!$O:$O,"",0,1))</f>
        <v>0</v>
      </c>
      <c r="J2218" s="4" t="str">
        <f>IF(C2218="","",Order!$O$16)</f>
        <v>WOOD FINISH (BA)</v>
      </c>
      <c r="K2218" s="36">
        <f>IF($C2218="","",_xlfn.XLOOKUP($C2218,Order!$C:$C,Order!$P:$P,"",0,1))</f>
        <v>0</v>
      </c>
      <c r="L2218" s="4">
        <f t="shared" si="34"/>
        <v>0</v>
      </c>
    </row>
    <row r="2219" spans="2:12" ht="23.25" hidden="1" customHeight="1" x14ac:dyDescent="0.25">
      <c r="B2219" s="4">
        <v>2214</v>
      </c>
      <c r="C2219" s="36" t="str">
        <f>IF(Order!$C$160="","",Order!$C$160)</f>
        <v/>
      </c>
      <c r="D2219" s="36" t="str">
        <f>IF($C2219="","",_xlfn.XLOOKUP($C2219,Order!$C:$C,Order!$D:$D,"",0,1))</f>
        <v/>
      </c>
      <c r="E2219" s="4" t="str">
        <f>IF($C2219="","",_xlfn.XLOOKUP($C2219,Order!$C:$C,Order!$E:$E,"",0,1))</f>
        <v/>
      </c>
      <c r="F2219" s="4" t="str">
        <f>IF($C2219="","",_xlfn.XLOOKUP($C2219,Order!$C:$C,Order!$F:$F,"",0,1))</f>
        <v/>
      </c>
      <c r="G2219" s="4" t="str">
        <f>IF($C2219="","",_xlfn.XLOOKUP($C2219,Order!$C:$C,Order!$G:$G,"",0,1))</f>
        <v/>
      </c>
      <c r="H2219" s="4" t="str">
        <f>IF($C2219="","",_xlfn.XLOOKUP($C2219,Order!$C:$C,Order!$H:$H,"",0,1))</f>
        <v/>
      </c>
      <c r="I2219" s="36" t="str">
        <f>IF($C2219="","",_xlfn.XLOOKUP($C2219,Order!$C:$C,Order!$O:$O,"",0,1))</f>
        <v/>
      </c>
      <c r="J2219" s="4" t="str">
        <f>IF(C2219="","",Order!$O$16)</f>
        <v/>
      </c>
      <c r="K2219" s="36" t="str">
        <f>IF($C2219="","",_xlfn.XLOOKUP($C2219,Order!$C:$C,Order!$P:$P,"",0,1))</f>
        <v/>
      </c>
      <c r="L2219" s="4" t="str">
        <f t="shared" si="34"/>
        <v/>
      </c>
    </row>
    <row r="2220" spans="2:12" ht="23.25" hidden="1" customHeight="1" x14ac:dyDescent="0.25">
      <c r="B2220" s="4">
        <v>2215</v>
      </c>
      <c r="C2220" s="36" t="str">
        <f>IF(Order!$C$161="","",Order!$C$161)</f>
        <v xml:space="preserve">BX828 </v>
      </c>
      <c r="D2220" s="36" t="str">
        <f>IF($C2220="","",_xlfn.XLOOKUP($C2220,Order!$C:$C,Order!$D:$D,"",0,1))</f>
        <v>BX828</v>
      </c>
      <c r="E2220" s="4" t="e" vm="347">
        <f>IF($C2220="","",_xlfn.XLOOKUP($C2220,Order!$C:$C,Order!$E:$E,"",0,1))</f>
        <v>#VALUE!</v>
      </c>
      <c r="F2220" s="4">
        <f>IF($C2220="","",_xlfn.XLOOKUP($C2220,Order!$C:$C,Order!$F:$F,"",0,1))</f>
        <v>6000</v>
      </c>
      <c r="G2220" s="4" t="str">
        <f>IF($C2220="","",_xlfn.XLOOKUP($C2220,Order!$C:$C,Order!$G:$G,"",0,1))</f>
        <v>6063T5</v>
      </c>
      <c r="H2220" s="4">
        <f>IF($C2220="","",_xlfn.XLOOKUP($C2220,Order!$C:$C,Order!$H:$H,"",0,1))</f>
        <v>0</v>
      </c>
      <c r="I2220" s="36">
        <f>IF($C2220="","",_xlfn.XLOOKUP($C2220,Order!$C:$C,Order!$O:$O,"",0,1))</f>
        <v>0</v>
      </c>
      <c r="J2220" s="4" t="str">
        <f>IF(C2220="","",Order!$O$16)</f>
        <v>WOOD FINISH (BA)</v>
      </c>
      <c r="K2220" s="36">
        <f>IF($C2220="","",_xlfn.XLOOKUP($C2220,Order!$C:$C,Order!$P:$P,"",0,1))</f>
        <v>0</v>
      </c>
      <c r="L2220" s="4">
        <f t="shared" si="34"/>
        <v>0</v>
      </c>
    </row>
    <row r="2221" spans="2:12" ht="23.25" hidden="1" customHeight="1" x14ac:dyDescent="0.25">
      <c r="B2221" s="4">
        <v>2216</v>
      </c>
      <c r="C2221" s="36">
        <f>IF(Order!$C$162="","",Order!$C$162)</f>
        <v>30044</v>
      </c>
      <c r="D2221" s="36">
        <f>IF($C2221="","",_xlfn.XLOOKUP($C2221,Order!$C:$C,Order!$D:$D,"",0,1))</f>
        <v>30044</v>
      </c>
      <c r="E2221" s="4" t="e" vm="348">
        <f>IF($C2221="","",_xlfn.XLOOKUP($C2221,Order!$C:$C,Order!$E:$E,"",0,1))</f>
        <v>#VALUE!</v>
      </c>
      <c r="F2221" s="4">
        <f>IF($C2221="","",_xlfn.XLOOKUP($C2221,Order!$C:$C,Order!$F:$F,"",0,1))</f>
        <v>6000</v>
      </c>
      <c r="G2221" s="4" t="str">
        <f>IF($C2221="","",_xlfn.XLOOKUP($C2221,Order!$C:$C,Order!$G:$G,"",0,1))</f>
        <v>6063T5</v>
      </c>
      <c r="H2221" s="4">
        <f>IF($C2221="","",_xlfn.XLOOKUP($C2221,Order!$C:$C,Order!$H:$H,"",0,1))</f>
        <v>0.22600000000000001</v>
      </c>
      <c r="I2221" s="36">
        <f>IF($C2221="","",_xlfn.XLOOKUP($C2221,Order!$C:$C,Order!$O:$O,"",0,1))</f>
        <v>0</v>
      </c>
      <c r="J2221" s="4" t="str">
        <f>IF(C2221="","",Order!$O$16)</f>
        <v>WOOD FINISH (BA)</v>
      </c>
      <c r="K2221" s="36">
        <f>IF($C2221="","",_xlfn.XLOOKUP($C2221,Order!$C:$C,Order!$P:$P,"",0,1))</f>
        <v>0</v>
      </c>
      <c r="L2221" s="4">
        <f t="shared" si="34"/>
        <v>0</v>
      </c>
    </row>
    <row r="2222" spans="2:12" ht="23.25" hidden="1" customHeight="1" x14ac:dyDescent="0.25">
      <c r="B2222" s="4">
        <v>2217</v>
      </c>
      <c r="C2222" s="36" t="str">
        <f>IF(Order!$C$163="","",Order!$C$163)</f>
        <v>AF180U</v>
      </c>
      <c r="D2222" s="36" t="str">
        <f>IF($C2222="","",_xlfn.XLOOKUP($C2222,Order!$C:$C,Order!$D:$D,"",0,1))</f>
        <v>AF180U</v>
      </c>
      <c r="E2222" s="4" t="e" vm="349">
        <f>IF($C2222="","",_xlfn.XLOOKUP($C2222,Order!$C:$C,Order!$E:$E,"",0,1))</f>
        <v>#VALUE!</v>
      </c>
      <c r="F2222" s="4">
        <f>IF($C2222="","",_xlfn.XLOOKUP($C2222,Order!$C:$C,Order!$F:$F,"",0,1))</f>
        <v>6000</v>
      </c>
      <c r="G2222" s="4" t="str">
        <f>IF($C2222="","",_xlfn.XLOOKUP($C2222,Order!$C:$C,Order!$G:$G,"",0,1))</f>
        <v>6063T5</v>
      </c>
      <c r="H2222" s="4">
        <f>IF($C2222="","",_xlfn.XLOOKUP($C2222,Order!$C:$C,Order!$H:$H,"",0,1))</f>
        <v>0.64200000000000002</v>
      </c>
      <c r="I2222" s="36">
        <f>IF($C2222="","",_xlfn.XLOOKUP($C2222,Order!$C:$C,Order!$O:$O,"",0,1))</f>
        <v>0</v>
      </c>
      <c r="J2222" s="4" t="str">
        <f>IF(C2222="","",Order!$O$16)</f>
        <v>WOOD FINISH (BA)</v>
      </c>
      <c r="K2222" s="36">
        <f>IF($C2222="","",_xlfn.XLOOKUP($C2222,Order!$C:$C,Order!$P:$P,"",0,1))</f>
        <v>0</v>
      </c>
      <c r="L2222" s="4">
        <f t="shared" si="34"/>
        <v>0</v>
      </c>
    </row>
    <row r="2223" spans="2:12" ht="23.25" hidden="1" customHeight="1" x14ac:dyDescent="0.25">
      <c r="B2223" s="4">
        <v>2218</v>
      </c>
      <c r="C2223" s="36" t="str">
        <f>IF(Order!$C$164="","",Order!$C$164)</f>
        <v>BX627</v>
      </c>
      <c r="D2223" s="36" t="str">
        <f>IF($C2223="","",_xlfn.XLOOKUP($C2223,Order!$C:$C,Order!$D:$D,"",0,1))</f>
        <v>BX627</v>
      </c>
      <c r="E2223" s="4" t="e" vm="350">
        <f>IF($C2223="","",_xlfn.XLOOKUP($C2223,Order!$C:$C,Order!$E:$E,"",0,1))</f>
        <v>#VALUE!</v>
      </c>
      <c r="F2223" s="4">
        <f>IF($C2223="","",_xlfn.XLOOKUP($C2223,Order!$C:$C,Order!$F:$F,"",0,1))</f>
        <v>6000</v>
      </c>
      <c r="G2223" s="4" t="str">
        <f>IF($C2223="","",_xlfn.XLOOKUP($C2223,Order!$C:$C,Order!$G:$G,"",0,1))</f>
        <v>6063T5</v>
      </c>
      <c r="H2223" s="4">
        <f>IF($C2223="","",_xlfn.XLOOKUP($C2223,Order!$C:$C,Order!$H:$H,"",0,1))</f>
        <v>0.44800000000000001</v>
      </c>
      <c r="I2223" s="36">
        <f>IF($C2223="","",_xlfn.XLOOKUP($C2223,Order!$C:$C,Order!$O:$O,"",0,1))</f>
        <v>0</v>
      </c>
      <c r="J2223" s="4" t="str">
        <f>IF(C2223="","",Order!$O$16)</f>
        <v>WOOD FINISH (BA)</v>
      </c>
      <c r="K2223" s="36">
        <f>IF($C2223="","",_xlfn.XLOOKUP($C2223,Order!$C:$C,Order!$P:$P,"",0,1))</f>
        <v>0</v>
      </c>
      <c r="L2223" s="4">
        <f t="shared" si="34"/>
        <v>0</v>
      </c>
    </row>
    <row r="2224" spans="2:12" ht="23.25" hidden="1" customHeight="1" x14ac:dyDescent="0.25">
      <c r="B2224" s="4">
        <v>2219</v>
      </c>
      <c r="C2224" s="36" t="str">
        <f>IF(Order!$C$165="","",Order!$C$165)</f>
        <v>BX812</v>
      </c>
      <c r="D2224" s="36" t="str">
        <f>IF($C2224="","",_xlfn.XLOOKUP($C2224,Order!$C:$C,Order!$D:$D,"",0,1))</f>
        <v>BX812</v>
      </c>
      <c r="E2224" s="4" t="e" vm="351">
        <f>IF($C2224="","",_xlfn.XLOOKUP($C2224,Order!$C:$C,Order!$E:$E,"",0,1))</f>
        <v>#VALUE!</v>
      </c>
      <c r="F2224" s="4">
        <f>IF($C2224="","",_xlfn.XLOOKUP($C2224,Order!$C:$C,Order!$F:$F,"",0,1))</f>
        <v>6000</v>
      </c>
      <c r="G2224" s="4" t="str">
        <f>IF($C2224="","",_xlfn.XLOOKUP($C2224,Order!$C:$C,Order!$G:$G,"",0,1))</f>
        <v>6063T5</v>
      </c>
      <c r="H2224" s="4">
        <f>IF($C2224="","",_xlfn.XLOOKUP($C2224,Order!$C:$C,Order!$H:$H,"",0,1))</f>
        <v>1.373</v>
      </c>
      <c r="I2224" s="36">
        <f>IF($C2224="","",_xlfn.XLOOKUP($C2224,Order!$C:$C,Order!$O:$O,"",0,1))</f>
        <v>0</v>
      </c>
      <c r="J2224" s="4" t="str">
        <f>IF(C2224="","",Order!$O$16)</f>
        <v>WOOD FINISH (BA)</v>
      </c>
      <c r="K2224" s="36">
        <f>IF($C2224="","",_xlfn.XLOOKUP($C2224,Order!$C:$C,Order!$P:$P,"",0,1))</f>
        <v>0</v>
      </c>
      <c r="L2224" s="4">
        <f t="shared" si="34"/>
        <v>0</v>
      </c>
    </row>
    <row r="2225" spans="2:12" ht="23.25" hidden="1" customHeight="1" x14ac:dyDescent="0.25">
      <c r="B2225" s="4">
        <v>2220</v>
      </c>
      <c r="C2225" s="36">
        <f>IF(Order!$C$166="","",Order!$C$166)</f>
        <v>25517</v>
      </c>
      <c r="D2225" s="36">
        <f>IF($C2225="","",_xlfn.XLOOKUP($C2225,Order!$C:$C,Order!$D:$D,"",0,1))</f>
        <v>25517</v>
      </c>
      <c r="E2225" s="4" t="e" vm="352">
        <f>IF($C2225="","",_xlfn.XLOOKUP($C2225,Order!$C:$C,Order!$E:$E,"",0,1))</f>
        <v>#VALUE!</v>
      </c>
      <c r="F2225" s="4">
        <f>IF($C2225="","",_xlfn.XLOOKUP($C2225,Order!$C:$C,Order!$F:$F,"",0,1))</f>
        <v>6000</v>
      </c>
      <c r="G2225" s="4" t="str">
        <f>IF($C2225="","",_xlfn.XLOOKUP($C2225,Order!$C:$C,Order!$G:$G,"",0,1))</f>
        <v>6063T5</v>
      </c>
      <c r="H2225" s="4">
        <f>IF($C2225="","",_xlfn.XLOOKUP($C2225,Order!$C:$C,Order!$H:$H,"",0,1))</f>
        <v>0.39200000000000002</v>
      </c>
      <c r="I2225" s="36">
        <f>IF($C2225="","",_xlfn.XLOOKUP($C2225,Order!$C:$C,Order!$O:$O,"",0,1))</f>
        <v>0</v>
      </c>
      <c r="J2225" s="4" t="str">
        <f>IF(C2225="","",Order!$O$16)</f>
        <v>WOOD FINISH (BA)</v>
      </c>
      <c r="K2225" s="36">
        <f>IF($C2225="","",_xlfn.XLOOKUP($C2225,Order!$C:$C,Order!$P:$P,"",0,1))</f>
        <v>0</v>
      </c>
      <c r="L2225" s="4">
        <f t="shared" si="34"/>
        <v>0</v>
      </c>
    </row>
    <row r="2226" spans="2:12" ht="23.25" hidden="1" customHeight="1" x14ac:dyDescent="0.25">
      <c r="B2226" s="4">
        <v>2221</v>
      </c>
      <c r="C2226" s="36" t="str">
        <f>IF(Order!$C$167="","",Order!$C$167)</f>
        <v>25517A</v>
      </c>
      <c r="D2226" s="36" t="str">
        <f>IF($C2226="","",_xlfn.XLOOKUP($C2226,Order!$C:$C,Order!$D:$D,"",0,1))</f>
        <v>25517A</v>
      </c>
      <c r="E2226" s="4" t="e" vm="352">
        <f>IF($C2226="","",_xlfn.XLOOKUP($C2226,Order!$C:$C,Order!$E:$E,"",0,1))</f>
        <v>#VALUE!</v>
      </c>
      <c r="F2226" s="4">
        <f>IF($C2226="","",_xlfn.XLOOKUP($C2226,Order!$C:$C,Order!$F:$F,"",0,1))</f>
        <v>6000</v>
      </c>
      <c r="G2226" s="4" t="str">
        <f>IF($C2226="","",_xlfn.XLOOKUP($C2226,Order!$C:$C,Order!$G:$G,"",0,1))</f>
        <v>6063T5</v>
      </c>
      <c r="H2226" s="4">
        <f>IF($C2226="","",_xlfn.XLOOKUP($C2226,Order!$C:$C,Order!$H:$H,"",0,1))</f>
        <v>0.36</v>
      </c>
      <c r="I2226" s="36">
        <f>IF($C2226="","",_xlfn.XLOOKUP($C2226,Order!$C:$C,Order!$O:$O,"",0,1))</f>
        <v>0</v>
      </c>
      <c r="J2226" s="4" t="str">
        <f>IF(C2226="","",Order!$O$16)</f>
        <v>WOOD FINISH (BA)</v>
      </c>
      <c r="K2226" s="36">
        <f>IF($C2226="","",_xlfn.XLOOKUP($C2226,Order!$C:$C,Order!$P:$P,"",0,1))</f>
        <v>0</v>
      </c>
      <c r="L2226" s="4">
        <f t="shared" si="34"/>
        <v>0</v>
      </c>
    </row>
    <row r="2227" spans="2:12" ht="23.25" hidden="1" customHeight="1" x14ac:dyDescent="0.25">
      <c r="B2227" s="4">
        <v>2222</v>
      </c>
      <c r="C2227" s="36">
        <f>IF(Order!$C$168="","",Order!$C$168)</f>
        <v>25518</v>
      </c>
      <c r="D2227" s="36">
        <f>IF($C2227="","",_xlfn.XLOOKUP($C2227,Order!$C:$C,Order!$D:$D,"",0,1))</f>
        <v>25518</v>
      </c>
      <c r="E2227" s="4" t="e" vm="353">
        <f>IF($C2227="","",_xlfn.XLOOKUP($C2227,Order!$C:$C,Order!$E:$E,"",0,1))</f>
        <v>#VALUE!</v>
      </c>
      <c r="F2227" s="4">
        <f>IF($C2227="","",_xlfn.XLOOKUP($C2227,Order!$C:$C,Order!$F:$F,"",0,1))</f>
        <v>6000</v>
      </c>
      <c r="G2227" s="4" t="str">
        <f>IF($C2227="","",_xlfn.XLOOKUP($C2227,Order!$C:$C,Order!$G:$G,"",0,1))</f>
        <v>6063T5</v>
      </c>
      <c r="H2227" s="4">
        <f>IF($C2227="","",_xlfn.XLOOKUP($C2227,Order!$C:$C,Order!$H:$H,"",0,1))</f>
        <v>0.36299999999999999</v>
      </c>
      <c r="I2227" s="36">
        <f>IF($C2227="","",_xlfn.XLOOKUP($C2227,Order!$C:$C,Order!$O:$O,"",0,1))</f>
        <v>0</v>
      </c>
      <c r="J2227" s="4" t="str">
        <f>IF(C2227="","",Order!$O$16)</f>
        <v>WOOD FINISH (BA)</v>
      </c>
      <c r="K2227" s="36">
        <f>IF($C2227="","",_xlfn.XLOOKUP($C2227,Order!$C:$C,Order!$P:$P,"",0,1))</f>
        <v>0</v>
      </c>
      <c r="L2227" s="4">
        <f t="shared" si="34"/>
        <v>0</v>
      </c>
    </row>
    <row r="2228" spans="2:12" ht="23.25" hidden="1" customHeight="1" x14ac:dyDescent="0.25">
      <c r="B2228" s="4">
        <v>2223</v>
      </c>
      <c r="C2228" s="36">
        <f>IF(Order!$C$169="","",Order!$C$169)</f>
        <v>25520</v>
      </c>
      <c r="D2228" s="36">
        <f>IF($C2228="","",_xlfn.XLOOKUP($C2228,Order!$C:$C,Order!$D:$D,"",0,1))</f>
        <v>25520</v>
      </c>
      <c r="E2228" s="4" t="e" vm="354">
        <f>IF($C2228="","",_xlfn.XLOOKUP($C2228,Order!$C:$C,Order!$E:$E,"",0,1))</f>
        <v>#VALUE!</v>
      </c>
      <c r="F2228" s="4">
        <f>IF($C2228="","",_xlfn.XLOOKUP($C2228,Order!$C:$C,Order!$F:$F,"",0,1))</f>
        <v>6000</v>
      </c>
      <c r="G2228" s="4" t="str">
        <f>IF($C2228="","",_xlfn.XLOOKUP($C2228,Order!$C:$C,Order!$G:$G,"",0,1))</f>
        <v>6063T5</v>
      </c>
      <c r="H2228" s="4">
        <f>IF($C2228="","",_xlfn.XLOOKUP($C2228,Order!$C:$C,Order!$H:$H,"",0,1))</f>
        <v>0.373</v>
      </c>
      <c r="I2228" s="36">
        <f>IF($C2228="","",_xlfn.XLOOKUP($C2228,Order!$C:$C,Order!$O:$O,"",0,1))</f>
        <v>0</v>
      </c>
      <c r="J2228" s="4" t="str">
        <f>IF(C2228="","",Order!$O$16)</f>
        <v>WOOD FINISH (BA)</v>
      </c>
      <c r="K2228" s="36">
        <f>IF($C2228="","",_xlfn.XLOOKUP($C2228,Order!$C:$C,Order!$P:$P,"",0,1))</f>
        <v>0</v>
      </c>
      <c r="L2228" s="4">
        <f t="shared" si="34"/>
        <v>0</v>
      </c>
    </row>
    <row r="2229" spans="2:12" ht="23.25" hidden="1" customHeight="1" x14ac:dyDescent="0.25">
      <c r="B2229" s="4">
        <v>2224</v>
      </c>
      <c r="C2229" s="36">
        <f>IF(Order!$C$170="","",Order!$C$170)</f>
        <v>25617</v>
      </c>
      <c r="D2229" s="36">
        <f>IF($C2229="","",_xlfn.XLOOKUP($C2229,Order!$C:$C,Order!$D:$D,"",0,1))</f>
        <v>25617</v>
      </c>
      <c r="E2229" s="4" t="e" vm="355">
        <f>IF($C2229="","",_xlfn.XLOOKUP($C2229,Order!$C:$C,Order!$E:$E,"",0,1))</f>
        <v>#VALUE!</v>
      </c>
      <c r="F2229" s="4">
        <f>IF($C2229="","",_xlfn.XLOOKUP($C2229,Order!$C:$C,Order!$F:$F,"",0,1))</f>
        <v>6000</v>
      </c>
      <c r="G2229" s="4" t="str">
        <f>IF($C2229="","",_xlfn.XLOOKUP($C2229,Order!$C:$C,Order!$G:$G,"",0,1))</f>
        <v>6063T5</v>
      </c>
      <c r="H2229" s="4">
        <f>IF($C2229="","",_xlfn.XLOOKUP($C2229,Order!$C:$C,Order!$H:$H,"",0,1))</f>
        <v>0.373</v>
      </c>
      <c r="I2229" s="36">
        <f>IF($C2229="","",_xlfn.XLOOKUP($C2229,Order!$C:$C,Order!$O:$O,"",0,1))</f>
        <v>0</v>
      </c>
      <c r="J2229" s="4" t="str">
        <f>IF(C2229="","",Order!$O$16)</f>
        <v>WOOD FINISH (BA)</v>
      </c>
      <c r="K2229" s="36">
        <f>IF($C2229="","",_xlfn.XLOOKUP($C2229,Order!$C:$C,Order!$P:$P,"",0,1))</f>
        <v>0</v>
      </c>
      <c r="L2229" s="4">
        <f t="shared" si="34"/>
        <v>0</v>
      </c>
    </row>
    <row r="2230" spans="2:12" ht="23.25" hidden="1" customHeight="1" x14ac:dyDescent="0.25">
      <c r="B2230" s="4">
        <v>2225</v>
      </c>
      <c r="C2230" s="36" t="str">
        <f>IF(Order!$C$171="","",Order!$C$171)</f>
        <v>TB600</v>
      </c>
      <c r="D2230" s="36" t="str">
        <f>IF($C2230="","",_xlfn.XLOOKUP($C2230,Order!$C:$C,Order!$D:$D,"",0,1))</f>
        <v>TB600</v>
      </c>
      <c r="E2230" s="4" t="e" vm="356">
        <f>IF($C2230="","",_xlfn.XLOOKUP($C2230,Order!$C:$C,Order!$E:$E,"",0,1))</f>
        <v>#VALUE!</v>
      </c>
      <c r="F2230" s="4">
        <f>IF($C2230="","",_xlfn.XLOOKUP($C2230,Order!$C:$C,Order!$F:$F,"",0,1))</f>
        <v>6000</v>
      </c>
      <c r="G2230" s="4" t="str">
        <f>IF($C2230="","",_xlfn.XLOOKUP($C2230,Order!$C:$C,Order!$G:$G,"",0,1))</f>
        <v>6063T5</v>
      </c>
      <c r="H2230" s="4">
        <f>IF($C2230="","",_xlfn.XLOOKUP($C2230,Order!$C:$C,Order!$H:$H,"",0,1))</f>
        <v>0.73099999999999998</v>
      </c>
      <c r="I2230" s="36">
        <f>IF($C2230="","",_xlfn.XLOOKUP($C2230,Order!$C:$C,Order!$O:$O,"",0,1))</f>
        <v>0</v>
      </c>
      <c r="J2230" s="4" t="str">
        <f>IF(C2230="","",Order!$O$16)</f>
        <v>WOOD FINISH (BA)</v>
      </c>
      <c r="K2230" s="36">
        <f>IF($C2230="","",_xlfn.XLOOKUP($C2230,Order!$C:$C,Order!$P:$P,"",0,1))</f>
        <v>0</v>
      </c>
      <c r="L2230" s="4">
        <f t="shared" si="34"/>
        <v>0</v>
      </c>
    </row>
    <row r="2231" spans="2:12" ht="23.25" hidden="1" customHeight="1" x14ac:dyDescent="0.25">
      <c r="B2231" s="4">
        <v>2226</v>
      </c>
      <c r="C2231" s="36" t="str">
        <f>IF(Order!$C$172="","",Order!$C$172)</f>
        <v>TB650</v>
      </c>
      <c r="D2231" s="36" t="str">
        <f>IF($C2231="","",_xlfn.XLOOKUP($C2231,Order!$C:$C,Order!$D:$D,"",0,1))</f>
        <v>TB650</v>
      </c>
      <c r="E2231" s="4" t="e" vm="357">
        <f>IF($C2231="","",_xlfn.XLOOKUP($C2231,Order!$C:$C,Order!$E:$E,"",0,1))</f>
        <v>#VALUE!</v>
      </c>
      <c r="F2231" s="4">
        <f>IF($C2231="","",_xlfn.XLOOKUP($C2231,Order!$C:$C,Order!$F:$F,"",0,1))</f>
        <v>6000</v>
      </c>
      <c r="G2231" s="4" t="str">
        <f>IF($C2231="","",_xlfn.XLOOKUP($C2231,Order!$C:$C,Order!$G:$G,"",0,1))</f>
        <v>6063T5</v>
      </c>
      <c r="H2231" s="4">
        <f>IF($C2231="","",_xlfn.XLOOKUP($C2231,Order!$C:$C,Order!$H:$H,"",0,1))</f>
        <v>0.77500000000000002</v>
      </c>
      <c r="I2231" s="36">
        <f>IF($C2231="","",_xlfn.XLOOKUP($C2231,Order!$C:$C,Order!$O:$O,"",0,1))</f>
        <v>0</v>
      </c>
      <c r="J2231" s="4" t="str">
        <f>IF(C2231="","",Order!$O$16)</f>
        <v>WOOD FINISH (BA)</v>
      </c>
      <c r="K2231" s="36">
        <f>IF($C2231="","",_xlfn.XLOOKUP($C2231,Order!$C:$C,Order!$P:$P,"",0,1))</f>
        <v>0</v>
      </c>
      <c r="L2231" s="4">
        <f t="shared" si="34"/>
        <v>0</v>
      </c>
    </row>
    <row r="2232" spans="2:12" ht="23.25" hidden="1" customHeight="1" x14ac:dyDescent="0.25">
      <c r="B2232" s="4">
        <v>2227</v>
      </c>
      <c r="C2232" s="36" t="str">
        <f>IF(Order!$C$173="","",Order!$C$173)</f>
        <v>PC0276</v>
      </c>
      <c r="D2232" s="36" t="str">
        <f>IF($C2232="","",_xlfn.XLOOKUP($C2232,Order!$C:$C,Order!$D:$D,"",0,1))</f>
        <v>PC027 6</v>
      </c>
      <c r="E2232" s="4" t="e" vm="358">
        <f>IF($C2232="","",_xlfn.XLOOKUP($C2232,Order!$C:$C,Order!$E:$E,"",0,1))</f>
        <v>#VALUE!</v>
      </c>
      <c r="F2232" s="4">
        <f>IF($C2232="","",_xlfn.XLOOKUP($C2232,Order!$C:$C,Order!$F:$F,"",0,1))</f>
        <v>6000</v>
      </c>
      <c r="G2232" s="4" t="str">
        <f>IF($C2232="","",_xlfn.XLOOKUP($C2232,Order!$C:$C,Order!$G:$G,"",0,1))</f>
        <v>6063T5</v>
      </c>
      <c r="H2232" s="4">
        <f>IF($C2232="","",_xlfn.XLOOKUP($C2232,Order!$C:$C,Order!$H:$H,"",0,1))</f>
        <v>0.53500000000000003</v>
      </c>
      <c r="I2232" s="36">
        <f>IF($C2232="","",_xlfn.XLOOKUP($C2232,Order!$C:$C,Order!$O:$O,"",0,1))</f>
        <v>0</v>
      </c>
      <c r="J2232" s="4" t="str">
        <f>IF(C2232="","",Order!$O$16)</f>
        <v>WOOD FINISH (BA)</v>
      </c>
      <c r="K2232" s="36">
        <f>IF($C2232="","",_xlfn.XLOOKUP($C2232,Order!$C:$C,Order!$P:$P,"",0,1))</f>
        <v>0</v>
      </c>
      <c r="L2232" s="4">
        <f t="shared" si="34"/>
        <v>0</v>
      </c>
    </row>
    <row r="2233" spans="2:12" ht="23.25" hidden="1" customHeight="1" x14ac:dyDescent="0.25">
      <c r="B2233" s="4">
        <v>2228</v>
      </c>
      <c r="C2233" s="36" t="str">
        <f>IF(Order!$C$174="","",Order!$C$174)</f>
        <v>PC0276.5A</v>
      </c>
      <c r="D2233" s="36" t="str">
        <f>IF($C2233="","",_xlfn.XLOOKUP($C2233,Order!$C:$C,Order!$D:$D,"",0,1))</f>
        <v>PC027 6.5A</v>
      </c>
      <c r="E2233" s="4" t="e" vm="359">
        <f>IF($C2233="","",_xlfn.XLOOKUP($C2233,Order!$C:$C,Order!$E:$E,"",0,1))</f>
        <v>#VALUE!</v>
      </c>
      <c r="F2233" s="4">
        <f>IF($C2233="","",_xlfn.XLOOKUP($C2233,Order!$C:$C,Order!$F:$F,"",0,1))</f>
        <v>6000</v>
      </c>
      <c r="G2233" s="4" t="str">
        <f>IF($C2233="","",_xlfn.XLOOKUP($C2233,Order!$C:$C,Order!$G:$G,"",0,1))</f>
        <v>6063T5</v>
      </c>
      <c r="H2233" s="4">
        <f>IF($C2233="","",_xlfn.XLOOKUP($C2233,Order!$C:$C,Order!$H:$H,"",0,1))</f>
        <v>0.61899999999999999</v>
      </c>
      <c r="I2233" s="36">
        <f>IF($C2233="","",_xlfn.XLOOKUP($C2233,Order!$C:$C,Order!$O:$O,"",0,1))</f>
        <v>0</v>
      </c>
      <c r="J2233" s="4" t="str">
        <f>IF(C2233="","",Order!$O$16)</f>
        <v>WOOD FINISH (BA)</v>
      </c>
      <c r="K2233" s="36">
        <f>IF($C2233="","",_xlfn.XLOOKUP($C2233,Order!$C:$C,Order!$P:$P,"",0,1))</f>
        <v>0</v>
      </c>
      <c r="L2233" s="4">
        <f t="shared" si="34"/>
        <v>0</v>
      </c>
    </row>
    <row r="2234" spans="2:12" ht="23.25" hidden="1" customHeight="1" x14ac:dyDescent="0.25">
      <c r="B2234" s="4">
        <v>2229</v>
      </c>
      <c r="C2234" s="36" t="str">
        <f>IF(Order!$C$175="","",Order!$C$175)</f>
        <v>E77</v>
      </c>
      <c r="D2234" s="36" t="str">
        <f>IF($C2234="","",_xlfn.XLOOKUP($C2234,Order!$C:$C,Order!$D:$D,"",0,1))</f>
        <v>E77</v>
      </c>
      <c r="E2234" s="4" t="e" vm="360">
        <f>IF($C2234="","",_xlfn.XLOOKUP($C2234,Order!$C:$C,Order!$E:$E,"",0,1))</f>
        <v>#VALUE!</v>
      </c>
      <c r="F2234" s="4">
        <f>IF($C2234="","",_xlfn.XLOOKUP($C2234,Order!$C:$C,Order!$F:$F,"",0,1))</f>
        <v>6000</v>
      </c>
      <c r="G2234" s="4" t="str">
        <f>IF($C2234="","",_xlfn.XLOOKUP($C2234,Order!$C:$C,Order!$G:$G,"",0,1))</f>
        <v>6063T5</v>
      </c>
      <c r="H2234" s="4">
        <f>IF($C2234="","",_xlfn.XLOOKUP($C2234,Order!$C:$C,Order!$H:$H,"",0,1))</f>
        <v>0.6</v>
      </c>
      <c r="I2234" s="36">
        <f>IF($C2234="","",_xlfn.XLOOKUP($C2234,Order!$C:$C,Order!$O:$O,"",0,1))</f>
        <v>0</v>
      </c>
      <c r="J2234" s="4" t="str">
        <f>IF(C2234="","",Order!$O$16)</f>
        <v>WOOD FINISH (BA)</v>
      </c>
      <c r="K2234" s="36">
        <f>IF($C2234="","",_xlfn.XLOOKUP($C2234,Order!$C:$C,Order!$P:$P,"",0,1))</f>
        <v>0</v>
      </c>
      <c r="L2234" s="4">
        <f t="shared" si="34"/>
        <v>0</v>
      </c>
    </row>
    <row r="2235" spans="2:12" ht="23.25" hidden="1" customHeight="1" x14ac:dyDescent="0.25">
      <c r="B2235" s="4">
        <v>2230</v>
      </c>
      <c r="C2235" s="36" t="str">
        <f>IF(Order!$C$176="","",Order!$C$176)</f>
        <v>ALB099 1.1</v>
      </c>
      <c r="D2235" s="36" t="str">
        <f>IF($C2235="","",_xlfn.XLOOKUP($C2235,Order!$C:$C,Order!$D:$D,"",0,1))</f>
        <v>ALB099</v>
      </c>
      <c r="E2235" s="4" t="e" vm="361">
        <f>IF($C2235="","",_xlfn.XLOOKUP($C2235,Order!$C:$C,Order!$E:$E,"",0,1))</f>
        <v>#VALUE!</v>
      </c>
      <c r="F2235" s="4">
        <f>IF($C2235="","",_xlfn.XLOOKUP($C2235,Order!$C:$C,Order!$F:$F,"",0,1))</f>
        <v>6000</v>
      </c>
      <c r="G2235" s="4" t="str">
        <f>IF($C2235="","",_xlfn.XLOOKUP($C2235,Order!$C:$C,Order!$G:$G,"",0,1))</f>
        <v>6063T5</v>
      </c>
      <c r="H2235" s="4">
        <f>IF($C2235="","",_xlfn.XLOOKUP($C2235,Order!$C:$C,Order!$H:$H,"",0,1))</f>
        <v>0.74299999999999999</v>
      </c>
      <c r="I2235" s="36">
        <f>IF($C2235="","",_xlfn.XLOOKUP($C2235,Order!$C:$C,Order!$O:$O,"",0,1))</f>
        <v>0</v>
      </c>
      <c r="J2235" s="4" t="str">
        <f>IF(C2235="","",Order!$O$16)</f>
        <v>WOOD FINISH (BA)</v>
      </c>
      <c r="K2235" s="36">
        <f>IF($C2235="","",_xlfn.XLOOKUP($C2235,Order!$C:$C,Order!$P:$P,"",0,1))</f>
        <v>0</v>
      </c>
      <c r="L2235" s="4">
        <f t="shared" si="34"/>
        <v>0</v>
      </c>
    </row>
    <row r="2236" spans="2:12" ht="23.25" hidden="1" customHeight="1" x14ac:dyDescent="0.25">
      <c r="B2236" s="4">
        <v>2231</v>
      </c>
      <c r="C2236" s="36" t="str">
        <f>IF(Order!$C$177="","",Order!$C$177)</f>
        <v>ALB099 1.2</v>
      </c>
      <c r="D2236" s="36" t="str">
        <f>IF($C2236="","",_xlfn.XLOOKUP($C2236,Order!$C:$C,Order!$D:$D,"",0,1))</f>
        <v>ALB099 1.2</v>
      </c>
      <c r="E2236" s="4" t="e" vm="362">
        <f>IF($C2236="","",_xlfn.XLOOKUP($C2236,Order!$C:$C,Order!$E:$E,"",0,1))</f>
        <v>#VALUE!</v>
      </c>
      <c r="F2236" s="4">
        <f>IF($C2236="","",_xlfn.XLOOKUP($C2236,Order!$C:$C,Order!$F:$F,"",0,1))</f>
        <v>6000</v>
      </c>
      <c r="G2236" s="4" t="str">
        <f>IF($C2236="","",_xlfn.XLOOKUP($C2236,Order!$C:$C,Order!$G:$G,"",0,1))</f>
        <v>6063T5</v>
      </c>
      <c r="H2236" s="4">
        <f>IF($C2236="","",_xlfn.XLOOKUP($C2236,Order!$C:$C,Order!$H:$H,"",0,1))</f>
        <v>0.81499999999999995</v>
      </c>
      <c r="I2236" s="36">
        <f>IF($C2236="","",_xlfn.XLOOKUP($C2236,Order!$C:$C,Order!$O:$O,"",0,1))</f>
        <v>0</v>
      </c>
      <c r="J2236" s="4" t="str">
        <f>IF(C2236="","",Order!$O$16)</f>
        <v>WOOD FINISH (BA)</v>
      </c>
      <c r="K2236" s="36">
        <f>IF($C2236="","",_xlfn.XLOOKUP($C2236,Order!$C:$C,Order!$P:$P,"",0,1))</f>
        <v>0</v>
      </c>
      <c r="L2236" s="4">
        <f t="shared" si="34"/>
        <v>0</v>
      </c>
    </row>
    <row r="2237" spans="2:12" ht="23.25" hidden="1" customHeight="1" x14ac:dyDescent="0.25">
      <c r="B2237" s="4">
        <v>2232</v>
      </c>
      <c r="C2237" s="36" t="str">
        <f>IF(Order!$C$178="","",Order!$C$178)</f>
        <v>LB005</v>
      </c>
      <c r="D2237" s="36" t="str">
        <f>IF($C2237="","",_xlfn.XLOOKUP($C2237,Order!$C:$C,Order!$D:$D,"",0,1))</f>
        <v>LB005</v>
      </c>
      <c r="E2237" s="4" t="e" vm="363">
        <f>IF($C2237="","",_xlfn.XLOOKUP($C2237,Order!$C:$C,Order!$E:$E,"",0,1))</f>
        <v>#VALUE!</v>
      </c>
      <c r="F2237" s="4">
        <f>IF($C2237="","",_xlfn.XLOOKUP($C2237,Order!$C:$C,Order!$F:$F,"",0,1))</f>
        <v>6000</v>
      </c>
      <c r="G2237" s="4" t="str">
        <f>IF($C2237="","",_xlfn.XLOOKUP($C2237,Order!$C:$C,Order!$G:$G,"",0,1))</f>
        <v>6063T5</v>
      </c>
      <c r="H2237" s="4">
        <f>IF($C2237="","",_xlfn.XLOOKUP($C2237,Order!$C:$C,Order!$H:$H,"",0,1))</f>
        <v>0</v>
      </c>
      <c r="I2237" s="36">
        <f>IF($C2237="","",_xlfn.XLOOKUP($C2237,Order!$C:$C,Order!$O:$O,"",0,1))</f>
        <v>0</v>
      </c>
      <c r="J2237" s="4" t="str">
        <f>IF(C2237="","",Order!$O$16)</f>
        <v>WOOD FINISH (BA)</v>
      </c>
      <c r="K2237" s="36">
        <f>IF($C2237="","",_xlfn.XLOOKUP($C2237,Order!$C:$C,Order!$P:$P,"",0,1))</f>
        <v>0</v>
      </c>
      <c r="L2237" s="4">
        <f t="shared" si="34"/>
        <v>0</v>
      </c>
    </row>
    <row r="2238" spans="2:12" ht="23.25" hidden="1" customHeight="1" x14ac:dyDescent="0.25">
      <c r="B2238" s="4">
        <v>2233</v>
      </c>
      <c r="C2238" s="36" t="str">
        <f>IF(Order!$C$179="","",Order!$C$179)</f>
        <v>LB007</v>
      </c>
      <c r="D2238" s="36" t="str">
        <f>IF($C2238="","",_xlfn.XLOOKUP($C2238,Order!$C:$C,Order!$D:$D,"",0,1))</f>
        <v>LB007</v>
      </c>
      <c r="E2238" s="4" t="e" vm="364">
        <f>IF($C2238="","",_xlfn.XLOOKUP($C2238,Order!$C:$C,Order!$E:$E,"",0,1))</f>
        <v>#VALUE!</v>
      </c>
      <c r="F2238" s="4">
        <f>IF($C2238="","",_xlfn.XLOOKUP($C2238,Order!$C:$C,Order!$F:$F,"",0,1))</f>
        <v>6000</v>
      </c>
      <c r="G2238" s="4" t="str">
        <f>IF($C2238="","",_xlfn.XLOOKUP($C2238,Order!$C:$C,Order!$G:$G,"",0,1))</f>
        <v>6063T5</v>
      </c>
      <c r="H2238" s="4">
        <f>IF($C2238="","",_xlfn.XLOOKUP($C2238,Order!$C:$C,Order!$H:$H,"",0,1))</f>
        <v>0.61</v>
      </c>
      <c r="I2238" s="36">
        <f>IF($C2238="","",_xlfn.XLOOKUP($C2238,Order!$C:$C,Order!$O:$O,"",0,1))</f>
        <v>0</v>
      </c>
      <c r="J2238" s="4" t="str">
        <f>IF(C2238="","",Order!$O$16)</f>
        <v>WOOD FINISH (BA)</v>
      </c>
      <c r="K2238" s="36">
        <f>IF($C2238="","",_xlfn.XLOOKUP($C2238,Order!$C:$C,Order!$P:$P,"",0,1))</f>
        <v>0</v>
      </c>
      <c r="L2238" s="4">
        <f t="shared" si="34"/>
        <v>0</v>
      </c>
    </row>
    <row r="2239" spans="2:12" ht="23.25" hidden="1" customHeight="1" x14ac:dyDescent="0.25">
      <c r="B2239" s="4">
        <v>2234</v>
      </c>
      <c r="C2239" s="36" t="str">
        <f>IF(Order!$C$180="","",Order!$C$180)</f>
        <v>LB008</v>
      </c>
      <c r="D2239" s="36" t="str">
        <f>IF($C2239="","",_xlfn.XLOOKUP($C2239,Order!$C:$C,Order!$D:$D,"",0,1))</f>
        <v>LB008</v>
      </c>
      <c r="E2239" s="4" t="e" vm="365">
        <f>IF($C2239="","",_xlfn.XLOOKUP($C2239,Order!$C:$C,Order!$E:$E,"",0,1))</f>
        <v>#VALUE!</v>
      </c>
      <c r="F2239" s="4">
        <f>IF($C2239="","",_xlfn.XLOOKUP($C2239,Order!$C:$C,Order!$F:$F,"",0,1))</f>
        <v>6000</v>
      </c>
      <c r="G2239" s="4" t="str">
        <f>IF($C2239="","",_xlfn.XLOOKUP($C2239,Order!$C:$C,Order!$G:$G,"",0,1))</f>
        <v>6063T5</v>
      </c>
      <c r="H2239" s="4">
        <f>IF($C2239="","",_xlfn.XLOOKUP($C2239,Order!$C:$C,Order!$H:$H,"",0,1))</f>
        <v>0.50600000000000001</v>
      </c>
      <c r="I2239" s="36">
        <f>IF($C2239="","",_xlfn.XLOOKUP($C2239,Order!$C:$C,Order!$O:$O,"",0,1))</f>
        <v>0</v>
      </c>
      <c r="J2239" s="4" t="str">
        <f>IF(C2239="","",Order!$O$16)</f>
        <v>WOOD FINISH (BA)</v>
      </c>
      <c r="K2239" s="36">
        <f>IF($C2239="","",_xlfn.XLOOKUP($C2239,Order!$C:$C,Order!$P:$P,"",0,1))</f>
        <v>0</v>
      </c>
      <c r="L2239" s="4">
        <f t="shared" si="34"/>
        <v>0</v>
      </c>
    </row>
    <row r="2240" spans="2:12" ht="23.25" hidden="1" customHeight="1" x14ac:dyDescent="0.25">
      <c r="B2240" s="4">
        <v>2235</v>
      </c>
      <c r="C2240" s="36" t="str">
        <f>IF(Order!$C$181="","",Order!$C$181)</f>
        <v>LB010</v>
      </c>
      <c r="D2240" s="36" t="str">
        <f>IF($C2240="","",_xlfn.XLOOKUP($C2240,Order!$C:$C,Order!$D:$D,"",0,1))</f>
        <v>LB010</v>
      </c>
      <c r="E2240" s="4" t="e" vm="366">
        <f>IF($C2240="","",_xlfn.XLOOKUP($C2240,Order!$C:$C,Order!$E:$E,"",0,1))</f>
        <v>#VALUE!</v>
      </c>
      <c r="F2240" s="4">
        <f>IF($C2240="","",_xlfn.XLOOKUP($C2240,Order!$C:$C,Order!$F:$F,"",0,1))</f>
        <v>6000</v>
      </c>
      <c r="G2240" s="4" t="str">
        <f>IF($C2240="","",_xlfn.XLOOKUP($C2240,Order!$C:$C,Order!$G:$G,"",0,1))</f>
        <v>6063T5</v>
      </c>
      <c r="H2240" s="4">
        <f>IF($C2240="","",_xlfn.XLOOKUP($C2240,Order!$C:$C,Order!$H:$H,"",0,1))</f>
        <v>0</v>
      </c>
      <c r="I2240" s="36">
        <f>IF($C2240="","",_xlfn.XLOOKUP($C2240,Order!$C:$C,Order!$O:$O,"",0,1))</f>
        <v>0</v>
      </c>
      <c r="J2240" s="4" t="str">
        <f>IF(C2240="","",Order!$O$16)</f>
        <v>WOOD FINISH (BA)</v>
      </c>
      <c r="K2240" s="36">
        <f>IF($C2240="","",_xlfn.XLOOKUP($C2240,Order!$C:$C,Order!$P:$P,"",0,1))</f>
        <v>0</v>
      </c>
      <c r="L2240" s="4">
        <f t="shared" si="34"/>
        <v>0</v>
      </c>
    </row>
    <row r="2241" spans="2:12" ht="23.25" hidden="1" customHeight="1" x14ac:dyDescent="0.25">
      <c r="B2241" s="4">
        <v>2236</v>
      </c>
      <c r="C2241" s="36" t="str">
        <f>IF(Order!$C$182="","",Order!$C$182)</f>
        <v>LB020</v>
      </c>
      <c r="D2241" s="36" t="str">
        <f>IF($C2241="","",_xlfn.XLOOKUP($C2241,Order!$C:$C,Order!$D:$D,"",0,1))</f>
        <v>LB020</v>
      </c>
      <c r="E2241" s="4" t="e" vm="367">
        <f>IF($C2241="","",_xlfn.XLOOKUP($C2241,Order!$C:$C,Order!$E:$E,"",0,1))</f>
        <v>#VALUE!</v>
      </c>
      <c r="F2241" s="4">
        <f>IF($C2241="","",_xlfn.XLOOKUP($C2241,Order!$C:$C,Order!$F:$F,"",0,1))</f>
        <v>6000</v>
      </c>
      <c r="G2241" s="4" t="str">
        <f>IF($C2241="","",_xlfn.XLOOKUP($C2241,Order!$C:$C,Order!$G:$G,"",0,1))</f>
        <v>6063T5</v>
      </c>
      <c r="H2241" s="4">
        <f>IF($C2241="","",_xlfn.XLOOKUP($C2241,Order!$C:$C,Order!$H:$H,"",0,1))</f>
        <v>0.67300000000000004</v>
      </c>
      <c r="I2241" s="36">
        <f>IF($C2241="","",_xlfn.XLOOKUP($C2241,Order!$C:$C,Order!$O:$O,"",0,1))</f>
        <v>0</v>
      </c>
      <c r="J2241" s="4" t="str">
        <f>IF(C2241="","",Order!$O$16)</f>
        <v>WOOD FINISH (BA)</v>
      </c>
      <c r="K2241" s="36">
        <f>IF($C2241="","",_xlfn.XLOOKUP($C2241,Order!$C:$C,Order!$P:$P,"",0,1))</f>
        <v>0</v>
      </c>
      <c r="L2241" s="4">
        <f t="shared" si="34"/>
        <v>0</v>
      </c>
    </row>
    <row r="2242" spans="2:12" ht="23.25" hidden="1" customHeight="1" x14ac:dyDescent="0.25">
      <c r="B2242" s="4">
        <v>2237</v>
      </c>
      <c r="C2242" s="36" t="str">
        <f>IF(Order!$C$183="","",Order!$C$183)</f>
        <v>PLB036</v>
      </c>
      <c r="D2242" s="36" t="str">
        <f>IF($C2242="","",_xlfn.XLOOKUP($C2242,Order!$C:$C,Order!$D:$D,"",0,1))</f>
        <v>PLB036</v>
      </c>
      <c r="E2242" s="4" t="e" vm="368">
        <f>IF($C2242="","",_xlfn.XLOOKUP($C2242,Order!$C:$C,Order!$E:$E,"",0,1))</f>
        <v>#VALUE!</v>
      </c>
      <c r="F2242" s="4">
        <f>IF($C2242="","",_xlfn.XLOOKUP($C2242,Order!$C:$C,Order!$F:$F,"",0,1))</f>
        <v>6000</v>
      </c>
      <c r="G2242" s="4" t="str">
        <f>IF($C2242="","",_xlfn.XLOOKUP($C2242,Order!$C:$C,Order!$G:$G,"",0,1))</f>
        <v>6063T5</v>
      </c>
      <c r="H2242" s="4">
        <f>IF($C2242="","",_xlfn.XLOOKUP($C2242,Order!$C:$C,Order!$H:$H,"",0,1))</f>
        <v>0.51400000000000001</v>
      </c>
      <c r="I2242" s="36">
        <f>IF($C2242="","",_xlfn.XLOOKUP($C2242,Order!$C:$C,Order!$O:$O,"",0,1))</f>
        <v>0</v>
      </c>
      <c r="J2242" s="4" t="str">
        <f>IF(C2242="","",Order!$O$16)</f>
        <v>WOOD FINISH (BA)</v>
      </c>
      <c r="K2242" s="36">
        <f>IF($C2242="","",_xlfn.XLOOKUP($C2242,Order!$C:$C,Order!$P:$P,"",0,1))</f>
        <v>0</v>
      </c>
      <c r="L2242" s="4">
        <f t="shared" si="34"/>
        <v>0</v>
      </c>
    </row>
    <row r="2243" spans="2:12" ht="23.25" hidden="1" customHeight="1" x14ac:dyDescent="0.25">
      <c r="B2243" s="4">
        <v>2238</v>
      </c>
      <c r="C2243" s="36" t="str">
        <f>IF(Order!$C$184="","",Order!$C$184)</f>
        <v>PLB036P</v>
      </c>
      <c r="D2243" s="36" t="str">
        <f>IF($C2243="","",_xlfn.XLOOKUP($C2243,Order!$C:$C,Order!$D:$D,"",0,1))</f>
        <v>PLB036P</v>
      </c>
      <c r="E2243" s="4" t="e" vm="369">
        <f>IF($C2243="","",_xlfn.XLOOKUP($C2243,Order!$C:$C,Order!$E:$E,"",0,1))</f>
        <v>#VALUE!</v>
      </c>
      <c r="F2243" s="4">
        <f>IF($C2243="","",_xlfn.XLOOKUP($C2243,Order!$C:$C,Order!$F:$F,"",0,1))</f>
        <v>6000</v>
      </c>
      <c r="G2243" s="4" t="str">
        <f>IF($C2243="","",_xlfn.XLOOKUP($C2243,Order!$C:$C,Order!$G:$G,"",0,1))</f>
        <v>6063T5</v>
      </c>
      <c r="H2243" s="4">
        <f>IF($C2243="","",_xlfn.XLOOKUP($C2243,Order!$C:$C,Order!$H:$H,"",0,1))</f>
        <v>0.46600000000000003</v>
      </c>
      <c r="I2243" s="36">
        <f>IF($C2243="","",_xlfn.XLOOKUP($C2243,Order!$C:$C,Order!$O:$O,"",0,1))</f>
        <v>0</v>
      </c>
      <c r="J2243" s="4" t="str">
        <f>IF(C2243="","",Order!$O$16)</f>
        <v>WOOD FINISH (BA)</v>
      </c>
      <c r="K2243" s="36">
        <f>IF($C2243="","",_xlfn.XLOOKUP($C2243,Order!$C:$C,Order!$P:$P,"",0,1))</f>
        <v>0</v>
      </c>
      <c r="L2243" s="4">
        <f t="shared" si="34"/>
        <v>0</v>
      </c>
    </row>
    <row r="2244" spans="2:12" ht="23.25" hidden="1" customHeight="1" x14ac:dyDescent="0.25">
      <c r="B2244" s="4">
        <v>2239</v>
      </c>
      <c r="C2244" s="36" t="str">
        <f>IF(Order!$C$185="","",Order!$C$185)</f>
        <v>LB037</v>
      </c>
      <c r="D2244" s="36" t="str">
        <f>IF($C2244="","",_xlfn.XLOOKUP($C2244,Order!$C:$C,Order!$D:$D,"",0,1))</f>
        <v>LB037</v>
      </c>
      <c r="E2244" s="4" t="e" vm="370">
        <f>IF($C2244="","",_xlfn.XLOOKUP($C2244,Order!$C:$C,Order!$E:$E,"",0,1))</f>
        <v>#VALUE!</v>
      </c>
      <c r="F2244" s="4">
        <f>IF($C2244="","",_xlfn.XLOOKUP($C2244,Order!$C:$C,Order!$F:$F,"",0,1))</f>
        <v>6000</v>
      </c>
      <c r="G2244" s="4" t="str">
        <f>IF($C2244="","",_xlfn.XLOOKUP($C2244,Order!$C:$C,Order!$G:$G,"",0,1))</f>
        <v>6063T5</v>
      </c>
      <c r="H2244" s="4">
        <f>IF($C2244="","",_xlfn.XLOOKUP($C2244,Order!$C:$C,Order!$H:$H,"",0,1))</f>
        <v>0.68100000000000005</v>
      </c>
      <c r="I2244" s="36">
        <f>IF($C2244="","",_xlfn.XLOOKUP($C2244,Order!$C:$C,Order!$O:$O,"",0,1))</f>
        <v>0</v>
      </c>
      <c r="J2244" s="4" t="str">
        <f>IF(C2244="","",Order!$O$16)</f>
        <v>WOOD FINISH (BA)</v>
      </c>
      <c r="K2244" s="36">
        <f>IF($C2244="","",_xlfn.XLOOKUP($C2244,Order!$C:$C,Order!$P:$P,"",0,1))</f>
        <v>0</v>
      </c>
      <c r="L2244" s="4">
        <f t="shared" si="34"/>
        <v>0</v>
      </c>
    </row>
    <row r="2245" spans="2:12" ht="23.25" hidden="1" customHeight="1" x14ac:dyDescent="0.25">
      <c r="B2245" s="4">
        <v>2240</v>
      </c>
      <c r="C2245" s="36" t="str">
        <f>IF(Order!$C$186="","",Order!$C$186)</f>
        <v>LB038</v>
      </c>
      <c r="D2245" s="36" t="str">
        <f>IF($C2245="","",_xlfn.XLOOKUP($C2245,Order!$C:$C,Order!$D:$D,"",0,1))</f>
        <v>LB038</v>
      </c>
      <c r="E2245" s="4" t="e" vm="371">
        <f>IF($C2245="","",_xlfn.XLOOKUP($C2245,Order!$C:$C,Order!$E:$E,"",0,1))</f>
        <v>#VALUE!</v>
      </c>
      <c r="F2245" s="4">
        <f>IF($C2245="","",_xlfn.XLOOKUP($C2245,Order!$C:$C,Order!$F:$F,"",0,1))</f>
        <v>6000</v>
      </c>
      <c r="G2245" s="4" t="str">
        <f>IF($C2245="","",_xlfn.XLOOKUP($C2245,Order!$C:$C,Order!$G:$G,"",0,1))</f>
        <v>6063T5</v>
      </c>
      <c r="H2245" s="4">
        <f>IF($C2245="","",_xlfn.XLOOKUP($C2245,Order!$C:$C,Order!$H:$H,"",0,1))</f>
        <v>0</v>
      </c>
      <c r="I2245" s="36">
        <f>IF($C2245="","",_xlfn.XLOOKUP($C2245,Order!$C:$C,Order!$O:$O,"",0,1))</f>
        <v>0</v>
      </c>
      <c r="J2245" s="4" t="str">
        <f>IF(C2245="","",Order!$O$16)</f>
        <v>WOOD FINISH (BA)</v>
      </c>
      <c r="K2245" s="36">
        <f>IF($C2245="","",_xlfn.XLOOKUP($C2245,Order!$C:$C,Order!$P:$P,"",0,1))</f>
        <v>0</v>
      </c>
      <c r="L2245" s="4">
        <f t="shared" si="34"/>
        <v>0</v>
      </c>
    </row>
    <row r="2246" spans="2:12" ht="23.25" hidden="1" customHeight="1" x14ac:dyDescent="0.25">
      <c r="B2246" s="4">
        <v>2241</v>
      </c>
      <c r="C2246" s="36" t="str">
        <f>IF(Order!$C$187="","",Order!$C$187)</f>
        <v>LB050</v>
      </c>
      <c r="D2246" s="36" t="str">
        <f>IF($C2246="","",_xlfn.XLOOKUP($C2246,Order!$C:$C,Order!$D:$D,"",0,1))</f>
        <v>LB050</v>
      </c>
      <c r="E2246" s="4" t="e" vm="372">
        <f>IF($C2246="","",_xlfn.XLOOKUP($C2246,Order!$C:$C,Order!$E:$E,"",0,1))</f>
        <v>#VALUE!</v>
      </c>
      <c r="F2246" s="4">
        <f>IF($C2246="","",_xlfn.XLOOKUP($C2246,Order!$C:$C,Order!$F:$F,"",0,1))</f>
        <v>6000</v>
      </c>
      <c r="G2246" s="4" t="str">
        <f>IF($C2246="","",_xlfn.XLOOKUP($C2246,Order!$C:$C,Order!$G:$G,"",0,1))</f>
        <v>6063T5</v>
      </c>
      <c r="H2246" s="4">
        <f>IF($C2246="","",_xlfn.XLOOKUP($C2246,Order!$C:$C,Order!$H:$H,"",0,1))</f>
        <v>0.61699999999999999</v>
      </c>
      <c r="I2246" s="36">
        <f>IF($C2246="","",_xlfn.XLOOKUP($C2246,Order!$C:$C,Order!$O:$O,"",0,1))</f>
        <v>0</v>
      </c>
      <c r="J2246" s="4" t="str">
        <f>IF(C2246="","",Order!$O$16)</f>
        <v>WOOD FINISH (BA)</v>
      </c>
      <c r="K2246" s="36">
        <f>IF($C2246="","",_xlfn.XLOOKUP($C2246,Order!$C:$C,Order!$P:$P,"",0,1))</f>
        <v>0</v>
      </c>
      <c r="L2246" s="4">
        <f t="shared" si="34"/>
        <v>0</v>
      </c>
    </row>
    <row r="2247" spans="2:12" ht="23.25" hidden="1" customHeight="1" x14ac:dyDescent="0.25">
      <c r="B2247" s="4">
        <v>2242</v>
      </c>
      <c r="C2247" s="36" t="str">
        <f>IF(Order!$C$188="","",Order!$C$188)</f>
        <v>LB070</v>
      </c>
      <c r="D2247" s="36" t="str">
        <f>IF($C2247="","",_xlfn.XLOOKUP($C2247,Order!$C:$C,Order!$D:$D,"",0,1))</f>
        <v>LB070</v>
      </c>
      <c r="E2247" s="4" t="e" vm="373">
        <f>IF($C2247="","",_xlfn.XLOOKUP($C2247,Order!$C:$C,Order!$E:$E,"",0,1))</f>
        <v>#VALUE!</v>
      </c>
      <c r="F2247" s="4">
        <f>IF($C2247="","",_xlfn.XLOOKUP($C2247,Order!$C:$C,Order!$F:$F,"",0,1))</f>
        <v>6000</v>
      </c>
      <c r="G2247" s="4" t="str">
        <f>IF($C2247="","",_xlfn.XLOOKUP($C2247,Order!$C:$C,Order!$G:$G,"",0,1))</f>
        <v>6063T5</v>
      </c>
      <c r="H2247" s="4">
        <f>IF($C2247="","",_xlfn.XLOOKUP($C2247,Order!$C:$C,Order!$H:$H,"",0,1))</f>
        <v>0.71699999999999997</v>
      </c>
      <c r="I2247" s="36">
        <f>IF($C2247="","",_xlfn.XLOOKUP($C2247,Order!$C:$C,Order!$O:$O,"",0,1))</f>
        <v>0</v>
      </c>
      <c r="J2247" s="4" t="str">
        <f>IF(C2247="","",Order!$O$16)</f>
        <v>WOOD FINISH (BA)</v>
      </c>
      <c r="K2247" s="36">
        <f>IF($C2247="","",_xlfn.XLOOKUP($C2247,Order!$C:$C,Order!$P:$P,"",0,1))</f>
        <v>0</v>
      </c>
      <c r="L2247" s="4">
        <f t="shared" ref="L2247:L2310" si="35">IF(C2247="","",F2247/1000*H2247*I2247)</f>
        <v>0</v>
      </c>
    </row>
    <row r="2248" spans="2:12" ht="23.25" hidden="1" customHeight="1" x14ac:dyDescent="0.25">
      <c r="B2248" s="4">
        <v>2243</v>
      </c>
      <c r="C2248" s="36" t="str">
        <f>IF(Order!$C$189="","",Order!$C$189)</f>
        <v>LB081</v>
      </c>
      <c r="D2248" s="36" t="str">
        <f>IF($C2248="","",_xlfn.XLOOKUP($C2248,Order!$C:$C,Order!$D:$D,"",0,1))</f>
        <v>LB081</v>
      </c>
      <c r="E2248" s="4" t="e" vm="374">
        <f>IF($C2248="","",_xlfn.XLOOKUP($C2248,Order!$C:$C,Order!$E:$E,"",0,1))</f>
        <v>#VALUE!</v>
      </c>
      <c r="F2248" s="4">
        <f>IF($C2248="","",_xlfn.XLOOKUP($C2248,Order!$C:$C,Order!$F:$F,"",0,1))</f>
        <v>6000</v>
      </c>
      <c r="G2248" s="4" t="str">
        <f>IF($C2248="","",_xlfn.XLOOKUP($C2248,Order!$C:$C,Order!$G:$G,"",0,1))</f>
        <v>6063T5</v>
      </c>
      <c r="H2248" s="4">
        <f>IF($C2248="","",_xlfn.XLOOKUP($C2248,Order!$C:$C,Order!$H:$H,"",0,1))</f>
        <v>0.52800000000000002</v>
      </c>
      <c r="I2248" s="36">
        <f>IF($C2248="","",_xlfn.XLOOKUP($C2248,Order!$C:$C,Order!$O:$O,"",0,1))</f>
        <v>0</v>
      </c>
      <c r="J2248" s="4" t="str">
        <f>IF(C2248="","",Order!$O$16)</f>
        <v>WOOD FINISH (BA)</v>
      </c>
      <c r="K2248" s="36">
        <f>IF($C2248="","",_xlfn.XLOOKUP($C2248,Order!$C:$C,Order!$P:$P,"",0,1))</f>
        <v>0</v>
      </c>
      <c r="L2248" s="4">
        <f t="shared" si="35"/>
        <v>0</v>
      </c>
    </row>
    <row r="2249" spans="2:12" ht="23.25" hidden="1" customHeight="1" x14ac:dyDescent="0.25">
      <c r="B2249" s="4">
        <v>2244</v>
      </c>
      <c r="C2249" s="36" t="str">
        <f>IF(Order!$C$190="","",Order!$C$190)</f>
        <v>BX816</v>
      </c>
      <c r="D2249" s="36" t="str">
        <f>IF($C2249="","",_xlfn.XLOOKUP($C2249,Order!$C:$C,Order!$D:$D,"",0,1))</f>
        <v>BX816</v>
      </c>
      <c r="E2249" s="4" t="e" vm="375">
        <f>IF($C2249="","",_xlfn.XLOOKUP($C2249,Order!$C:$C,Order!$E:$E,"",0,1))</f>
        <v>#VALUE!</v>
      </c>
      <c r="F2249" s="4">
        <f>IF($C2249="","",_xlfn.XLOOKUP($C2249,Order!$C:$C,Order!$F:$F,"",0,1))</f>
        <v>6000</v>
      </c>
      <c r="G2249" s="4" t="str">
        <f>IF($C2249="","",_xlfn.XLOOKUP($C2249,Order!$C:$C,Order!$G:$G,"",0,1))</f>
        <v>6063T5</v>
      </c>
      <c r="H2249" s="4">
        <f>IF($C2249="","",_xlfn.XLOOKUP($C2249,Order!$C:$C,Order!$H:$H,"",0,1))</f>
        <v>0.67</v>
      </c>
      <c r="I2249" s="36">
        <f>IF($C2249="","",_xlfn.XLOOKUP($C2249,Order!$C:$C,Order!$O:$O,"",0,1))</f>
        <v>0</v>
      </c>
      <c r="J2249" s="4" t="str">
        <f>IF(C2249="","",Order!$O$16)</f>
        <v>WOOD FINISH (BA)</v>
      </c>
      <c r="K2249" s="36">
        <f>IF($C2249="","",_xlfn.XLOOKUP($C2249,Order!$C:$C,Order!$P:$P,"",0,1))</f>
        <v>0</v>
      </c>
      <c r="L2249" s="4">
        <f t="shared" si="35"/>
        <v>0</v>
      </c>
    </row>
    <row r="2250" spans="2:12" ht="23.25" hidden="1" customHeight="1" x14ac:dyDescent="0.25">
      <c r="B2250" s="4">
        <v>2245</v>
      </c>
      <c r="C2250" s="36" t="str">
        <f>IF(Order!$C$191="","",Order!$C$191)</f>
        <v>BX841</v>
      </c>
      <c r="D2250" s="36" t="str">
        <f>IF($C2250="","",_xlfn.XLOOKUP($C2250,Order!$C:$C,Order!$D:$D,"",0,1))</f>
        <v>BX841</v>
      </c>
      <c r="E2250" s="4" t="e" vm="376">
        <f>IF($C2250="","",_xlfn.XLOOKUP($C2250,Order!$C:$C,Order!$E:$E,"",0,1))</f>
        <v>#VALUE!</v>
      </c>
      <c r="F2250" s="4">
        <f>IF($C2250="","",_xlfn.XLOOKUP($C2250,Order!$C:$C,Order!$F:$F,"",0,1))</f>
        <v>6000</v>
      </c>
      <c r="G2250" s="4" t="str">
        <f>IF($C2250="","",_xlfn.XLOOKUP($C2250,Order!$C:$C,Order!$G:$G,"",0,1))</f>
        <v>6063T5</v>
      </c>
      <c r="H2250" s="4">
        <f>IF($C2250="","",_xlfn.XLOOKUP($C2250,Order!$C:$C,Order!$H:$H,"",0,1))</f>
        <v>0.54500000000000004</v>
      </c>
      <c r="I2250" s="36">
        <f>IF($C2250="","",_xlfn.XLOOKUP($C2250,Order!$C:$C,Order!$O:$O,"",0,1))</f>
        <v>0</v>
      </c>
      <c r="J2250" s="4" t="str">
        <f>IF(C2250="","",Order!$O$16)</f>
        <v>WOOD FINISH (BA)</v>
      </c>
      <c r="K2250" s="36">
        <f>IF($C2250="","",_xlfn.XLOOKUP($C2250,Order!$C:$C,Order!$P:$P,"",0,1))</f>
        <v>0</v>
      </c>
      <c r="L2250" s="4">
        <f t="shared" si="35"/>
        <v>0</v>
      </c>
    </row>
    <row r="2251" spans="2:12" ht="23.25" hidden="1" customHeight="1" x14ac:dyDescent="0.25">
      <c r="B2251" s="4">
        <v>2246</v>
      </c>
      <c r="C2251" s="36" t="str">
        <f>IF(Order!$C$192="","",Order!$C$192)</f>
        <v>BX842</v>
      </c>
      <c r="D2251" s="36" t="str">
        <f>IF($C2251="","",_xlfn.XLOOKUP($C2251,Order!$C:$C,Order!$D:$D,"",0,1))</f>
        <v>BX842</v>
      </c>
      <c r="E2251" s="4" t="e" vm="377">
        <f>IF($C2251="","",_xlfn.XLOOKUP($C2251,Order!$C:$C,Order!$E:$E,"",0,1))</f>
        <v>#VALUE!</v>
      </c>
      <c r="F2251" s="4">
        <f>IF($C2251="","",_xlfn.XLOOKUP($C2251,Order!$C:$C,Order!$F:$F,"",0,1))</f>
        <v>6000</v>
      </c>
      <c r="G2251" s="4" t="str">
        <f>IF($C2251="","",_xlfn.XLOOKUP($C2251,Order!$C:$C,Order!$G:$G,"",0,1))</f>
        <v>6063T5</v>
      </c>
      <c r="H2251" s="4">
        <f>IF($C2251="","",_xlfn.XLOOKUP($C2251,Order!$C:$C,Order!$H:$H,"",0,1))</f>
        <v>0</v>
      </c>
      <c r="I2251" s="36">
        <f>IF($C2251="","",_xlfn.XLOOKUP($C2251,Order!$C:$C,Order!$O:$O,"",0,1))</f>
        <v>0</v>
      </c>
      <c r="J2251" s="4" t="str">
        <f>IF(C2251="","",Order!$O$16)</f>
        <v>WOOD FINISH (BA)</v>
      </c>
      <c r="K2251" s="36">
        <f>IF($C2251="","",_xlfn.XLOOKUP($C2251,Order!$C:$C,Order!$P:$P,"",0,1))</f>
        <v>0</v>
      </c>
      <c r="L2251" s="4">
        <f t="shared" si="35"/>
        <v>0</v>
      </c>
    </row>
    <row r="2252" spans="2:12" ht="23.25" hidden="1" customHeight="1" x14ac:dyDescent="0.25">
      <c r="B2252" s="4">
        <v>2247</v>
      </c>
      <c r="C2252" s="36" t="str">
        <f>IF(Order!$C$193="","",Order!$C$193)</f>
        <v>BX1041</v>
      </c>
      <c r="D2252" s="36" t="str">
        <f>IF($C2252="","",_xlfn.XLOOKUP($C2252,Order!$C:$C,Order!$D:$D,"",0,1))</f>
        <v>BX1041</v>
      </c>
      <c r="E2252" s="4" t="e" vm="378">
        <f>IF($C2252="","",_xlfn.XLOOKUP($C2252,Order!$C:$C,Order!$E:$E,"",0,1))</f>
        <v>#VALUE!</v>
      </c>
      <c r="F2252" s="4">
        <f>IF($C2252="","",_xlfn.XLOOKUP($C2252,Order!$C:$C,Order!$F:$F,"",0,1))</f>
        <v>6000</v>
      </c>
      <c r="G2252" s="4" t="str">
        <f>IF($C2252="","",_xlfn.XLOOKUP($C2252,Order!$C:$C,Order!$G:$G,"",0,1))</f>
        <v>6063T5</v>
      </c>
      <c r="H2252" s="4">
        <f>IF($C2252="","",_xlfn.XLOOKUP($C2252,Order!$C:$C,Order!$H:$H,"",0,1))</f>
        <v>0.72499999999999998</v>
      </c>
      <c r="I2252" s="36">
        <f>IF($C2252="","",_xlfn.XLOOKUP($C2252,Order!$C:$C,Order!$O:$O,"",0,1))</f>
        <v>0</v>
      </c>
      <c r="J2252" s="4" t="str">
        <f>IF(C2252="","",Order!$O$16)</f>
        <v>WOOD FINISH (BA)</v>
      </c>
      <c r="K2252" s="36">
        <f>IF($C2252="","",_xlfn.XLOOKUP($C2252,Order!$C:$C,Order!$P:$P,"",0,1))</f>
        <v>0</v>
      </c>
      <c r="L2252" s="4">
        <f t="shared" si="35"/>
        <v>0</v>
      </c>
    </row>
    <row r="2253" spans="2:12" ht="23.25" hidden="1" customHeight="1" x14ac:dyDescent="0.25">
      <c r="B2253" s="4">
        <v>2248</v>
      </c>
      <c r="C2253" s="36" t="str">
        <f>IF(Order!$C$194="","",Order!$C$194)</f>
        <v/>
      </c>
      <c r="D2253" s="36" t="str">
        <f>IF($C2253="","",_xlfn.XLOOKUP($C2253,Order!$C:$C,Order!$D:$D,"",0,1))</f>
        <v/>
      </c>
      <c r="E2253" s="4" t="str">
        <f>IF($C2253="","",_xlfn.XLOOKUP($C2253,Order!$C:$C,Order!$E:$E,"",0,1))</f>
        <v/>
      </c>
      <c r="F2253" s="4" t="str">
        <f>IF($C2253="","",_xlfn.XLOOKUP($C2253,Order!$C:$C,Order!$F:$F,"",0,1))</f>
        <v/>
      </c>
      <c r="G2253" s="4" t="str">
        <f>IF($C2253="","",_xlfn.XLOOKUP($C2253,Order!$C:$C,Order!$G:$G,"",0,1))</f>
        <v/>
      </c>
      <c r="H2253" s="4" t="str">
        <f>IF($C2253="","",_xlfn.XLOOKUP($C2253,Order!$C:$C,Order!$H:$H,"",0,1))</f>
        <v/>
      </c>
      <c r="I2253" s="36" t="str">
        <f>IF($C2253="","",_xlfn.XLOOKUP($C2253,Order!$C:$C,Order!$O:$O,"",0,1))</f>
        <v/>
      </c>
      <c r="J2253" s="4" t="str">
        <f>IF(C2253="","",Order!$O$16)</f>
        <v/>
      </c>
      <c r="K2253" s="36" t="str">
        <f>IF($C2253="","",_xlfn.XLOOKUP($C2253,Order!$C:$C,Order!$P:$P,"",0,1))</f>
        <v/>
      </c>
      <c r="L2253" s="4" t="str">
        <f t="shared" si="35"/>
        <v/>
      </c>
    </row>
    <row r="2254" spans="2:12" ht="23.25" hidden="1" customHeight="1" x14ac:dyDescent="0.25">
      <c r="B2254" s="4">
        <v>2249</v>
      </c>
      <c r="C2254" s="36" t="str">
        <f>IF(Order!$C$195="","",Order!$C$195)</f>
        <v>TGR2X1 (Rectangular tube 2"X1" with 0.90 mm thickness c/reforco)</v>
      </c>
      <c r="D2254" s="36" t="str">
        <f>IF($C2254="","",_xlfn.XLOOKUP($C2254,Order!$C:$C,Order!$D:$D,"",0,1))</f>
        <v>TGR2X1</v>
      </c>
      <c r="E2254" s="4" t="e" vm="379">
        <f>IF($C2254="","",_xlfn.XLOOKUP($C2254,Order!$C:$C,Order!$E:$E,"",0,1))</f>
        <v>#VALUE!</v>
      </c>
      <c r="F2254" s="4">
        <f>IF($C2254="","",_xlfn.XLOOKUP($C2254,Order!$C:$C,Order!$F:$F,"",0,1))</f>
        <v>6000</v>
      </c>
      <c r="G2254" s="4" t="str">
        <f>IF($C2254="","",_xlfn.XLOOKUP($C2254,Order!$C:$C,Order!$G:$G,"",0,1))</f>
        <v>6063T5</v>
      </c>
      <c r="H2254" s="4">
        <f>IF($C2254="","",_xlfn.XLOOKUP($C2254,Order!$C:$C,Order!$H:$H,"",0,1))</f>
        <v>0.39500000000000002</v>
      </c>
      <c r="I2254" s="36">
        <f>IF($C2254="","",_xlfn.XLOOKUP($C2254,Order!$C:$C,Order!$O:$O,"",0,1))</f>
        <v>0</v>
      </c>
      <c r="J2254" s="4" t="str">
        <f>IF(C2254="","",Order!$O$16)</f>
        <v>WOOD FINISH (BA)</v>
      </c>
      <c r="K2254" s="36">
        <f>IF($C2254="","",_xlfn.XLOOKUP($C2254,Order!$C:$C,Order!$P:$P,"",0,1))</f>
        <v>0</v>
      </c>
      <c r="L2254" s="4">
        <f t="shared" si="35"/>
        <v>0</v>
      </c>
    </row>
    <row r="2255" spans="2:12" ht="23.25" hidden="1" customHeight="1" x14ac:dyDescent="0.25">
      <c r="B2255" s="4">
        <v>2250</v>
      </c>
      <c r="C2255" s="36" t="str">
        <f>IF(Order!$C$196="","",Order!$C$196)</f>
        <v>TGR3X1.1/2L (Rectangular tube 3"x1.1 /2" with 1.00 mm tickness c/reforço)</v>
      </c>
      <c r="D2255" s="36" t="str">
        <f>IF($C2255="","",_xlfn.XLOOKUP($C2255,Order!$C:$C,Order!$D:$D,"",0,1))</f>
        <v>TGR3X1.1-2L</v>
      </c>
      <c r="E2255" s="4" t="e" vm="380">
        <f>IF($C2255="","",_xlfn.XLOOKUP($C2255,Order!$C:$C,Order!$E:$E,"",0,1))</f>
        <v>#VALUE!</v>
      </c>
      <c r="F2255" s="4">
        <f>IF($C2255="","",_xlfn.XLOOKUP($C2255,Order!$C:$C,Order!$F:$F,"",0,1))</f>
        <v>6000</v>
      </c>
      <c r="G2255" s="4" t="str">
        <f>IF($C2255="","",_xlfn.XLOOKUP($C2255,Order!$C:$C,Order!$G:$G,"",0,1))</f>
        <v>6063T5</v>
      </c>
      <c r="H2255" s="4">
        <f>IF($C2255="","",_xlfn.XLOOKUP($C2255,Order!$C:$C,Order!$H:$H,"",0,1))</f>
        <v>0.65200000000000002</v>
      </c>
      <c r="I2255" s="36">
        <f>IF($C2255="","",_xlfn.XLOOKUP($C2255,Order!$C:$C,Order!$O:$O,"",0,1))</f>
        <v>0</v>
      </c>
      <c r="J2255" s="4" t="str">
        <f>IF(C2255="","",Order!$O$16)</f>
        <v>WOOD FINISH (BA)</v>
      </c>
      <c r="K2255" s="36">
        <f>IF($C2255="","",_xlfn.XLOOKUP($C2255,Order!$C:$C,Order!$P:$P,"",0,1))</f>
        <v>0</v>
      </c>
      <c r="L2255" s="4">
        <f t="shared" si="35"/>
        <v>0</v>
      </c>
    </row>
    <row r="2256" spans="2:12" ht="23.25" hidden="1" customHeight="1" x14ac:dyDescent="0.25">
      <c r="B2256" s="4">
        <v>2251</v>
      </c>
      <c r="C2256" s="36" t="str">
        <f>IF(Order!$C$197="","",Order!$C$197)</f>
        <v>TGR3X1.1/2 (Rectangular tube 3"x1.1 /2" with 1.98 mm tickness c/reforço)</v>
      </c>
      <c r="D2256" s="36" t="str">
        <f>IF($C2256="","",_xlfn.XLOOKUP($C2256,Order!$C:$C,Order!$D:$D,"",0,1))</f>
        <v>TGR3X1.1-2</v>
      </c>
      <c r="E2256" s="4" t="e" vm="381">
        <f>IF($C2256="","",_xlfn.XLOOKUP($C2256,Order!$C:$C,Order!$E:$E,"",0,1))</f>
        <v>#VALUE!</v>
      </c>
      <c r="F2256" s="4">
        <f>IF($C2256="","",_xlfn.XLOOKUP($C2256,Order!$C:$C,Order!$F:$F,"",0,1))</f>
        <v>6000</v>
      </c>
      <c r="G2256" s="4" t="str">
        <f>IF($C2256="","",_xlfn.XLOOKUP($C2256,Order!$C:$C,Order!$G:$G,"",0,1))</f>
        <v>6063T5</v>
      </c>
      <c r="H2256" s="4">
        <f>IF($C2256="","",_xlfn.XLOOKUP($C2256,Order!$C:$C,Order!$H:$H,"",0,1))</f>
        <v>0.94799999999999995</v>
      </c>
      <c r="I2256" s="36">
        <f>IF($C2256="","",_xlfn.XLOOKUP($C2256,Order!$C:$C,Order!$O:$O,"",0,1))</f>
        <v>0</v>
      </c>
      <c r="J2256" s="4" t="str">
        <f>IF(C2256="","",Order!$O$16)</f>
        <v>WOOD FINISH (BA)</v>
      </c>
      <c r="K2256" s="36">
        <f>IF($C2256="","",_xlfn.XLOOKUP($C2256,Order!$C:$C,Order!$P:$P,"",0,1))</f>
        <v>0</v>
      </c>
      <c r="L2256" s="4">
        <f t="shared" si="35"/>
        <v>0</v>
      </c>
    </row>
    <row r="2257" spans="2:12" ht="23.25" hidden="1" customHeight="1" x14ac:dyDescent="0.25">
      <c r="B2257" s="4">
        <v>2252</v>
      </c>
      <c r="C2257" s="36" t="str">
        <f>IF(Order!$C$198="","",Order!$C$198)</f>
        <v>TGR4X2 (Rectangular Tube 4" X 2" with 1.50 mm tickness c/reforço)</v>
      </c>
      <c r="D2257" s="36" t="str">
        <f>IF($C2257="","",_xlfn.XLOOKUP($C2257,Order!$C:$C,Order!$D:$D,"",0,1))</f>
        <v>TGR4X2</v>
      </c>
      <c r="E2257" s="4" t="e" vm="382">
        <f>IF($C2257="","",_xlfn.XLOOKUP($C2257,Order!$C:$C,Order!$E:$E,"",0,1))</f>
        <v>#VALUE!</v>
      </c>
      <c r="F2257" s="4">
        <f>IF($C2257="","",_xlfn.XLOOKUP($C2257,Order!$C:$C,Order!$F:$F,"",0,1))</f>
        <v>6000</v>
      </c>
      <c r="G2257" s="4" t="str">
        <f>IF($C2257="","",_xlfn.XLOOKUP($C2257,Order!$C:$C,Order!$G:$G,"",0,1))</f>
        <v>6063T5</v>
      </c>
      <c r="H2257" s="4">
        <f>IF($C2257="","",_xlfn.XLOOKUP($C2257,Order!$C:$C,Order!$H:$H,"",0,1))</f>
        <v>1.268</v>
      </c>
      <c r="I2257" s="36">
        <f>IF($C2257="","",_xlfn.XLOOKUP($C2257,Order!$C:$C,Order!$O:$O,"",0,1))</f>
        <v>0</v>
      </c>
      <c r="J2257" s="4" t="str">
        <f>IF(C2257="","",Order!$O$16)</f>
        <v>WOOD FINISH (BA)</v>
      </c>
      <c r="K2257" s="36">
        <f>IF($C2257="","",_xlfn.XLOOKUP($C2257,Order!$C:$C,Order!$P:$P,"",0,1))</f>
        <v>0</v>
      </c>
      <c r="L2257" s="4">
        <f t="shared" si="35"/>
        <v>0</v>
      </c>
    </row>
    <row r="2258" spans="2:12" ht="23.25" hidden="1" customHeight="1" x14ac:dyDescent="0.25">
      <c r="B2258" s="4">
        <v>2253</v>
      </c>
      <c r="C2258" s="36" t="str">
        <f>IF(Order!$C$199="","",Order!$C$199)</f>
        <v>MT 0045 (Retangular Tube 3x1.1/2 com raia)</v>
      </c>
      <c r="D2258" s="36" t="str">
        <f>IF($C2258="","",_xlfn.XLOOKUP($C2258,Order!$C:$C,Order!$D:$D,"",0,1))</f>
        <v>MT0045</v>
      </c>
      <c r="E2258" s="4" t="e" vm="383">
        <f>IF($C2258="","",_xlfn.XLOOKUP($C2258,Order!$C:$C,Order!$E:$E,"",0,1))</f>
        <v>#VALUE!</v>
      </c>
      <c r="F2258" s="4">
        <f>IF($C2258="","",_xlfn.XLOOKUP($C2258,Order!$C:$C,Order!$F:$F,"",0,1))</f>
        <v>6000</v>
      </c>
      <c r="G2258" s="4" t="str">
        <f>IF($C2258="","",_xlfn.XLOOKUP($C2258,Order!$C:$C,Order!$G:$G,"",0,1))</f>
        <v>6063T5</v>
      </c>
      <c r="H2258" s="4">
        <f>IF($C2258="","",_xlfn.XLOOKUP($C2258,Order!$C:$C,Order!$H:$H,"",0,1))</f>
        <v>0.66400000000000003</v>
      </c>
      <c r="I2258" s="36">
        <f>IF($C2258="","",_xlfn.XLOOKUP($C2258,Order!$C:$C,Order!$O:$O,"",0,1))</f>
        <v>0</v>
      </c>
      <c r="J2258" s="4" t="str">
        <f>IF(C2258="","",Order!$O$16)</f>
        <v>WOOD FINISH (BA)</v>
      </c>
      <c r="K2258" s="36">
        <f>IF($C2258="","",_xlfn.XLOOKUP($C2258,Order!$C:$C,Order!$P:$P,"",0,1))</f>
        <v>0</v>
      </c>
      <c r="L2258" s="4">
        <f t="shared" si="35"/>
        <v>0</v>
      </c>
    </row>
    <row r="2259" spans="2:12" ht="23.25" hidden="1" customHeight="1" x14ac:dyDescent="0.25">
      <c r="B2259" s="4">
        <v>2254</v>
      </c>
      <c r="C2259" s="36" t="str">
        <f>IF(Order!$C$200="","",Order!$C$200)</f>
        <v>MT0008</v>
      </c>
      <c r="D2259" s="36" t="str">
        <f>IF($C2259="","",_xlfn.XLOOKUP($C2259,Order!$C:$C,Order!$D:$D,"",0,1))</f>
        <v>MT0008</v>
      </c>
      <c r="E2259" s="4" t="e" vm="384">
        <f>IF($C2259="","",_xlfn.XLOOKUP($C2259,Order!$C:$C,Order!$E:$E,"",0,1))</f>
        <v>#VALUE!</v>
      </c>
      <c r="F2259" s="4">
        <f>IF($C2259="","",_xlfn.XLOOKUP($C2259,Order!$C:$C,Order!$F:$F,"",0,1))</f>
        <v>6000</v>
      </c>
      <c r="G2259" s="4" t="str">
        <f>IF($C2259="","",_xlfn.XLOOKUP($C2259,Order!$C:$C,Order!$G:$G,"",0,1))</f>
        <v>6063T5</v>
      </c>
      <c r="H2259" s="4">
        <f>IF($C2259="","",_xlfn.XLOOKUP($C2259,Order!$C:$C,Order!$H:$H,"",0,1))</f>
        <v>0.44400000000000001</v>
      </c>
      <c r="I2259" s="36">
        <f>IF($C2259="","",_xlfn.XLOOKUP($C2259,Order!$C:$C,Order!$O:$O,"",0,1))</f>
        <v>0</v>
      </c>
      <c r="J2259" s="4" t="str">
        <f>IF(C2259="","",Order!$O$16)</f>
        <v>WOOD FINISH (BA)</v>
      </c>
      <c r="K2259" s="36">
        <f>IF($C2259="","",_xlfn.XLOOKUP($C2259,Order!$C:$C,Order!$P:$P,"",0,1))</f>
        <v>0</v>
      </c>
      <c r="L2259" s="4">
        <f t="shared" si="35"/>
        <v>0</v>
      </c>
    </row>
    <row r="2260" spans="2:12" ht="23.25" hidden="1" customHeight="1" x14ac:dyDescent="0.25">
      <c r="B2260" s="4">
        <v>2255</v>
      </c>
      <c r="C2260" s="36" t="str">
        <f>IF(Order!$C$201="","",Order!$C$201)</f>
        <v>MT0010</v>
      </c>
      <c r="D2260" s="36" t="str">
        <f>IF($C2260="","",_xlfn.XLOOKUP($C2260,Order!$C:$C,Order!$D:$D,"",0,1))</f>
        <v>MT0010</v>
      </c>
      <c r="E2260" s="4" t="e" vm="385">
        <f>IF($C2260="","",_xlfn.XLOOKUP($C2260,Order!$C:$C,Order!$E:$E,"",0,1))</f>
        <v>#VALUE!</v>
      </c>
      <c r="F2260" s="4">
        <f>IF($C2260="","",_xlfn.XLOOKUP($C2260,Order!$C:$C,Order!$F:$F,"",0,1))</f>
        <v>6000</v>
      </c>
      <c r="G2260" s="4" t="str">
        <f>IF($C2260="","",_xlfn.XLOOKUP($C2260,Order!$C:$C,Order!$G:$G,"",0,1))</f>
        <v>6063T5</v>
      </c>
      <c r="H2260" s="4">
        <f>IF($C2260="","",_xlfn.XLOOKUP($C2260,Order!$C:$C,Order!$H:$H,"",0,1))</f>
        <v>0.49299999999999999</v>
      </c>
      <c r="I2260" s="36">
        <f>IF($C2260="","",_xlfn.XLOOKUP($C2260,Order!$C:$C,Order!$O:$O,"",0,1))</f>
        <v>0</v>
      </c>
      <c r="J2260" s="4" t="str">
        <f>IF(C2260="","",Order!$O$16)</f>
        <v>WOOD FINISH (BA)</v>
      </c>
      <c r="K2260" s="36">
        <f>IF($C2260="","",_xlfn.XLOOKUP($C2260,Order!$C:$C,Order!$P:$P,"",0,1))</f>
        <v>0</v>
      </c>
      <c r="L2260" s="4">
        <f t="shared" si="35"/>
        <v>0</v>
      </c>
    </row>
    <row r="2261" spans="2:12" ht="23.25" hidden="1" customHeight="1" x14ac:dyDescent="0.25">
      <c r="B2261" s="4">
        <v>2256</v>
      </c>
      <c r="C2261" s="36" t="str">
        <f>IF(Order!$C$202="","",Order!$C$202)</f>
        <v>CG072</v>
      </c>
      <c r="D2261" s="36" t="str">
        <f>IF($C2261="","",_xlfn.XLOOKUP($C2261,Order!$C:$C,Order!$D:$D,"",0,1))</f>
        <v>CG072</v>
      </c>
      <c r="E2261" s="4" t="e" vm="386">
        <f>IF($C2261="","",_xlfn.XLOOKUP($C2261,Order!$C:$C,Order!$E:$E,"",0,1))</f>
        <v>#VALUE!</v>
      </c>
      <c r="F2261" s="4">
        <f>IF($C2261="","",_xlfn.XLOOKUP($C2261,Order!$C:$C,Order!$F:$F,"",0,1))</f>
        <v>6000</v>
      </c>
      <c r="G2261" s="4" t="str">
        <f>IF($C2261="","",_xlfn.XLOOKUP($C2261,Order!$C:$C,Order!$G:$G,"",0,1))</f>
        <v>6063T5</v>
      </c>
      <c r="H2261" s="4">
        <f>IF($C2261="","",_xlfn.XLOOKUP($C2261,Order!$C:$C,Order!$H:$H,"",0,1))</f>
        <v>0.96299999999999997</v>
      </c>
      <c r="I2261" s="36">
        <f>IF($C2261="","",_xlfn.XLOOKUP($C2261,Order!$C:$C,Order!$O:$O,"",0,1))</f>
        <v>0</v>
      </c>
      <c r="J2261" s="4" t="str">
        <f>IF(C2261="","",Order!$O$16)</f>
        <v>WOOD FINISH (BA)</v>
      </c>
      <c r="K2261" s="36">
        <f>IF($C2261="","",_xlfn.XLOOKUP($C2261,Order!$C:$C,Order!$P:$P,"",0,1))</f>
        <v>0</v>
      </c>
      <c r="L2261" s="4">
        <f t="shared" si="35"/>
        <v>0</v>
      </c>
    </row>
    <row r="2262" spans="2:12" ht="23.25" hidden="1" customHeight="1" x14ac:dyDescent="0.25">
      <c r="B2262" s="4">
        <v>2257</v>
      </c>
      <c r="C2262" s="36" t="str">
        <f>IF(Order!$C$203="","",Order!$C$203)</f>
        <v>MT0046</v>
      </c>
      <c r="D2262" s="36" t="str">
        <f>IF($C2262="","",_xlfn.XLOOKUP($C2262,Order!$C:$C,Order!$D:$D,"",0,1))</f>
        <v>MT0046</v>
      </c>
      <c r="E2262" s="4" t="e" vm="387">
        <f>IF($C2262="","",_xlfn.XLOOKUP($C2262,Order!$C:$C,Order!$E:$E,"",0,1))</f>
        <v>#VALUE!</v>
      </c>
      <c r="F2262" s="4">
        <f>IF($C2262="","",_xlfn.XLOOKUP($C2262,Order!$C:$C,Order!$F:$F,"",0,1))</f>
        <v>6000</v>
      </c>
      <c r="G2262" s="4" t="str">
        <f>IF($C2262="","",_xlfn.XLOOKUP($C2262,Order!$C:$C,Order!$G:$G,"",0,1))</f>
        <v>6063T5</v>
      </c>
      <c r="H2262" s="4">
        <f>IF($C2262="","",_xlfn.XLOOKUP($C2262,Order!$C:$C,Order!$H:$H,"",0,1))</f>
        <v>1.2410000000000001</v>
      </c>
      <c r="I2262" s="36">
        <f>IF($C2262="","",_xlfn.XLOOKUP($C2262,Order!$C:$C,Order!$O:$O,"",0,1))</f>
        <v>0</v>
      </c>
      <c r="J2262" s="4" t="str">
        <f>IF(C2262="","",Order!$O$16)</f>
        <v>WOOD FINISH (BA)</v>
      </c>
      <c r="K2262" s="36">
        <f>IF($C2262="","",_xlfn.XLOOKUP($C2262,Order!$C:$C,Order!$P:$P,"",0,1))</f>
        <v>0</v>
      </c>
      <c r="L2262" s="4">
        <f t="shared" si="35"/>
        <v>0</v>
      </c>
    </row>
    <row r="2263" spans="2:12" ht="23.25" hidden="1" customHeight="1" x14ac:dyDescent="0.25">
      <c r="B2263" s="4">
        <v>2258</v>
      </c>
      <c r="C2263" s="36" t="str">
        <f>IF(Order!$C$204="","",Order!$C$204)</f>
        <v>MT0047</v>
      </c>
      <c r="D2263" s="36" t="str">
        <f>IF($C2263="","",_xlfn.XLOOKUP($C2263,Order!$C:$C,Order!$D:$D,"",0,1))</f>
        <v>MT0047</v>
      </c>
      <c r="E2263" s="4" t="e" vm="388">
        <f>IF($C2263="","",_xlfn.XLOOKUP($C2263,Order!$C:$C,Order!$E:$E,"",0,1))</f>
        <v>#VALUE!</v>
      </c>
      <c r="F2263" s="4">
        <f>IF($C2263="","",_xlfn.XLOOKUP($C2263,Order!$C:$C,Order!$F:$F,"",0,1))</f>
        <v>6000</v>
      </c>
      <c r="G2263" s="4" t="str">
        <f>IF($C2263="","",_xlfn.XLOOKUP($C2263,Order!$C:$C,Order!$G:$G,"",0,1))</f>
        <v>6063T5</v>
      </c>
      <c r="H2263" s="4">
        <f>IF($C2263="","",_xlfn.XLOOKUP($C2263,Order!$C:$C,Order!$H:$H,"",0,1))</f>
        <v>0.23599999999999999</v>
      </c>
      <c r="I2263" s="36">
        <f>IF($C2263="","",_xlfn.XLOOKUP($C2263,Order!$C:$C,Order!$O:$O,"",0,1))</f>
        <v>0</v>
      </c>
      <c r="J2263" s="4" t="str">
        <f>IF(C2263="","",Order!$O$16)</f>
        <v>WOOD FINISH (BA)</v>
      </c>
      <c r="K2263" s="36">
        <f>IF($C2263="","",_xlfn.XLOOKUP($C2263,Order!$C:$C,Order!$P:$P,"",0,1))</f>
        <v>0</v>
      </c>
      <c r="L2263" s="4">
        <f t="shared" si="35"/>
        <v>0</v>
      </c>
    </row>
    <row r="2264" spans="2:12" ht="23.25" hidden="1" customHeight="1" x14ac:dyDescent="0.25">
      <c r="B2264" s="4">
        <v>2259</v>
      </c>
      <c r="C2264" s="36" t="str">
        <f>IF(Order!$C$205="","",Order!$C$205)</f>
        <v>MT0048</v>
      </c>
      <c r="D2264" s="36" t="str">
        <f>IF($C2264="","",_xlfn.XLOOKUP($C2264,Order!$C:$C,Order!$D:$D,"",0,1))</f>
        <v>MT0048</v>
      </c>
      <c r="E2264" s="4" t="e" vm="389">
        <f>IF($C2264="","",_xlfn.XLOOKUP($C2264,Order!$C:$C,Order!$E:$E,"",0,1))</f>
        <v>#VALUE!</v>
      </c>
      <c r="F2264" s="4">
        <f>IF($C2264="","",_xlfn.XLOOKUP($C2264,Order!$C:$C,Order!$F:$F,"",0,1))</f>
        <v>6000</v>
      </c>
      <c r="G2264" s="4" t="str">
        <f>IF($C2264="","",_xlfn.XLOOKUP($C2264,Order!$C:$C,Order!$G:$G,"",0,1))</f>
        <v>6063T5</v>
      </c>
      <c r="H2264" s="4">
        <f>IF($C2264="","",_xlfn.XLOOKUP($C2264,Order!$C:$C,Order!$H:$H,"",0,1))</f>
        <v>0.79300000000000004</v>
      </c>
      <c r="I2264" s="36">
        <f>IF($C2264="","",_xlfn.XLOOKUP($C2264,Order!$C:$C,Order!$O:$O,"",0,1))</f>
        <v>0</v>
      </c>
      <c r="J2264" s="4" t="str">
        <f>IF(C2264="","",Order!$O$16)</f>
        <v>WOOD FINISH (BA)</v>
      </c>
      <c r="K2264" s="36">
        <f>IF($C2264="","",_xlfn.XLOOKUP($C2264,Order!$C:$C,Order!$P:$P,"",0,1))</f>
        <v>0</v>
      </c>
      <c r="L2264" s="4">
        <f t="shared" si="35"/>
        <v>0</v>
      </c>
    </row>
    <row r="2265" spans="2:12" ht="23.25" hidden="1" customHeight="1" x14ac:dyDescent="0.25">
      <c r="B2265" s="4">
        <v>2260</v>
      </c>
      <c r="C2265" s="36" t="str">
        <f>IF(Order!$C$206="","",Order!$C$206)</f>
        <v>CG075 (MT0049)</v>
      </c>
      <c r="D2265" s="36" t="str">
        <f>IF($C2265="","",_xlfn.XLOOKUP($C2265,Order!$C:$C,Order!$D:$D,"",0,1))</f>
        <v>MT0049</v>
      </c>
      <c r="E2265" s="4" t="e" vm="390">
        <f>IF($C2265="","",_xlfn.XLOOKUP($C2265,Order!$C:$C,Order!$E:$E,"",0,1))</f>
        <v>#VALUE!</v>
      </c>
      <c r="F2265" s="4">
        <f>IF($C2265="","",_xlfn.XLOOKUP($C2265,Order!$C:$C,Order!$F:$F,"",0,1))</f>
        <v>6000</v>
      </c>
      <c r="G2265" s="4" t="str">
        <f>IF($C2265="","",_xlfn.XLOOKUP($C2265,Order!$C:$C,Order!$G:$G,"",0,1))</f>
        <v>6063T5</v>
      </c>
      <c r="H2265" s="4">
        <f>IF($C2265="","",_xlfn.XLOOKUP($C2265,Order!$C:$C,Order!$H:$H,"",0,1))</f>
        <v>0.46300000000000002</v>
      </c>
      <c r="I2265" s="36">
        <f>IF($C2265="","",_xlfn.XLOOKUP($C2265,Order!$C:$C,Order!$O:$O,"",0,1))</f>
        <v>0</v>
      </c>
      <c r="J2265" s="4" t="str">
        <f>IF(C2265="","",Order!$O$16)</f>
        <v>WOOD FINISH (BA)</v>
      </c>
      <c r="K2265" s="36">
        <f>IF($C2265="","",_xlfn.XLOOKUP($C2265,Order!$C:$C,Order!$P:$P,"",0,1))</f>
        <v>0</v>
      </c>
      <c r="L2265" s="4">
        <f t="shared" si="35"/>
        <v>0</v>
      </c>
    </row>
    <row r="2266" spans="2:12" ht="23.25" hidden="1" customHeight="1" x14ac:dyDescent="0.25">
      <c r="B2266" s="4">
        <v>2261</v>
      </c>
      <c r="C2266" s="36" t="str">
        <f>IF(Order!$C$207="","",Order!$C$207)</f>
        <v>CG2535</v>
      </c>
      <c r="D2266" s="36" t="str">
        <f>IF($C2266="","",_xlfn.XLOOKUP($C2266,Order!$C:$C,Order!$D:$D,"",0,1))</f>
        <v>CG2535</v>
      </c>
      <c r="E2266" s="4" t="e" vm="391">
        <f>IF($C2266="","",_xlfn.XLOOKUP($C2266,Order!$C:$C,Order!$E:$E,"",0,1))</f>
        <v>#VALUE!</v>
      </c>
      <c r="F2266" s="4">
        <f>IF($C2266="","",_xlfn.XLOOKUP($C2266,Order!$C:$C,Order!$F:$F,"",0,1))</f>
        <v>6000</v>
      </c>
      <c r="G2266" s="4" t="str">
        <f>IF($C2266="","",_xlfn.XLOOKUP($C2266,Order!$C:$C,Order!$G:$G,"",0,1))</f>
        <v>6063T5</v>
      </c>
      <c r="H2266" s="4">
        <f>IF($C2266="","",_xlfn.XLOOKUP($C2266,Order!$C:$C,Order!$H:$H,"",0,1))</f>
        <v>0.39400000000000002</v>
      </c>
      <c r="I2266" s="36">
        <f>IF($C2266="","",_xlfn.XLOOKUP($C2266,Order!$C:$C,Order!$O:$O,"",0,1))</f>
        <v>0</v>
      </c>
      <c r="J2266" s="4" t="str">
        <f>IF(C2266="","",Order!$O$16)</f>
        <v>WOOD FINISH (BA)</v>
      </c>
      <c r="K2266" s="36">
        <f>IF($C2266="","",_xlfn.XLOOKUP($C2266,Order!$C:$C,Order!$P:$P,"",0,1))</f>
        <v>0</v>
      </c>
      <c r="L2266" s="4">
        <f t="shared" si="35"/>
        <v>0</v>
      </c>
    </row>
    <row r="2267" spans="2:12" ht="23.25" hidden="1" customHeight="1" x14ac:dyDescent="0.25">
      <c r="B2267" s="4">
        <v>2262</v>
      </c>
      <c r="C2267" s="36" t="str">
        <f>IF(Order!$C$208="","",Order!$C$208)</f>
        <v>BX706</v>
      </c>
      <c r="D2267" s="36" t="str">
        <f>IF($C2267="","",_xlfn.XLOOKUP($C2267,Order!$C:$C,Order!$D:$D,"",0,1))</f>
        <v>BX706</v>
      </c>
      <c r="E2267" s="4" t="e" vm="392">
        <f>IF($C2267="","",_xlfn.XLOOKUP($C2267,Order!$C:$C,Order!$E:$E,"",0,1))</f>
        <v>#VALUE!</v>
      </c>
      <c r="F2267" s="4">
        <f>IF($C2267="","",_xlfn.XLOOKUP($C2267,Order!$C:$C,Order!$F:$F,"",0,1))</f>
        <v>6000</v>
      </c>
      <c r="G2267" s="4" t="str">
        <f>IF($C2267="","",_xlfn.XLOOKUP($C2267,Order!$C:$C,Order!$G:$G,"",0,1))</f>
        <v>6063T5</v>
      </c>
      <c r="H2267" s="4">
        <f>IF($C2267="","",_xlfn.XLOOKUP($C2267,Order!$C:$C,Order!$H:$H,"",0,1))</f>
        <v>0.84799999999999998</v>
      </c>
      <c r="I2267" s="36">
        <f>IF($C2267="","",_xlfn.XLOOKUP($C2267,Order!$C:$C,Order!$O:$O,"",0,1))</f>
        <v>0</v>
      </c>
      <c r="J2267" s="4" t="str">
        <f>IF(C2267="","",Order!$O$16)</f>
        <v>WOOD FINISH (BA)</v>
      </c>
      <c r="K2267" s="36">
        <f>IF($C2267="","",_xlfn.XLOOKUP($C2267,Order!$C:$C,Order!$P:$P,"",0,1))</f>
        <v>0</v>
      </c>
      <c r="L2267" s="4">
        <f t="shared" si="35"/>
        <v>0</v>
      </c>
    </row>
    <row r="2268" spans="2:12" ht="23.25" hidden="1" customHeight="1" x14ac:dyDescent="0.25">
      <c r="B2268" s="4">
        <v>2263</v>
      </c>
      <c r="C2268" s="36" t="str">
        <f>IF(Order!$C$209="","",Order!$C$209)</f>
        <v>GR001</v>
      </c>
      <c r="D2268" s="36" t="str">
        <f>IF($C2268="","",_xlfn.XLOOKUP($C2268,Order!$C:$C,Order!$D:$D,"",0,1))</f>
        <v>GR001</v>
      </c>
      <c r="E2268" s="4" t="e" vm="393">
        <f>IF($C2268="","",_xlfn.XLOOKUP($C2268,Order!$C:$C,Order!$E:$E,"",0,1))</f>
        <v>#VALUE!</v>
      </c>
      <c r="F2268" s="4">
        <f>IF($C2268="","",_xlfn.XLOOKUP($C2268,Order!$C:$C,Order!$F:$F,"",0,1))</f>
        <v>6000</v>
      </c>
      <c r="G2268" s="4" t="str">
        <f>IF($C2268="","",_xlfn.XLOOKUP($C2268,Order!$C:$C,Order!$G:$G,"",0,1))</f>
        <v>6063T5</v>
      </c>
      <c r="H2268" s="4">
        <f>IF($C2268="","",_xlfn.XLOOKUP($C2268,Order!$C:$C,Order!$H:$H,"",0,1))</f>
        <v>1.0089999999999999</v>
      </c>
      <c r="I2268" s="36">
        <f>IF($C2268="","",_xlfn.XLOOKUP($C2268,Order!$C:$C,Order!$O:$O,"",0,1))</f>
        <v>0</v>
      </c>
      <c r="J2268" s="4" t="str">
        <f>IF(C2268="","",Order!$O$16)</f>
        <v>WOOD FINISH (BA)</v>
      </c>
      <c r="K2268" s="36">
        <f>IF($C2268="","",_xlfn.XLOOKUP($C2268,Order!$C:$C,Order!$P:$P,"",0,1))</f>
        <v>0</v>
      </c>
      <c r="L2268" s="4">
        <f t="shared" si="35"/>
        <v>0</v>
      </c>
    </row>
    <row r="2269" spans="2:12" ht="23.25" hidden="1" customHeight="1" x14ac:dyDescent="0.25">
      <c r="B2269" s="4">
        <v>2264</v>
      </c>
      <c r="C2269" s="36" t="str">
        <f>IF(Order!$C$210="","",Order!$C$210)</f>
        <v>GR002</v>
      </c>
      <c r="D2269" s="36" t="str">
        <f>IF($C2269="","",_xlfn.XLOOKUP($C2269,Order!$C:$C,Order!$D:$D,"",0,1))</f>
        <v>GR002</v>
      </c>
      <c r="E2269" s="4" t="e" vm="394">
        <f>IF($C2269="","",_xlfn.XLOOKUP($C2269,Order!$C:$C,Order!$E:$E,"",0,1))</f>
        <v>#VALUE!</v>
      </c>
      <c r="F2269" s="4">
        <f>IF($C2269="","",_xlfn.XLOOKUP($C2269,Order!$C:$C,Order!$F:$F,"",0,1))</f>
        <v>6000</v>
      </c>
      <c r="G2269" s="4" t="str">
        <f>IF($C2269="","",_xlfn.XLOOKUP($C2269,Order!$C:$C,Order!$G:$G,"",0,1))</f>
        <v>6063T5</v>
      </c>
      <c r="H2269" s="4">
        <f>IF($C2269="","",_xlfn.XLOOKUP($C2269,Order!$C:$C,Order!$H:$H,"",0,1))</f>
        <v>0.95599999999999996</v>
      </c>
      <c r="I2269" s="36">
        <f>IF($C2269="","",_xlfn.XLOOKUP($C2269,Order!$C:$C,Order!$O:$O,"",0,1))</f>
        <v>0</v>
      </c>
      <c r="J2269" s="4" t="str">
        <f>IF(C2269="","",Order!$O$16)</f>
        <v>WOOD FINISH (BA)</v>
      </c>
      <c r="K2269" s="36">
        <f>IF($C2269="","",_xlfn.XLOOKUP($C2269,Order!$C:$C,Order!$P:$P,"",0,1))</f>
        <v>0</v>
      </c>
      <c r="L2269" s="4">
        <f t="shared" si="35"/>
        <v>0</v>
      </c>
    </row>
    <row r="2270" spans="2:12" ht="23.25" hidden="1" customHeight="1" x14ac:dyDescent="0.25">
      <c r="B2270" s="4">
        <v>2265</v>
      </c>
      <c r="C2270" s="36" t="str">
        <f>IF(Order!$C$211="","",Order!$C$211)</f>
        <v>BX062</v>
      </c>
      <c r="D2270" s="36" t="str">
        <f>IF($C2270="","",_xlfn.XLOOKUP($C2270,Order!$C:$C,Order!$D:$D,"",0,1))</f>
        <v>BX062</v>
      </c>
      <c r="E2270" s="4" t="e" vm="395">
        <f>IF($C2270="","",_xlfn.XLOOKUP($C2270,Order!$C:$C,Order!$E:$E,"",0,1))</f>
        <v>#VALUE!</v>
      </c>
      <c r="F2270" s="4">
        <f>IF($C2270="","",_xlfn.XLOOKUP($C2270,Order!$C:$C,Order!$F:$F,"",0,1))</f>
        <v>6000</v>
      </c>
      <c r="G2270" s="4" t="str">
        <f>IF($C2270="","",_xlfn.XLOOKUP($C2270,Order!$C:$C,Order!$G:$G,"",0,1))</f>
        <v>6063T5</v>
      </c>
      <c r="H2270" s="4">
        <f>IF($C2270="","",_xlfn.XLOOKUP($C2270,Order!$C:$C,Order!$H:$H,"",0,1))</f>
        <v>0.23599999999999999</v>
      </c>
      <c r="I2270" s="36">
        <f>IF($C2270="","",_xlfn.XLOOKUP($C2270,Order!$C:$C,Order!$O:$O,"",0,1))</f>
        <v>0</v>
      </c>
      <c r="J2270" s="4" t="str">
        <f>IF(C2270="","",Order!$O$16)</f>
        <v>WOOD FINISH (BA)</v>
      </c>
      <c r="K2270" s="36">
        <f>IF($C2270="","",_xlfn.XLOOKUP($C2270,Order!$C:$C,Order!$P:$P,"",0,1))</f>
        <v>0</v>
      </c>
      <c r="L2270" s="4">
        <f t="shared" si="35"/>
        <v>0</v>
      </c>
    </row>
    <row r="2271" spans="2:12" ht="23.25" hidden="1" customHeight="1" x14ac:dyDescent="0.25">
      <c r="B2271" s="4">
        <v>2266</v>
      </c>
      <c r="C2271" s="36" t="str">
        <f>IF(Order!$C$212="","",Order!$C$212)</f>
        <v>BX101</v>
      </c>
      <c r="D2271" s="36" t="str">
        <f>IF($C2271="","",_xlfn.XLOOKUP($C2271,Order!$C:$C,Order!$D:$D,"",0,1))</f>
        <v>BX101</v>
      </c>
      <c r="E2271" s="4" t="e" vm="396">
        <f>IF($C2271="","",_xlfn.XLOOKUP($C2271,Order!$C:$C,Order!$E:$E,"",0,1))</f>
        <v>#VALUE!</v>
      </c>
      <c r="F2271" s="4">
        <f>IF($C2271="","",_xlfn.XLOOKUP($C2271,Order!$C:$C,Order!$F:$F,"",0,1))</f>
        <v>6000</v>
      </c>
      <c r="G2271" s="4" t="str">
        <f>IF($C2271="","",_xlfn.XLOOKUP($C2271,Order!$C:$C,Order!$G:$G,"",0,1))</f>
        <v>6063T5</v>
      </c>
      <c r="H2271" s="4">
        <f>IF($C2271="","",_xlfn.XLOOKUP($C2271,Order!$C:$C,Order!$H:$H,"",0,1))</f>
        <v>0.42599999999999999</v>
      </c>
      <c r="I2271" s="36">
        <f>IF($C2271="","",_xlfn.XLOOKUP($C2271,Order!$C:$C,Order!$O:$O,"",0,1))</f>
        <v>0</v>
      </c>
      <c r="J2271" s="4" t="str">
        <f>IF(C2271="","",Order!$O$16)</f>
        <v>WOOD FINISH (BA)</v>
      </c>
      <c r="K2271" s="36">
        <f>IF($C2271="","",_xlfn.XLOOKUP($C2271,Order!$C:$C,Order!$P:$P,"",0,1))</f>
        <v>0</v>
      </c>
      <c r="L2271" s="4">
        <f t="shared" si="35"/>
        <v>0</v>
      </c>
    </row>
    <row r="2272" spans="2:12" ht="23.25" hidden="1" customHeight="1" x14ac:dyDescent="0.25">
      <c r="B2272" s="4">
        <v>2267</v>
      </c>
      <c r="C2272" s="36" t="str">
        <f>IF(Order!$C$213="","",Order!$C$213)</f>
        <v>BX060</v>
      </c>
      <c r="D2272" s="36" t="str">
        <f>IF($C2272="","",_xlfn.XLOOKUP($C2272,Order!$C:$C,Order!$D:$D,"",0,1))</f>
        <v>BX060</v>
      </c>
      <c r="E2272" s="4" t="e" vm="397">
        <f>IF($C2272="","",_xlfn.XLOOKUP($C2272,Order!$C:$C,Order!$E:$E,"",0,1))</f>
        <v>#VALUE!</v>
      </c>
      <c r="F2272" s="4">
        <f>IF($C2272="","",_xlfn.XLOOKUP($C2272,Order!$C:$C,Order!$F:$F,"",0,1))</f>
        <v>6000</v>
      </c>
      <c r="G2272" s="4" t="str">
        <f>IF($C2272="","",_xlfn.XLOOKUP($C2272,Order!$C:$C,Order!$G:$G,"",0,1))</f>
        <v>6063T5</v>
      </c>
      <c r="H2272" s="4">
        <f>IF($C2272="","",_xlfn.XLOOKUP($C2272,Order!$C:$C,Order!$H:$H,"",0,1))</f>
        <v>0.17499999999999999</v>
      </c>
      <c r="I2272" s="36">
        <f>IF($C2272="","",_xlfn.XLOOKUP($C2272,Order!$C:$C,Order!$O:$O,"",0,1))</f>
        <v>0</v>
      </c>
      <c r="J2272" s="4" t="str">
        <f>IF(C2272="","",Order!$O$16)</f>
        <v>WOOD FINISH (BA)</v>
      </c>
      <c r="K2272" s="36">
        <f>IF($C2272="","",_xlfn.XLOOKUP($C2272,Order!$C:$C,Order!$P:$P,"",0,1))</f>
        <v>0</v>
      </c>
      <c r="L2272" s="4">
        <f t="shared" si="35"/>
        <v>0</v>
      </c>
    </row>
    <row r="2273" spans="2:12" ht="23.25" hidden="1" customHeight="1" x14ac:dyDescent="0.25">
      <c r="B2273" s="4">
        <v>2268</v>
      </c>
      <c r="C2273" s="36" t="str">
        <f>IF(Order!$C$214="","",Order!$C$214)</f>
        <v>BX061</v>
      </c>
      <c r="D2273" s="36" t="str">
        <f>IF($C2273="","",_xlfn.XLOOKUP($C2273,Order!$C:$C,Order!$D:$D,"",0,1))</f>
        <v>BX061</v>
      </c>
      <c r="E2273" s="4" t="e" vm="398">
        <f>IF($C2273="","",_xlfn.XLOOKUP($C2273,Order!$C:$C,Order!$E:$E,"",0,1))</f>
        <v>#VALUE!</v>
      </c>
      <c r="F2273" s="4">
        <f>IF($C2273="","",_xlfn.XLOOKUP($C2273,Order!$C:$C,Order!$F:$F,"",0,1))</f>
        <v>6000</v>
      </c>
      <c r="G2273" s="4" t="str">
        <f>IF($C2273="","",_xlfn.XLOOKUP($C2273,Order!$C:$C,Order!$G:$G,"",0,1))</f>
        <v>6063T5</v>
      </c>
      <c r="H2273" s="4">
        <f>IF($C2273="","",_xlfn.XLOOKUP($C2273,Order!$C:$C,Order!$H:$H,"",0,1))</f>
        <v>0.161</v>
      </c>
      <c r="I2273" s="36">
        <f>IF($C2273="","",_xlfn.XLOOKUP($C2273,Order!$C:$C,Order!$O:$O,"",0,1))</f>
        <v>0</v>
      </c>
      <c r="J2273" s="4" t="str">
        <f>IF(C2273="","",Order!$O$16)</f>
        <v>WOOD FINISH (BA)</v>
      </c>
      <c r="K2273" s="36">
        <f>IF($C2273="","",_xlfn.XLOOKUP($C2273,Order!$C:$C,Order!$P:$P,"",0,1))</f>
        <v>0</v>
      </c>
      <c r="L2273" s="4">
        <f t="shared" si="35"/>
        <v>0</v>
      </c>
    </row>
    <row r="2274" spans="2:12" ht="23.25" hidden="1" customHeight="1" x14ac:dyDescent="0.25">
      <c r="B2274" s="4">
        <v>2269</v>
      </c>
      <c r="C2274" s="36" t="str">
        <f>IF(Order!$C$215="","",Order!$C$215)</f>
        <v>BX063</v>
      </c>
      <c r="D2274" s="36" t="str">
        <f>IF($C2274="","",_xlfn.XLOOKUP($C2274,Order!$C:$C,Order!$D:$D,"",0,1))</f>
        <v>BX063</v>
      </c>
      <c r="E2274" s="4" t="e" vm="399">
        <f>IF($C2274="","",_xlfn.XLOOKUP($C2274,Order!$C:$C,Order!$E:$E,"",0,1))</f>
        <v>#VALUE!</v>
      </c>
      <c r="F2274" s="4">
        <f>IF($C2274="","",_xlfn.XLOOKUP($C2274,Order!$C:$C,Order!$F:$F,"",0,1))</f>
        <v>6000</v>
      </c>
      <c r="G2274" s="4" t="str">
        <f>IF($C2274="","",_xlfn.XLOOKUP($C2274,Order!$C:$C,Order!$G:$G,"",0,1))</f>
        <v>6063T5</v>
      </c>
      <c r="H2274" s="4">
        <f>IF($C2274="","",_xlfn.XLOOKUP($C2274,Order!$C:$C,Order!$H:$H,"",0,1))</f>
        <v>0.20699999999999999</v>
      </c>
      <c r="I2274" s="36">
        <f>IF($C2274="","",_xlfn.XLOOKUP($C2274,Order!$C:$C,Order!$O:$O,"",0,1))</f>
        <v>0</v>
      </c>
      <c r="J2274" s="4" t="str">
        <f>IF(C2274="","",Order!$O$16)</f>
        <v>WOOD FINISH (BA)</v>
      </c>
      <c r="K2274" s="36">
        <f>IF($C2274="","",_xlfn.XLOOKUP($C2274,Order!$C:$C,Order!$P:$P,"",0,1))</f>
        <v>0</v>
      </c>
      <c r="L2274" s="4">
        <f t="shared" si="35"/>
        <v>0</v>
      </c>
    </row>
    <row r="2275" spans="2:12" ht="23.25" hidden="1" customHeight="1" x14ac:dyDescent="0.25">
      <c r="B2275" s="4">
        <v>2270</v>
      </c>
      <c r="C2275" s="36" t="str">
        <f>IF(Order!$C$216="","",Order!$C$216)</f>
        <v>BX116</v>
      </c>
      <c r="D2275" s="36" t="str">
        <f>IF($C2275="","",_xlfn.XLOOKUP($C2275,Order!$C:$C,Order!$D:$D,"",0,1))</f>
        <v>BX116</v>
      </c>
      <c r="E2275" s="4" t="e" vm="400">
        <f>IF($C2275="","",_xlfn.XLOOKUP($C2275,Order!$C:$C,Order!$E:$E,"",0,1))</f>
        <v>#VALUE!</v>
      </c>
      <c r="F2275" s="4">
        <f>IF($C2275="","",_xlfn.XLOOKUP($C2275,Order!$C:$C,Order!$F:$F,"",0,1))</f>
        <v>6000</v>
      </c>
      <c r="G2275" s="4" t="str">
        <f>IF($C2275="","",_xlfn.XLOOKUP($C2275,Order!$C:$C,Order!$G:$G,"",0,1))</f>
        <v>6063T5</v>
      </c>
      <c r="H2275" s="4">
        <f>IF($C2275="","",_xlfn.XLOOKUP($C2275,Order!$C:$C,Order!$H:$H,"",0,1))</f>
        <v>0.26400000000000001</v>
      </c>
      <c r="I2275" s="36">
        <f>IF($C2275="","",_xlfn.XLOOKUP($C2275,Order!$C:$C,Order!$O:$O,"",0,1))</f>
        <v>0</v>
      </c>
      <c r="J2275" s="4" t="str">
        <f>IF(C2275="","",Order!$O$16)</f>
        <v>WOOD FINISH (BA)</v>
      </c>
      <c r="K2275" s="36">
        <f>IF($C2275="","",_xlfn.XLOOKUP($C2275,Order!$C:$C,Order!$P:$P,"",0,1))</f>
        <v>0</v>
      </c>
      <c r="L2275" s="4">
        <f t="shared" si="35"/>
        <v>0</v>
      </c>
    </row>
    <row r="2276" spans="2:12" ht="23.25" hidden="1" customHeight="1" x14ac:dyDescent="0.25">
      <c r="B2276" s="4">
        <v>2271</v>
      </c>
      <c r="C2276" s="36" t="str">
        <f>IF(Order!$C$217="","",Order!$C$217)</f>
        <v>BX156</v>
      </c>
      <c r="D2276" s="36" t="str">
        <f>IF($C2276="","",_xlfn.XLOOKUP($C2276,Order!$C:$C,Order!$D:$D,"",0,1))</f>
        <v>BX156</v>
      </c>
      <c r="E2276" s="4" t="e" vm="401">
        <f>IF($C2276="","",_xlfn.XLOOKUP($C2276,Order!$C:$C,Order!$E:$E,"",0,1))</f>
        <v>#VALUE!</v>
      </c>
      <c r="F2276" s="4">
        <f>IF($C2276="","",_xlfn.XLOOKUP($C2276,Order!$C:$C,Order!$F:$F,"",0,1))</f>
        <v>6000</v>
      </c>
      <c r="G2276" s="4" t="str">
        <f>IF($C2276="","",_xlfn.XLOOKUP($C2276,Order!$C:$C,Order!$G:$G,"",0,1))</f>
        <v>6063T5</v>
      </c>
      <c r="H2276" s="4">
        <f>IF($C2276="","",_xlfn.XLOOKUP($C2276,Order!$C:$C,Order!$H:$H,"",0,1))</f>
        <v>0.2</v>
      </c>
      <c r="I2276" s="36">
        <f>IF($C2276="","",_xlfn.XLOOKUP($C2276,Order!$C:$C,Order!$O:$O,"",0,1))</f>
        <v>0</v>
      </c>
      <c r="J2276" s="4" t="str">
        <f>IF(C2276="","",Order!$O$16)</f>
        <v>WOOD FINISH (BA)</v>
      </c>
      <c r="K2276" s="36">
        <f>IF($C2276="","",_xlfn.XLOOKUP($C2276,Order!$C:$C,Order!$P:$P,"",0,1))</f>
        <v>0</v>
      </c>
      <c r="L2276" s="4">
        <f t="shared" si="35"/>
        <v>0</v>
      </c>
    </row>
    <row r="2277" spans="2:12" ht="23.25" hidden="1" customHeight="1" x14ac:dyDescent="0.25">
      <c r="B2277" s="4">
        <v>2272</v>
      </c>
      <c r="C2277" s="36" t="str">
        <f>IF(Order!$C$218="","",Order!$C$218)</f>
        <v>BX157</v>
      </c>
      <c r="D2277" s="36" t="str">
        <f>IF($C2277="","",_xlfn.XLOOKUP($C2277,Order!$C:$C,Order!$D:$D,"",0,1))</f>
        <v>BX157</v>
      </c>
      <c r="E2277" s="4" t="e" vm="402">
        <f>IF($C2277="","",_xlfn.XLOOKUP($C2277,Order!$C:$C,Order!$E:$E,"",0,1))</f>
        <v>#VALUE!</v>
      </c>
      <c r="F2277" s="4">
        <f>IF($C2277="","",_xlfn.XLOOKUP($C2277,Order!$C:$C,Order!$F:$F,"",0,1))</f>
        <v>6000</v>
      </c>
      <c r="G2277" s="4" t="str">
        <f>IF($C2277="","",_xlfn.XLOOKUP($C2277,Order!$C:$C,Order!$G:$G,"",0,1))</f>
        <v>6063T5</v>
      </c>
      <c r="H2277" s="4">
        <f>IF($C2277="","",_xlfn.XLOOKUP($C2277,Order!$C:$C,Order!$H:$H,"",0,1))</f>
        <v>0.50800000000000001</v>
      </c>
      <c r="I2277" s="36">
        <f>IF($C2277="","",_xlfn.XLOOKUP($C2277,Order!$C:$C,Order!$O:$O,"",0,1))</f>
        <v>0</v>
      </c>
      <c r="J2277" s="4" t="str">
        <f>IF(C2277="","",Order!$O$16)</f>
        <v>WOOD FINISH (BA)</v>
      </c>
      <c r="K2277" s="36">
        <f>IF($C2277="","",_xlfn.XLOOKUP($C2277,Order!$C:$C,Order!$P:$P,"",0,1))</f>
        <v>0</v>
      </c>
      <c r="L2277" s="4">
        <f t="shared" si="35"/>
        <v>0</v>
      </c>
    </row>
    <row r="2278" spans="2:12" ht="23.25" hidden="1" customHeight="1" x14ac:dyDescent="0.25">
      <c r="B2278" s="4">
        <v>2273</v>
      </c>
      <c r="C2278" s="36" t="str">
        <f>IF(Order!$C$219="","",Order!$C$219)</f>
        <v>BX158</v>
      </c>
      <c r="D2278" s="36" t="str">
        <f>IF($C2278="","",_xlfn.XLOOKUP($C2278,Order!$C:$C,Order!$D:$D,"",0,1))</f>
        <v>BX158</v>
      </c>
      <c r="E2278" s="4" t="e" vm="403">
        <f>IF($C2278="","",_xlfn.XLOOKUP($C2278,Order!$C:$C,Order!$E:$E,"",0,1))</f>
        <v>#VALUE!</v>
      </c>
      <c r="F2278" s="4">
        <f>IF($C2278="","",_xlfn.XLOOKUP($C2278,Order!$C:$C,Order!$F:$F,"",0,1))</f>
        <v>6000</v>
      </c>
      <c r="G2278" s="4" t="str">
        <f>IF($C2278="","",_xlfn.XLOOKUP($C2278,Order!$C:$C,Order!$G:$G,"",0,1))</f>
        <v>6063T5</v>
      </c>
      <c r="H2278" s="4">
        <f>IF($C2278="","",_xlfn.XLOOKUP($C2278,Order!$C:$C,Order!$H:$H,"",0,1))</f>
        <v>0.188</v>
      </c>
      <c r="I2278" s="36">
        <f>IF($C2278="","",_xlfn.XLOOKUP($C2278,Order!$C:$C,Order!$O:$O,"",0,1))</f>
        <v>0</v>
      </c>
      <c r="J2278" s="4" t="str">
        <f>IF(C2278="","",Order!$O$16)</f>
        <v>WOOD FINISH (BA)</v>
      </c>
      <c r="K2278" s="36">
        <f>IF($C2278="","",_xlfn.XLOOKUP($C2278,Order!$C:$C,Order!$P:$P,"",0,1))</f>
        <v>0</v>
      </c>
      <c r="L2278" s="4">
        <f t="shared" si="35"/>
        <v>0</v>
      </c>
    </row>
    <row r="2279" spans="2:12" ht="23.25" hidden="1" customHeight="1" x14ac:dyDescent="0.25">
      <c r="B2279" s="4">
        <v>2274</v>
      </c>
      <c r="C2279" s="36" t="str">
        <f>IF(Order!$C$220="","",Order!$C$220)</f>
        <v>BX159</v>
      </c>
      <c r="D2279" s="36" t="str">
        <f>IF($C2279="","",_xlfn.XLOOKUP($C2279,Order!$C:$C,Order!$D:$D,"",0,1))</f>
        <v>BX159</v>
      </c>
      <c r="E2279" s="4" t="e" vm="404">
        <f>IF($C2279="","",_xlfn.XLOOKUP($C2279,Order!$C:$C,Order!$E:$E,"",0,1))</f>
        <v>#VALUE!</v>
      </c>
      <c r="F2279" s="4">
        <f>IF($C2279="","",_xlfn.XLOOKUP($C2279,Order!$C:$C,Order!$F:$F,"",0,1))</f>
        <v>6000</v>
      </c>
      <c r="G2279" s="4" t="str">
        <f>IF($C2279="","",_xlfn.XLOOKUP($C2279,Order!$C:$C,Order!$G:$G,"",0,1))</f>
        <v>6063T5</v>
      </c>
      <c r="H2279" s="4">
        <f>IF($C2279="","",_xlfn.XLOOKUP($C2279,Order!$C:$C,Order!$H:$H,"",0,1))</f>
        <v>0.19700000000000001</v>
      </c>
      <c r="I2279" s="36">
        <f>IF($C2279="","",_xlfn.XLOOKUP($C2279,Order!$C:$C,Order!$O:$O,"",0,1))</f>
        <v>0</v>
      </c>
      <c r="J2279" s="4" t="str">
        <f>IF(C2279="","",Order!$O$16)</f>
        <v>WOOD FINISH (BA)</v>
      </c>
      <c r="K2279" s="36">
        <f>IF($C2279="","",_xlfn.XLOOKUP($C2279,Order!$C:$C,Order!$P:$P,"",0,1))</f>
        <v>0</v>
      </c>
      <c r="L2279" s="4">
        <f t="shared" si="35"/>
        <v>0</v>
      </c>
    </row>
    <row r="2280" spans="2:12" ht="23.25" hidden="1" customHeight="1" x14ac:dyDescent="0.25">
      <c r="B2280" s="4">
        <v>2275</v>
      </c>
      <c r="C2280" s="36" t="str">
        <f>IF(Order!$C$221="","",Order!$C$221)</f>
        <v>BX092</v>
      </c>
      <c r="D2280" s="36" t="str">
        <f>IF($C2280="","",_xlfn.XLOOKUP($C2280,Order!$C:$C,Order!$D:$D,"",0,1))</f>
        <v>BX092</v>
      </c>
      <c r="E2280" s="4" t="e" vm="405">
        <f>IF($C2280="","",_xlfn.XLOOKUP($C2280,Order!$C:$C,Order!$E:$E,"",0,1))</f>
        <v>#VALUE!</v>
      </c>
      <c r="F2280" s="4">
        <f>IF($C2280="","",_xlfn.XLOOKUP($C2280,Order!$C:$C,Order!$F:$F,"",0,1))</f>
        <v>6000</v>
      </c>
      <c r="G2280" s="4" t="str">
        <f>IF($C2280="","",_xlfn.XLOOKUP($C2280,Order!$C:$C,Order!$G:$G,"",0,1))</f>
        <v>6063T5</v>
      </c>
      <c r="H2280" s="4">
        <f>IF($C2280="","",_xlfn.XLOOKUP($C2280,Order!$C:$C,Order!$H:$H,"",0,1))</f>
        <v>0.185</v>
      </c>
      <c r="I2280" s="36">
        <f>IF($C2280="","",_xlfn.XLOOKUP($C2280,Order!$C:$C,Order!$O:$O,"",0,1))</f>
        <v>0</v>
      </c>
      <c r="J2280" s="4" t="str">
        <f>IF(C2280="","",Order!$O$16)</f>
        <v>WOOD FINISH (BA)</v>
      </c>
      <c r="K2280" s="36">
        <f>IF($C2280="","",_xlfn.XLOOKUP($C2280,Order!$C:$C,Order!$P:$P,"",0,1))</f>
        <v>0</v>
      </c>
      <c r="L2280" s="4">
        <f t="shared" si="35"/>
        <v>0</v>
      </c>
    </row>
    <row r="2281" spans="2:12" ht="23.25" hidden="1" customHeight="1" x14ac:dyDescent="0.25">
      <c r="B2281" s="4">
        <v>2276</v>
      </c>
      <c r="C2281" s="36" t="str">
        <f>IF(Order!$C$222="","",Order!$C$222)</f>
        <v>BX189A</v>
      </c>
      <c r="D2281" s="36" t="str">
        <f>IF($C2281="","",_xlfn.XLOOKUP($C2281,Order!$C:$C,Order!$D:$D,"",0,1))</f>
        <v>BX189A</v>
      </c>
      <c r="E2281" s="4" t="e" vm="406">
        <f>IF($C2281="","",_xlfn.XLOOKUP($C2281,Order!$C:$C,Order!$E:$E,"",0,1))</f>
        <v>#VALUE!</v>
      </c>
      <c r="F2281" s="4">
        <f>IF($C2281="","",_xlfn.XLOOKUP($C2281,Order!$C:$C,Order!$F:$F,"",0,1))</f>
        <v>6000</v>
      </c>
      <c r="G2281" s="4" t="str">
        <f>IF($C2281="","",_xlfn.XLOOKUP($C2281,Order!$C:$C,Order!$G:$G,"",0,1))</f>
        <v>6063T5</v>
      </c>
      <c r="H2281" s="4">
        <f>IF($C2281="","",_xlfn.XLOOKUP($C2281,Order!$C:$C,Order!$H:$H,"",0,1))</f>
        <v>0.17299999999999999</v>
      </c>
      <c r="I2281" s="36">
        <f>IF($C2281="","",_xlfn.XLOOKUP($C2281,Order!$C:$C,Order!$O:$O,"",0,1))</f>
        <v>0</v>
      </c>
      <c r="J2281" s="4" t="str">
        <f>IF(C2281="","",Order!$O$16)</f>
        <v>WOOD FINISH (BA)</v>
      </c>
      <c r="K2281" s="36">
        <f>IF($C2281="","",_xlfn.XLOOKUP($C2281,Order!$C:$C,Order!$P:$P,"",0,1))</f>
        <v>0</v>
      </c>
      <c r="L2281" s="4">
        <f t="shared" si="35"/>
        <v>0</v>
      </c>
    </row>
    <row r="2282" spans="2:12" ht="23.25" hidden="1" customHeight="1" x14ac:dyDescent="0.25">
      <c r="B2282" s="4">
        <v>2277</v>
      </c>
      <c r="C2282" s="36" t="str">
        <f>IF(Order!$C$223="","",Order!$C$223)</f>
        <v>BX201</v>
      </c>
      <c r="D2282" s="36" t="str">
        <f>IF($C2282="","",_xlfn.XLOOKUP($C2282,Order!$C:$C,Order!$D:$D,"",0,1))</f>
        <v>BX201</v>
      </c>
      <c r="E2282" s="4" t="e" vm="407">
        <f>IF($C2282="","",_xlfn.XLOOKUP($C2282,Order!$C:$C,Order!$E:$E,"",0,1))</f>
        <v>#VALUE!</v>
      </c>
      <c r="F2282" s="4">
        <f>IF($C2282="","",_xlfn.XLOOKUP($C2282,Order!$C:$C,Order!$F:$F,"",0,1))</f>
        <v>6000</v>
      </c>
      <c r="G2282" s="4" t="str">
        <f>IF($C2282="","",_xlfn.XLOOKUP($C2282,Order!$C:$C,Order!$G:$G,"",0,1))</f>
        <v>6063T5</v>
      </c>
      <c r="H2282" s="4">
        <f>IF($C2282="","",_xlfn.XLOOKUP($C2282,Order!$C:$C,Order!$H:$H,"",0,1))</f>
        <v>0.47699999999999998</v>
      </c>
      <c r="I2282" s="36">
        <f>IF($C2282="","",_xlfn.XLOOKUP($C2282,Order!$C:$C,Order!$O:$O,"",0,1))</f>
        <v>0</v>
      </c>
      <c r="J2282" s="4" t="str">
        <f>IF(C2282="","",Order!$O$16)</f>
        <v>WOOD FINISH (BA)</v>
      </c>
      <c r="K2282" s="36">
        <f>IF($C2282="","",_xlfn.XLOOKUP($C2282,Order!$C:$C,Order!$P:$P,"",0,1))</f>
        <v>0</v>
      </c>
      <c r="L2282" s="4">
        <f t="shared" si="35"/>
        <v>0</v>
      </c>
    </row>
    <row r="2283" spans="2:12" ht="23.25" hidden="1" customHeight="1" x14ac:dyDescent="0.25">
      <c r="B2283" s="4">
        <v>2278</v>
      </c>
      <c r="C2283" s="36" t="str">
        <f>IF(Order!$C$224="","",Order!$C$224)</f>
        <v>AL001</v>
      </c>
      <c r="D2283" s="36" t="str">
        <f>IF($C2283="","",_xlfn.XLOOKUP($C2283,Order!$C:$C,Order!$D:$D,"",0,1))</f>
        <v>AL001AL</v>
      </c>
      <c r="E2283" s="4" t="e" vm="408">
        <f>IF($C2283="","",_xlfn.XLOOKUP($C2283,Order!$C:$C,Order!$E:$E,"",0,1))</f>
        <v>#VALUE!</v>
      </c>
      <c r="F2283" s="4">
        <f>IF($C2283="","",_xlfn.XLOOKUP($C2283,Order!$C:$C,Order!$F:$F,"",0,1))</f>
        <v>6000</v>
      </c>
      <c r="G2283" s="4" t="str">
        <f>IF($C2283="","",_xlfn.XLOOKUP($C2283,Order!$C:$C,Order!$G:$G,"",0,1))</f>
        <v>6063T5</v>
      </c>
      <c r="H2283" s="4">
        <f>IF($C2283="","",_xlfn.XLOOKUP($C2283,Order!$C:$C,Order!$H:$H,"",0,1))</f>
        <v>0.434</v>
      </c>
      <c r="I2283" s="36">
        <f>IF($C2283="","",_xlfn.XLOOKUP($C2283,Order!$C:$C,Order!$O:$O,"",0,1))</f>
        <v>0</v>
      </c>
      <c r="J2283" s="4" t="str">
        <f>IF(C2283="","",Order!$O$16)</f>
        <v>WOOD FINISH (BA)</v>
      </c>
      <c r="K2283" s="36">
        <f>IF($C2283="","",_xlfn.XLOOKUP($C2283,Order!$C:$C,Order!$P:$P,"",0,1))</f>
        <v>0</v>
      </c>
      <c r="L2283" s="4">
        <f t="shared" si="35"/>
        <v>0</v>
      </c>
    </row>
    <row r="2284" spans="2:12" ht="23.25" hidden="1" customHeight="1" x14ac:dyDescent="0.25">
      <c r="B2284" s="4">
        <v>2279</v>
      </c>
      <c r="C2284" s="36" t="str">
        <f>IF(Order!$C$225="","",Order!$C$225)</f>
        <v>AL002</v>
      </c>
      <c r="D2284" s="36" t="str">
        <f>IF($C2284="","",_xlfn.XLOOKUP($C2284,Order!$C:$C,Order!$D:$D,"",0,1))</f>
        <v>AL002AL</v>
      </c>
      <c r="E2284" s="4" t="e" vm="409">
        <f>IF($C2284="","",_xlfn.XLOOKUP($C2284,Order!$C:$C,Order!$E:$E,"",0,1))</f>
        <v>#VALUE!</v>
      </c>
      <c r="F2284" s="4">
        <f>IF($C2284="","",_xlfn.XLOOKUP($C2284,Order!$C:$C,Order!$F:$F,"",0,1))</f>
        <v>6000</v>
      </c>
      <c r="G2284" s="4" t="str">
        <f>IF($C2284="","",_xlfn.XLOOKUP($C2284,Order!$C:$C,Order!$G:$G,"",0,1))</f>
        <v>6063T5</v>
      </c>
      <c r="H2284" s="4">
        <f>IF($C2284="","",_xlfn.XLOOKUP($C2284,Order!$C:$C,Order!$H:$H,"",0,1))</f>
        <v>0.17499999999999999</v>
      </c>
      <c r="I2284" s="36">
        <f>IF($C2284="","",_xlfn.XLOOKUP($C2284,Order!$C:$C,Order!$O:$O,"",0,1))</f>
        <v>0</v>
      </c>
      <c r="J2284" s="4" t="str">
        <f>IF(C2284="","",Order!$O$16)</f>
        <v>WOOD FINISH (BA)</v>
      </c>
      <c r="K2284" s="36">
        <f>IF($C2284="","",_xlfn.XLOOKUP($C2284,Order!$C:$C,Order!$P:$P,"",0,1))</f>
        <v>0</v>
      </c>
      <c r="L2284" s="4">
        <f t="shared" si="35"/>
        <v>0</v>
      </c>
    </row>
    <row r="2285" spans="2:12" ht="23.25" hidden="1" customHeight="1" x14ac:dyDescent="0.25">
      <c r="B2285" s="4">
        <v>2280</v>
      </c>
      <c r="C2285" s="36" t="str">
        <f>IF(Order!$C$226="","",Order!$C$226)</f>
        <v>AL 049</v>
      </c>
      <c r="D2285" s="36" t="str">
        <f>IF($C2285="","",_xlfn.XLOOKUP($C2285,Order!$C:$C,Order!$D:$D,"",0,1))</f>
        <v>AL049</v>
      </c>
      <c r="E2285" s="4" t="e" vm="410">
        <f>IF($C2285="","",_xlfn.XLOOKUP($C2285,Order!$C:$C,Order!$E:$E,"",0,1))</f>
        <v>#VALUE!</v>
      </c>
      <c r="F2285" s="4">
        <f>IF($C2285="","",_xlfn.XLOOKUP($C2285,Order!$C:$C,Order!$F:$F,"",0,1))</f>
        <v>6000</v>
      </c>
      <c r="G2285" s="4" t="str">
        <f>IF($C2285="","",_xlfn.XLOOKUP($C2285,Order!$C:$C,Order!$G:$G,"",0,1))</f>
        <v>6063T5</v>
      </c>
      <c r="H2285" s="4">
        <f>IF($C2285="","",_xlfn.XLOOKUP($C2285,Order!$C:$C,Order!$H:$H,"",0,1))</f>
        <v>0.45300000000000001</v>
      </c>
      <c r="I2285" s="36">
        <f>IF($C2285="","",_xlfn.XLOOKUP($C2285,Order!$C:$C,Order!$O:$O,"",0,1))</f>
        <v>0</v>
      </c>
      <c r="J2285" s="4" t="str">
        <f>IF(C2285="","",Order!$O$16)</f>
        <v>WOOD FINISH (BA)</v>
      </c>
      <c r="K2285" s="36">
        <f>IF($C2285="","",_xlfn.XLOOKUP($C2285,Order!$C:$C,Order!$P:$P,"",0,1))</f>
        <v>0</v>
      </c>
      <c r="L2285" s="4">
        <f t="shared" si="35"/>
        <v>0</v>
      </c>
    </row>
    <row r="2286" spans="2:12" ht="23.25" hidden="1" customHeight="1" x14ac:dyDescent="0.25">
      <c r="B2286" s="4">
        <v>2281</v>
      </c>
      <c r="C2286" s="36" t="str">
        <f>IF(Order!$C$227="","",Order!$C$227)</f>
        <v>AL050</v>
      </c>
      <c r="D2286" s="36" t="str">
        <f>IF($C2286="","",_xlfn.XLOOKUP($C2286,Order!$C:$C,Order!$D:$D,"",0,1))</f>
        <v>AL050</v>
      </c>
      <c r="E2286" s="4" t="e" vm="411">
        <f>IF($C2286="","",_xlfn.XLOOKUP($C2286,Order!$C:$C,Order!$E:$E,"",0,1))</f>
        <v>#VALUE!</v>
      </c>
      <c r="F2286" s="4">
        <f>IF($C2286="","",_xlfn.XLOOKUP($C2286,Order!$C:$C,Order!$F:$F,"",0,1))</f>
        <v>6000</v>
      </c>
      <c r="G2286" s="4" t="str">
        <f>IF($C2286="","",_xlfn.XLOOKUP($C2286,Order!$C:$C,Order!$G:$G,"",0,1))</f>
        <v>6063T5</v>
      </c>
      <c r="H2286" s="4">
        <f>IF($C2286="","",_xlfn.XLOOKUP($C2286,Order!$C:$C,Order!$H:$H,"",0,1))</f>
        <v>0.249</v>
      </c>
      <c r="I2286" s="36">
        <f>IF($C2286="","",_xlfn.XLOOKUP($C2286,Order!$C:$C,Order!$O:$O,"",0,1))</f>
        <v>0</v>
      </c>
      <c r="J2286" s="4" t="str">
        <f>IF(C2286="","",Order!$O$16)</f>
        <v>WOOD FINISH (BA)</v>
      </c>
      <c r="K2286" s="36">
        <f>IF($C2286="","",_xlfn.XLOOKUP($C2286,Order!$C:$C,Order!$P:$P,"",0,1))</f>
        <v>0</v>
      </c>
      <c r="L2286" s="4">
        <f t="shared" si="35"/>
        <v>0</v>
      </c>
    </row>
    <row r="2287" spans="2:12" ht="23.25" hidden="1" customHeight="1" x14ac:dyDescent="0.25">
      <c r="B2287" s="4">
        <v>2282</v>
      </c>
      <c r="C2287" s="36" t="str">
        <f>IF(Order!$C$228="","",Order!$C$228)</f>
        <v>AL003L</v>
      </c>
      <c r="D2287" s="36" t="str">
        <f>IF($C2287="","",_xlfn.XLOOKUP($C2287,Order!$C:$C,Order!$D:$D,"",0,1))</f>
        <v>AL003L</v>
      </c>
      <c r="E2287" s="4" t="e" vm="412">
        <f>IF($C2287="","",_xlfn.XLOOKUP($C2287,Order!$C:$C,Order!$E:$E,"",0,1))</f>
        <v>#VALUE!</v>
      </c>
      <c r="F2287" s="4">
        <f>IF($C2287="","",_xlfn.XLOOKUP($C2287,Order!$C:$C,Order!$F:$F,"",0,1))</f>
        <v>6000</v>
      </c>
      <c r="G2287" s="4" t="str">
        <f>IF($C2287="","",_xlfn.XLOOKUP($C2287,Order!$C:$C,Order!$G:$G,"",0,1))</f>
        <v>6063T5</v>
      </c>
      <c r="H2287" s="4">
        <f>IF($C2287="","",_xlfn.XLOOKUP($C2287,Order!$C:$C,Order!$H:$H,"",0,1))</f>
        <v>0.23</v>
      </c>
      <c r="I2287" s="36">
        <f>IF($C2287="","",_xlfn.XLOOKUP($C2287,Order!$C:$C,Order!$O:$O,"",0,1))</f>
        <v>0</v>
      </c>
      <c r="J2287" s="4" t="str">
        <f>IF(C2287="","",Order!$O$16)</f>
        <v>WOOD FINISH (BA)</v>
      </c>
      <c r="K2287" s="36">
        <f>IF($C2287="","",_xlfn.XLOOKUP($C2287,Order!$C:$C,Order!$P:$P,"",0,1))</f>
        <v>0</v>
      </c>
      <c r="L2287" s="4">
        <f t="shared" si="35"/>
        <v>0</v>
      </c>
    </row>
    <row r="2288" spans="2:12" ht="23.25" hidden="1" customHeight="1" x14ac:dyDescent="0.25">
      <c r="B2288" s="4">
        <v>2283</v>
      </c>
      <c r="C2288" s="36" t="str">
        <f>IF(Order!$C$229="","",Order!$C$229)</f>
        <v>MT0066</v>
      </c>
      <c r="D2288" s="36" t="str">
        <f>IF($C2288="","",_xlfn.XLOOKUP($C2288,Order!$C:$C,Order!$D:$D,"",0,1))</f>
        <v>MT0066(PU010)</v>
      </c>
      <c r="E2288" s="4" t="e" vm="413">
        <f>IF($C2288="","",_xlfn.XLOOKUP($C2288,Order!$C:$C,Order!$E:$E,"",0,1))</f>
        <v>#VALUE!</v>
      </c>
      <c r="F2288" s="4">
        <f>IF($C2288="","",_xlfn.XLOOKUP($C2288,Order!$C:$C,Order!$F:$F,"",0,1))</f>
        <v>6000</v>
      </c>
      <c r="G2288" s="4" t="str">
        <f>IF($C2288="","",_xlfn.XLOOKUP($C2288,Order!$C:$C,Order!$G:$G,"",0,1))</f>
        <v>6063T5</v>
      </c>
      <c r="H2288" s="4">
        <f>IF($C2288="","",_xlfn.XLOOKUP($C2288,Order!$C:$C,Order!$H:$H,"",0,1))</f>
        <v>0.11700000000000001</v>
      </c>
      <c r="I2288" s="36">
        <f>IF($C2288="","",_xlfn.XLOOKUP($C2288,Order!$C:$C,Order!$O:$O,"",0,1))</f>
        <v>0</v>
      </c>
      <c r="J2288" s="4" t="str">
        <f>IF(C2288="","",Order!$O$16)</f>
        <v>WOOD FINISH (BA)</v>
      </c>
      <c r="K2288" s="36">
        <f>IF($C2288="","",_xlfn.XLOOKUP($C2288,Order!$C:$C,Order!$P:$P,"",0,1))</f>
        <v>0</v>
      </c>
      <c r="L2288" s="4">
        <f t="shared" si="35"/>
        <v>0</v>
      </c>
    </row>
    <row r="2289" spans="2:12" ht="23.25" hidden="1" customHeight="1" x14ac:dyDescent="0.25">
      <c r="B2289" s="4">
        <v>2284</v>
      </c>
      <c r="C2289" s="36" t="str">
        <f>IF(Order!$C$230="","",Order!$C$230)</f>
        <v>MT0067</v>
      </c>
      <c r="D2289" s="36" t="str">
        <f>IF($C2289="","",_xlfn.XLOOKUP($C2289,Order!$C:$C,Order!$D:$D,"",0,1))</f>
        <v>MT0067(PU008)</v>
      </c>
      <c r="E2289" s="4" t="e" vm="414">
        <f>IF($C2289="","",_xlfn.XLOOKUP($C2289,Order!$C:$C,Order!$E:$E,"",0,1))</f>
        <v>#VALUE!</v>
      </c>
      <c r="F2289" s="4">
        <f>IF($C2289="","",_xlfn.XLOOKUP($C2289,Order!$C:$C,Order!$F:$F,"",0,1))</f>
        <v>6000</v>
      </c>
      <c r="G2289" s="4" t="str">
        <f>IF($C2289="","",_xlfn.XLOOKUP($C2289,Order!$C:$C,Order!$G:$G,"",0,1))</f>
        <v>6063T5</v>
      </c>
      <c r="H2289" s="4">
        <f>IF($C2289="","",_xlfn.XLOOKUP($C2289,Order!$C:$C,Order!$H:$H,"",0,1))</f>
        <v>0.11</v>
      </c>
      <c r="I2289" s="36">
        <f>IF($C2289="","",_xlfn.XLOOKUP($C2289,Order!$C:$C,Order!$O:$O,"",0,1))</f>
        <v>0</v>
      </c>
      <c r="J2289" s="4" t="str">
        <f>IF(C2289="","",Order!$O$16)</f>
        <v>WOOD FINISH (BA)</v>
      </c>
      <c r="K2289" s="36">
        <f>IF($C2289="","",_xlfn.XLOOKUP($C2289,Order!$C:$C,Order!$P:$P,"",0,1))</f>
        <v>0</v>
      </c>
      <c r="L2289" s="4">
        <f t="shared" si="35"/>
        <v>0</v>
      </c>
    </row>
    <row r="2290" spans="2:12" ht="23.25" hidden="1" customHeight="1" x14ac:dyDescent="0.25">
      <c r="B2290" s="4">
        <v>2285</v>
      </c>
      <c r="C2290" s="36" t="str">
        <f>IF(Order!$C$231="","",Order!$C$231)</f>
        <v>MT0080</v>
      </c>
      <c r="D2290" s="36" t="str">
        <f>IF($C2290="","",_xlfn.XLOOKUP($C2290,Order!$C:$C,Order!$D:$D,"",0,1))</f>
        <v>MT0080</v>
      </c>
      <c r="E2290" s="4" t="e" vm="415">
        <f>IF($C2290="","",_xlfn.XLOOKUP($C2290,Order!$C:$C,Order!$E:$E,"",0,1))</f>
        <v>#VALUE!</v>
      </c>
      <c r="F2290" s="4">
        <f>IF($C2290="","",_xlfn.XLOOKUP($C2290,Order!$C:$C,Order!$F:$F,"",0,1))</f>
        <v>6000</v>
      </c>
      <c r="G2290" s="4" t="str">
        <f>IF($C2290="","",_xlfn.XLOOKUP($C2290,Order!$C:$C,Order!$G:$G,"",0,1))</f>
        <v>6063T5</v>
      </c>
      <c r="H2290" s="4">
        <f>IF($C2290="","",_xlfn.XLOOKUP($C2290,Order!$C:$C,Order!$H:$H,"",0,1))</f>
        <v>0.32200000000000001</v>
      </c>
      <c r="I2290" s="36">
        <f>IF($C2290="","",_xlfn.XLOOKUP($C2290,Order!$C:$C,Order!$O:$O,"",0,1))</f>
        <v>0</v>
      </c>
      <c r="J2290" s="4" t="str">
        <f>IF(C2290="","",Order!$O$16)</f>
        <v>WOOD FINISH (BA)</v>
      </c>
      <c r="K2290" s="36">
        <f>IF($C2290="","",_xlfn.XLOOKUP($C2290,Order!$C:$C,Order!$P:$P,"",0,1))</f>
        <v>0</v>
      </c>
      <c r="L2290" s="4">
        <f t="shared" si="35"/>
        <v>0</v>
      </c>
    </row>
    <row r="2291" spans="2:12" ht="23.25" hidden="1" customHeight="1" x14ac:dyDescent="0.25">
      <c r="B2291" s="4">
        <v>2286</v>
      </c>
      <c r="C2291" s="36" t="str">
        <f>IF(Order!$C$232="","",Order!$C$232)</f>
        <v>MT0088</v>
      </c>
      <c r="D2291" s="36" t="str">
        <f>IF($C2291="","",_xlfn.XLOOKUP($C2291,Order!$C:$C,Order!$D:$D,"",0,1))</f>
        <v>MT0088</v>
      </c>
      <c r="E2291" s="4" t="e" vm="416">
        <f>IF($C2291="","",_xlfn.XLOOKUP($C2291,Order!$C:$C,Order!$E:$E,"",0,1))</f>
        <v>#VALUE!</v>
      </c>
      <c r="F2291" s="4">
        <f>IF($C2291="","",_xlfn.XLOOKUP($C2291,Order!$C:$C,Order!$F:$F,"",0,1))</f>
        <v>6000</v>
      </c>
      <c r="G2291" s="4" t="str">
        <f>IF($C2291="","",_xlfn.XLOOKUP($C2291,Order!$C:$C,Order!$G:$G,"",0,1))</f>
        <v>6063T5</v>
      </c>
      <c r="H2291" s="4">
        <f>IF($C2291="","",_xlfn.XLOOKUP($C2291,Order!$C:$C,Order!$H:$H,"",0,1))</f>
        <v>0.26400000000000001</v>
      </c>
      <c r="I2291" s="36">
        <f>IF($C2291="","",_xlfn.XLOOKUP($C2291,Order!$C:$C,Order!$O:$O,"",0,1))</f>
        <v>0</v>
      </c>
      <c r="J2291" s="4" t="str">
        <f>IF(C2291="","",Order!$O$16)</f>
        <v>WOOD FINISH (BA)</v>
      </c>
      <c r="K2291" s="36">
        <f>IF($C2291="","",_xlfn.XLOOKUP($C2291,Order!$C:$C,Order!$P:$P,"",0,1))</f>
        <v>0</v>
      </c>
      <c r="L2291" s="4">
        <f t="shared" si="35"/>
        <v>0</v>
      </c>
    </row>
    <row r="2292" spans="2:12" ht="23.25" hidden="1" customHeight="1" x14ac:dyDescent="0.25">
      <c r="B2292" s="4">
        <v>2287</v>
      </c>
      <c r="C2292" s="36" t="str">
        <f>IF(Order!$C$233="","",Order!$C$233)</f>
        <v>MT0089</v>
      </c>
      <c r="D2292" s="36" t="str">
        <f>IF($C2292="","",_xlfn.XLOOKUP($C2292,Order!$C:$C,Order!$D:$D,"",0,1))</f>
        <v>MT0089</v>
      </c>
      <c r="E2292" s="4" t="e" vm="417">
        <f>IF($C2292="","",_xlfn.XLOOKUP($C2292,Order!$C:$C,Order!$E:$E,"",0,1))</f>
        <v>#VALUE!</v>
      </c>
      <c r="F2292" s="4">
        <f>IF($C2292="","",_xlfn.XLOOKUP($C2292,Order!$C:$C,Order!$F:$F,"",0,1))</f>
        <v>6000</v>
      </c>
      <c r="G2292" s="4" t="str">
        <f>IF($C2292="","",_xlfn.XLOOKUP($C2292,Order!$C:$C,Order!$G:$G,"",0,1))</f>
        <v>6063T5</v>
      </c>
      <c r="H2292" s="4">
        <f>IF($C2292="","",_xlfn.XLOOKUP($C2292,Order!$C:$C,Order!$H:$H,"",0,1))</f>
        <v>7.9000000000000001E-2</v>
      </c>
      <c r="I2292" s="36">
        <f>IF($C2292="","",_xlfn.XLOOKUP($C2292,Order!$C:$C,Order!$O:$O,"",0,1))</f>
        <v>0</v>
      </c>
      <c r="J2292" s="4" t="str">
        <f>IF(C2292="","",Order!$O$16)</f>
        <v>WOOD FINISH (BA)</v>
      </c>
      <c r="K2292" s="36">
        <f>IF($C2292="","",_xlfn.XLOOKUP($C2292,Order!$C:$C,Order!$P:$P,"",0,1))</f>
        <v>0</v>
      </c>
      <c r="L2292" s="4">
        <f t="shared" si="35"/>
        <v>0</v>
      </c>
    </row>
    <row r="2293" spans="2:12" ht="23.25" hidden="1" customHeight="1" x14ac:dyDescent="0.25">
      <c r="B2293" s="4">
        <v>2288</v>
      </c>
      <c r="C2293" s="36" t="str">
        <f>IF(Order!$C$234="","",Order!$C$234)</f>
        <v>MT0090</v>
      </c>
      <c r="D2293" s="36" t="str">
        <f>IF($C2293="","",_xlfn.XLOOKUP($C2293,Order!$C:$C,Order!$D:$D,"",0,1))</f>
        <v>MT0090</v>
      </c>
      <c r="E2293" s="4" t="e" vm="418">
        <f>IF($C2293="","",_xlfn.XLOOKUP($C2293,Order!$C:$C,Order!$E:$E,"",0,1))</f>
        <v>#VALUE!</v>
      </c>
      <c r="F2293" s="4">
        <f>IF($C2293="","",_xlfn.XLOOKUP($C2293,Order!$C:$C,Order!$F:$F,"",0,1))</f>
        <v>6000</v>
      </c>
      <c r="G2293" s="4" t="str">
        <f>IF($C2293="","",_xlfn.XLOOKUP($C2293,Order!$C:$C,Order!$G:$G,"",0,1))</f>
        <v>6063T5</v>
      </c>
      <c r="H2293" s="4">
        <f>IF($C2293="","",_xlfn.XLOOKUP($C2293,Order!$C:$C,Order!$H:$H,"",0,1))</f>
        <v>0.55600000000000005</v>
      </c>
      <c r="I2293" s="36">
        <f>IF($C2293="","",_xlfn.XLOOKUP($C2293,Order!$C:$C,Order!$O:$O,"",0,1))</f>
        <v>0</v>
      </c>
      <c r="J2293" s="4" t="str">
        <f>IF(C2293="","",Order!$O$16)</f>
        <v>WOOD FINISH (BA)</v>
      </c>
      <c r="K2293" s="36">
        <f>IF($C2293="","",_xlfn.XLOOKUP($C2293,Order!$C:$C,Order!$P:$P,"",0,1))</f>
        <v>0</v>
      </c>
      <c r="L2293" s="4">
        <f t="shared" si="35"/>
        <v>0</v>
      </c>
    </row>
    <row r="2294" spans="2:12" ht="23.25" hidden="1" customHeight="1" x14ac:dyDescent="0.25">
      <c r="B2294" s="4">
        <v>2289</v>
      </c>
      <c r="C2294" s="36" t="str">
        <f>IF(Order!$C$235="","",Order!$C$235)</f>
        <v>BX128</v>
      </c>
      <c r="D2294" s="36" t="str">
        <f>IF($C2294="","",_xlfn.XLOOKUP($C2294,Order!$C:$C,Order!$D:$D,"",0,1))</f>
        <v>BX128</v>
      </c>
      <c r="E2294" s="4" t="e" vm="419">
        <f>IF($C2294="","",_xlfn.XLOOKUP($C2294,Order!$C:$C,Order!$E:$E,"",0,1))</f>
        <v>#VALUE!</v>
      </c>
      <c r="F2294" s="4">
        <f>IF($C2294="","",_xlfn.XLOOKUP($C2294,Order!$C:$C,Order!$F:$F,"",0,1))</f>
        <v>6000</v>
      </c>
      <c r="G2294" s="4" t="str">
        <f>IF($C2294="","",_xlfn.XLOOKUP($C2294,Order!$C:$C,Order!$G:$G,"",0,1))</f>
        <v>6063T5</v>
      </c>
      <c r="H2294" s="4">
        <f>IF($C2294="","",_xlfn.XLOOKUP($C2294,Order!$C:$C,Order!$H:$H,"",0,1))</f>
        <v>0.16900000000000001</v>
      </c>
      <c r="I2294" s="36">
        <f>IF($C2294="","",_xlfn.XLOOKUP($C2294,Order!$C:$C,Order!$O:$O,"",0,1))</f>
        <v>0</v>
      </c>
      <c r="J2294" s="4" t="str">
        <f>IF(C2294="","",Order!$O$16)</f>
        <v>WOOD FINISH (BA)</v>
      </c>
      <c r="K2294" s="36">
        <f>IF($C2294="","",_xlfn.XLOOKUP($C2294,Order!$C:$C,Order!$P:$P,"",0,1))</f>
        <v>0</v>
      </c>
      <c r="L2294" s="4">
        <f t="shared" si="35"/>
        <v>0</v>
      </c>
    </row>
    <row r="2295" spans="2:12" ht="23.25" hidden="1" customHeight="1" x14ac:dyDescent="0.25">
      <c r="B2295" s="4">
        <v>2290</v>
      </c>
      <c r="C2295" s="36" t="str">
        <f>IF(Order!$C$236="","",Order!$C$236)</f>
        <v>BX626</v>
      </c>
      <c r="D2295" s="36" t="str">
        <f>IF($C2295="","",_xlfn.XLOOKUP($C2295,Order!$C:$C,Order!$D:$D,"",0,1))</f>
        <v>BX626</v>
      </c>
      <c r="E2295" s="4" t="e" vm="420">
        <f>IF($C2295="","",_xlfn.XLOOKUP($C2295,Order!$C:$C,Order!$E:$E,"",0,1))</f>
        <v>#VALUE!</v>
      </c>
      <c r="F2295" s="4">
        <f>IF($C2295="","",_xlfn.XLOOKUP($C2295,Order!$C:$C,Order!$F:$F,"",0,1))</f>
        <v>6000</v>
      </c>
      <c r="G2295" s="4" t="str">
        <f>IF($C2295="","",_xlfn.XLOOKUP($C2295,Order!$C:$C,Order!$G:$G,"",0,1))</f>
        <v>6063T5</v>
      </c>
      <c r="H2295" s="4">
        <f>IF($C2295="","",_xlfn.XLOOKUP($C2295,Order!$C:$C,Order!$H:$H,"",0,1))</f>
        <v>0.13800000000000001</v>
      </c>
      <c r="I2295" s="36">
        <f>IF($C2295="","",_xlfn.XLOOKUP($C2295,Order!$C:$C,Order!$O:$O,"",0,1))</f>
        <v>0</v>
      </c>
      <c r="J2295" s="4" t="str">
        <f>IF(C2295="","",Order!$O$16)</f>
        <v>WOOD FINISH (BA)</v>
      </c>
      <c r="K2295" s="36">
        <f>IF($C2295="","",_xlfn.XLOOKUP($C2295,Order!$C:$C,Order!$P:$P,"",0,1))</f>
        <v>0</v>
      </c>
      <c r="L2295" s="4">
        <f t="shared" si="35"/>
        <v>0</v>
      </c>
    </row>
    <row r="2296" spans="2:12" ht="23.25" hidden="1" customHeight="1" x14ac:dyDescent="0.25">
      <c r="B2296" s="4">
        <v>2291</v>
      </c>
      <c r="C2296" s="36" t="str">
        <f>IF(Order!$C$237="","",Order!$C$237)</f>
        <v>BT807</v>
      </c>
      <c r="D2296" s="36" t="str">
        <f>IF($C2296="","",_xlfn.XLOOKUP($C2296,Order!$C:$C,Order!$D:$D,"",0,1))</f>
        <v>BT807</v>
      </c>
      <c r="E2296" s="4" t="e" vm="421">
        <f>IF($C2296="","",_xlfn.XLOOKUP($C2296,Order!$C:$C,Order!$E:$E,"",0,1))</f>
        <v>#VALUE!</v>
      </c>
      <c r="F2296" s="4">
        <f>IF($C2296="","",_xlfn.XLOOKUP($C2296,Order!$C:$C,Order!$F:$F,"",0,1))</f>
        <v>6000</v>
      </c>
      <c r="G2296" s="4" t="str">
        <f>IF($C2296="","",_xlfn.XLOOKUP($C2296,Order!$C:$C,Order!$G:$G,"",0,1))</f>
        <v>6063T5</v>
      </c>
      <c r="H2296" s="4">
        <f>IF($C2296="","",_xlfn.XLOOKUP($C2296,Order!$C:$C,Order!$H:$H,"",0,1))</f>
        <v>0.153</v>
      </c>
      <c r="I2296" s="36">
        <f>IF($C2296="","",_xlfn.XLOOKUP($C2296,Order!$C:$C,Order!$O:$O,"",0,1))</f>
        <v>0</v>
      </c>
      <c r="J2296" s="4" t="str">
        <f>IF(C2296="","",Order!$O$16)</f>
        <v>WOOD FINISH (BA)</v>
      </c>
      <c r="K2296" s="36">
        <f>IF($C2296="","",_xlfn.XLOOKUP($C2296,Order!$C:$C,Order!$P:$P,"",0,1))</f>
        <v>0</v>
      </c>
      <c r="L2296" s="4">
        <f t="shared" si="35"/>
        <v>0</v>
      </c>
    </row>
    <row r="2297" spans="2:12" ht="23.25" hidden="1" customHeight="1" x14ac:dyDescent="0.25">
      <c r="B2297" s="4">
        <v>2292</v>
      </c>
      <c r="C2297" s="36" t="str">
        <f>IF(Order!$C$238="","",Order!$C$238)</f>
        <v>BX013</v>
      </c>
      <c r="D2297" s="36" t="str">
        <f>IF($C2297="","",_xlfn.XLOOKUP($C2297,Order!$C:$C,Order!$D:$D,"",0,1))</f>
        <v>BX013</v>
      </c>
      <c r="E2297" s="4" t="e" vm="422">
        <f>IF($C2297="","",_xlfn.XLOOKUP($C2297,Order!$C:$C,Order!$E:$E,"",0,1))</f>
        <v>#VALUE!</v>
      </c>
      <c r="F2297" s="4">
        <f>IF($C2297="","",_xlfn.XLOOKUP($C2297,Order!$C:$C,Order!$F:$F,"",0,1))</f>
        <v>6000</v>
      </c>
      <c r="G2297" s="4" t="str">
        <f>IF($C2297="","",_xlfn.XLOOKUP($C2297,Order!$C:$C,Order!$G:$G,"",0,1))</f>
        <v>6063T5</v>
      </c>
      <c r="H2297" s="4">
        <f>IF($C2297="","",_xlfn.XLOOKUP($C2297,Order!$C:$C,Order!$H:$H,"",0,1))</f>
        <v>0</v>
      </c>
      <c r="I2297" s="36">
        <f>IF($C2297="","",_xlfn.XLOOKUP($C2297,Order!$C:$C,Order!$O:$O,"",0,1))</f>
        <v>0</v>
      </c>
      <c r="J2297" s="4" t="str">
        <f>IF(C2297="","",Order!$O$16)</f>
        <v>WOOD FINISH (BA)</v>
      </c>
      <c r="K2297" s="36">
        <f>IF($C2297="","",_xlfn.XLOOKUP($C2297,Order!$C:$C,Order!$P:$P,"",0,1))</f>
        <v>0</v>
      </c>
      <c r="L2297" s="4">
        <f t="shared" si="35"/>
        <v>0</v>
      </c>
    </row>
    <row r="2298" spans="2:12" ht="23.25" hidden="1" customHeight="1" x14ac:dyDescent="0.25">
      <c r="B2298" s="4">
        <v>2293</v>
      </c>
      <c r="C2298" s="36" t="str">
        <f>IF(Order!$C$239="","",Order!$C$239)</f>
        <v>BX014</v>
      </c>
      <c r="D2298" s="36" t="str">
        <f>IF($C2298="","",_xlfn.XLOOKUP($C2298,Order!$C:$C,Order!$D:$D,"",0,1))</f>
        <v>BX014</v>
      </c>
      <c r="E2298" s="4" t="e" vm="423">
        <f>IF($C2298="","",_xlfn.XLOOKUP($C2298,Order!$C:$C,Order!$E:$E,"",0,1))</f>
        <v>#VALUE!</v>
      </c>
      <c r="F2298" s="4">
        <f>IF($C2298="","",_xlfn.XLOOKUP($C2298,Order!$C:$C,Order!$F:$F,"",0,1))</f>
        <v>6000</v>
      </c>
      <c r="G2298" s="4" t="str">
        <f>IF($C2298="","",_xlfn.XLOOKUP($C2298,Order!$C:$C,Order!$G:$G,"",0,1))</f>
        <v>6063T5</v>
      </c>
      <c r="H2298" s="4">
        <f>IF($C2298="","",_xlfn.XLOOKUP($C2298,Order!$C:$C,Order!$H:$H,"",0,1))</f>
        <v>0</v>
      </c>
      <c r="I2298" s="36">
        <f>IF($C2298="","",_xlfn.XLOOKUP($C2298,Order!$C:$C,Order!$O:$O,"",0,1))</f>
        <v>0</v>
      </c>
      <c r="J2298" s="4" t="str">
        <f>IF(C2298="","",Order!$O$16)</f>
        <v>WOOD FINISH (BA)</v>
      </c>
      <c r="K2298" s="36">
        <f>IF($C2298="","",_xlfn.XLOOKUP($C2298,Order!$C:$C,Order!$P:$P,"",0,1))</f>
        <v>0</v>
      </c>
      <c r="L2298" s="4">
        <f t="shared" si="35"/>
        <v>0</v>
      </c>
    </row>
    <row r="2299" spans="2:12" ht="23.25" hidden="1" customHeight="1" x14ac:dyDescent="0.25">
      <c r="B2299" s="4">
        <v>2294</v>
      </c>
      <c r="C2299" s="36" t="str">
        <f>IF(Order!$C$240="","",Order!$C$240)</f>
        <v>BX016</v>
      </c>
      <c r="D2299" s="36" t="str">
        <f>IF($C2299="","",_xlfn.XLOOKUP($C2299,Order!$C:$C,Order!$D:$D,"",0,1))</f>
        <v>BX016</v>
      </c>
      <c r="E2299" s="4" t="e" vm="424">
        <f>IF($C2299="","",_xlfn.XLOOKUP($C2299,Order!$C:$C,Order!$E:$E,"",0,1))</f>
        <v>#VALUE!</v>
      </c>
      <c r="F2299" s="4">
        <f>IF($C2299="","",_xlfn.XLOOKUP($C2299,Order!$C:$C,Order!$F:$F,"",0,1))</f>
        <v>6000</v>
      </c>
      <c r="G2299" s="4" t="str">
        <f>IF($C2299="","",_xlfn.XLOOKUP($C2299,Order!$C:$C,Order!$G:$G,"",0,1))</f>
        <v>6063T5</v>
      </c>
      <c r="H2299" s="4">
        <f>IF($C2299="","",_xlfn.XLOOKUP($C2299,Order!$C:$C,Order!$H:$H,"",0,1))</f>
        <v>0</v>
      </c>
      <c r="I2299" s="36">
        <f>IF($C2299="","",_xlfn.XLOOKUP($C2299,Order!$C:$C,Order!$O:$O,"",0,1))</f>
        <v>0</v>
      </c>
      <c r="J2299" s="4" t="str">
        <f>IF(C2299="","",Order!$O$16)</f>
        <v>WOOD FINISH (BA)</v>
      </c>
      <c r="K2299" s="36">
        <f>IF($C2299="","",_xlfn.XLOOKUP($C2299,Order!$C:$C,Order!$P:$P,"",0,1))</f>
        <v>0</v>
      </c>
      <c r="L2299" s="4">
        <f t="shared" si="35"/>
        <v>0</v>
      </c>
    </row>
    <row r="2300" spans="2:12" ht="23.25" hidden="1" customHeight="1" x14ac:dyDescent="0.25">
      <c r="B2300" s="4">
        <v>2295</v>
      </c>
      <c r="C2300" s="36" t="str">
        <f>IF(Order!$C$241="","",Order!$C$241)</f>
        <v>MT0079 (Infeiror de engenharia 10 mm)</v>
      </c>
      <c r="D2300" s="36" t="str">
        <f>IF($C2300="","",_xlfn.XLOOKUP($C2300,Order!$C:$C,Order!$D:$D,"",0,1))</f>
        <v>MT0079</v>
      </c>
      <c r="E2300" s="4" t="e" vm="425">
        <f>IF($C2300="","",_xlfn.XLOOKUP($C2300,Order!$C:$C,Order!$E:$E,"",0,1))</f>
        <v>#VALUE!</v>
      </c>
      <c r="F2300" s="4">
        <f>IF($C2300="","",_xlfn.XLOOKUP($C2300,Order!$C:$C,Order!$F:$F,"",0,1))</f>
        <v>6000</v>
      </c>
      <c r="G2300" s="4" t="str">
        <f>IF($C2300="","",_xlfn.XLOOKUP($C2300,Order!$C:$C,Order!$G:$G,"",0,1))</f>
        <v>6063T5</v>
      </c>
      <c r="H2300" s="4">
        <f>IF($C2300="","",_xlfn.XLOOKUP($C2300,Order!$C:$C,Order!$H:$H,"",0,1))</f>
        <v>0.439</v>
      </c>
      <c r="I2300" s="36">
        <f>IF($C2300="","",_xlfn.XLOOKUP($C2300,Order!$C:$C,Order!$O:$O,"",0,1))</f>
        <v>0</v>
      </c>
      <c r="J2300" s="4" t="str">
        <f>IF(C2300="","",Order!$O$16)</f>
        <v>WOOD FINISH (BA)</v>
      </c>
      <c r="K2300" s="36">
        <f>IF($C2300="","",_xlfn.XLOOKUP($C2300,Order!$C:$C,Order!$P:$P,"",0,1))</f>
        <v>0</v>
      </c>
      <c r="L2300" s="4">
        <f t="shared" si="35"/>
        <v>0</v>
      </c>
    </row>
    <row r="2301" spans="2:12" ht="23.25" hidden="1" customHeight="1" x14ac:dyDescent="0.25">
      <c r="B2301" s="4">
        <v>2296</v>
      </c>
      <c r="C2301" s="36" t="str">
        <f>IF(Order!$C$242="","",Order!$C$242)</f>
        <v>MT0092 (Inferior engenharia de 10mm)</v>
      </c>
      <c r="D2301" s="36" t="str">
        <f>IF($C2301="","",_xlfn.XLOOKUP($C2301,Order!$C:$C,Order!$D:$D,"",0,1))</f>
        <v>MT0092</v>
      </c>
      <c r="E2301" s="4" t="e" vm="426">
        <f>IF($C2301="","",_xlfn.XLOOKUP($C2301,Order!$C:$C,Order!$E:$E,"",0,1))</f>
        <v>#VALUE!</v>
      </c>
      <c r="F2301" s="4">
        <f>IF($C2301="","",_xlfn.XLOOKUP($C2301,Order!$C:$C,Order!$F:$F,"",0,1))</f>
        <v>6000</v>
      </c>
      <c r="G2301" s="4" t="str">
        <f>IF($C2301="","",_xlfn.XLOOKUP($C2301,Order!$C:$C,Order!$G:$G,"",0,1))</f>
        <v>6063T5</v>
      </c>
      <c r="H2301" s="4">
        <f>IF($C2301="","",_xlfn.XLOOKUP($C2301,Order!$C:$C,Order!$H:$H,"",0,1))</f>
        <v>0.39700000000000002</v>
      </c>
      <c r="I2301" s="36">
        <f>IF($C2301="","",_xlfn.XLOOKUP($C2301,Order!$C:$C,Order!$O:$O,"",0,1))</f>
        <v>0</v>
      </c>
      <c r="J2301" s="4" t="str">
        <f>IF(C2301="","",Order!$O$16)</f>
        <v>WOOD FINISH (BA)</v>
      </c>
      <c r="K2301" s="36">
        <f>IF($C2301="","",_xlfn.XLOOKUP($C2301,Order!$C:$C,Order!$P:$P,"",0,1))</f>
        <v>0</v>
      </c>
      <c r="L2301" s="4">
        <f t="shared" si="35"/>
        <v>0</v>
      </c>
    </row>
    <row r="2302" spans="2:12" ht="23.25" hidden="1" customHeight="1" x14ac:dyDescent="0.25">
      <c r="B2302" s="4">
        <v>2297</v>
      </c>
      <c r="C2302" s="36" t="str">
        <f>IF(Order!$C$243="","",Order!$C$243)</f>
        <v>MT0093 (Superior engenharia 10 mm)</v>
      </c>
      <c r="D2302" s="36" t="str">
        <f>IF($C2302="","",_xlfn.XLOOKUP($C2302,Order!$C:$C,Order!$D:$D,"",0,1))</f>
        <v>MT0093</v>
      </c>
      <c r="E2302" s="4" t="e" vm="427">
        <f>IF($C2302="","",_xlfn.XLOOKUP($C2302,Order!$C:$C,Order!$E:$E,"",0,1))</f>
        <v>#VALUE!</v>
      </c>
      <c r="F2302" s="4">
        <f>IF($C2302="","",_xlfn.XLOOKUP($C2302,Order!$C:$C,Order!$F:$F,"",0,1))</f>
        <v>6000</v>
      </c>
      <c r="G2302" s="4" t="str">
        <f>IF($C2302="","",_xlfn.XLOOKUP($C2302,Order!$C:$C,Order!$G:$G,"",0,1))</f>
        <v>6063T5</v>
      </c>
      <c r="H2302" s="4">
        <f>IF($C2302="","",_xlfn.XLOOKUP($C2302,Order!$C:$C,Order!$H:$H,"",0,1))</f>
        <v>0.70499999999999996</v>
      </c>
      <c r="I2302" s="36">
        <f>IF($C2302="","",_xlfn.XLOOKUP($C2302,Order!$C:$C,Order!$O:$O,"",0,1))</f>
        <v>0</v>
      </c>
      <c r="J2302" s="4" t="str">
        <f>IF(C2302="","",Order!$O$16)</f>
        <v>WOOD FINISH (BA)</v>
      </c>
      <c r="K2302" s="36">
        <f>IF($C2302="","",_xlfn.XLOOKUP($C2302,Order!$C:$C,Order!$P:$P,"",0,1))</f>
        <v>0</v>
      </c>
      <c r="L2302" s="4">
        <f t="shared" si="35"/>
        <v>0</v>
      </c>
    </row>
    <row r="2303" spans="2:12" ht="23.25" hidden="1" customHeight="1" x14ac:dyDescent="0.25">
      <c r="B2303" s="4">
        <v>2298</v>
      </c>
      <c r="C2303" s="36" t="str">
        <f>IF(Order!$C$244="","",Order!$C$244)</f>
        <v>MT0094 (Capa engenharia de 10 mm)</v>
      </c>
      <c r="D2303" s="36" t="str">
        <f>IF($C2303="","",_xlfn.XLOOKUP($C2303,Order!$C:$C,Order!$D:$D,"",0,1))</f>
        <v>MT0094</v>
      </c>
      <c r="E2303" s="4" t="e" vm="428">
        <f>IF($C2303="","",_xlfn.XLOOKUP($C2303,Order!$C:$C,Order!$E:$E,"",0,1))</f>
        <v>#VALUE!</v>
      </c>
      <c r="F2303" s="4">
        <f>IF($C2303="","",_xlfn.XLOOKUP($C2303,Order!$C:$C,Order!$F:$F,"",0,1))</f>
        <v>6000</v>
      </c>
      <c r="G2303" s="4" t="str">
        <f>IF($C2303="","",_xlfn.XLOOKUP($C2303,Order!$C:$C,Order!$G:$G,"",0,1))</f>
        <v>6063T5</v>
      </c>
      <c r="H2303" s="4">
        <f>IF($C2303="","",_xlfn.XLOOKUP($C2303,Order!$C:$C,Order!$H:$H,"",0,1))</f>
        <v>0.29399999999999998</v>
      </c>
      <c r="I2303" s="36">
        <f>IF($C2303="","",_xlfn.XLOOKUP($C2303,Order!$C:$C,Order!$O:$O,"",0,1))</f>
        <v>0</v>
      </c>
      <c r="J2303" s="4" t="str">
        <f>IF(C2303="","",Order!$O$16)</f>
        <v>WOOD FINISH (BA)</v>
      </c>
      <c r="K2303" s="36">
        <f>IF($C2303="","",_xlfn.XLOOKUP($C2303,Order!$C:$C,Order!$P:$P,"",0,1))</f>
        <v>0</v>
      </c>
      <c r="L2303" s="4">
        <f t="shared" si="35"/>
        <v>0</v>
      </c>
    </row>
    <row r="2304" spans="2:12" ht="23.25" hidden="1" customHeight="1" x14ac:dyDescent="0.25">
      <c r="B2304" s="4">
        <v>2299</v>
      </c>
      <c r="C2304" s="36" t="str">
        <f>IF(Order!$C$245="","",Order!$C$245)</f>
        <v>MT0095 (BX330-Click Engenharia de 10 mm)</v>
      </c>
      <c r="D2304" s="36" t="str">
        <f>IF($C2304="","",_xlfn.XLOOKUP($C2304,Order!$C:$C,Order!$D:$D,"",0,1))</f>
        <v>MT0095</v>
      </c>
      <c r="E2304" s="4" t="e" vm="429">
        <f>IF($C2304="","",_xlfn.XLOOKUP($C2304,Order!$C:$C,Order!$E:$E,"",0,1))</f>
        <v>#VALUE!</v>
      </c>
      <c r="F2304" s="4">
        <f>IF($C2304="","",_xlfn.XLOOKUP($C2304,Order!$C:$C,Order!$F:$F,"",0,1))</f>
        <v>6000</v>
      </c>
      <c r="G2304" s="4" t="str">
        <f>IF($C2304="","",_xlfn.XLOOKUP($C2304,Order!$C:$C,Order!$G:$G,"",0,1))</f>
        <v>6063T5</v>
      </c>
      <c r="H2304" s="4">
        <f>IF($C2304="","",_xlfn.XLOOKUP($C2304,Order!$C:$C,Order!$H:$H,"",0,1))</f>
        <v>8.6999999999999994E-2</v>
      </c>
      <c r="I2304" s="36">
        <f>IF($C2304="","",_xlfn.XLOOKUP($C2304,Order!$C:$C,Order!$O:$O,"",0,1))</f>
        <v>0</v>
      </c>
      <c r="J2304" s="4" t="str">
        <f>IF(C2304="","",Order!$O$16)</f>
        <v>WOOD FINISH (BA)</v>
      </c>
      <c r="K2304" s="36">
        <f>IF($C2304="","",_xlfn.XLOOKUP($C2304,Order!$C:$C,Order!$P:$P,"",0,1))</f>
        <v>0</v>
      </c>
      <c r="L2304" s="4">
        <f t="shared" si="35"/>
        <v>0</v>
      </c>
    </row>
    <row r="2305" spans="2:12" ht="23.25" hidden="1" customHeight="1" x14ac:dyDescent="0.25">
      <c r="B2305" s="4">
        <v>2300</v>
      </c>
      <c r="C2305" s="36" t="str">
        <f>IF(Order!$C$246="","",Order!$C$246)</f>
        <v>BX054 (Inferior simples 10mm)</v>
      </c>
      <c r="D2305" s="36" t="str">
        <f>IF($C2305="","",_xlfn.XLOOKUP($C2305,Order!$C:$C,Order!$D:$D,"",0,1))</f>
        <v>BX054</v>
      </c>
      <c r="E2305" s="4" t="e" vm="430">
        <f>IF($C2305="","",_xlfn.XLOOKUP($C2305,Order!$C:$C,Order!$E:$E,"",0,1))</f>
        <v>#VALUE!</v>
      </c>
      <c r="F2305" s="4">
        <f>IF($C2305="","",_xlfn.XLOOKUP($C2305,Order!$C:$C,Order!$F:$F,"",0,1))</f>
        <v>6000</v>
      </c>
      <c r="G2305" s="4" t="str">
        <f>IF($C2305="","",_xlfn.XLOOKUP($C2305,Order!$C:$C,Order!$G:$G,"",0,1))</f>
        <v>6063T5</v>
      </c>
      <c r="H2305" s="4">
        <f>IF($C2305="","",_xlfn.XLOOKUP($C2305,Order!$C:$C,Order!$H:$H,"",0,1))</f>
        <v>0.28799999999999998</v>
      </c>
      <c r="I2305" s="36">
        <f>IF($C2305="","",_xlfn.XLOOKUP($C2305,Order!$C:$C,Order!$O:$O,"",0,1))</f>
        <v>0</v>
      </c>
      <c r="J2305" s="4" t="str">
        <f>IF(C2305="","",Order!$O$16)</f>
        <v>WOOD FINISH (BA)</v>
      </c>
      <c r="K2305" s="36">
        <f>IF($C2305="","",_xlfn.XLOOKUP($C2305,Order!$C:$C,Order!$P:$P,"",0,1))</f>
        <v>0</v>
      </c>
      <c r="L2305" s="4">
        <f t="shared" si="35"/>
        <v>0</v>
      </c>
    </row>
    <row r="2306" spans="2:12" ht="23.25" hidden="1" customHeight="1" x14ac:dyDescent="0.25">
      <c r="B2306" s="4">
        <v>2301</v>
      </c>
      <c r="C2306" s="36" t="str">
        <f>IF(Order!$C$247="","",Order!$C$247)</f>
        <v>BX130</v>
      </c>
      <c r="D2306" s="36" t="str">
        <f>IF($C2306="","",_xlfn.XLOOKUP($C2306,Order!$C:$C,Order!$D:$D,"",0,1))</f>
        <v>BX130</v>
      </c>
      <c r="E2306" s="4" t="e" vm="431">
        <f>IF($C2306="","",_xlfn.XLOOKUP($C2306,Order!$C:$C,Order!$E:$E,"",0,1))</f>
        <v>#VALUE!</v>
      </c>
      <c r="F2306" s="4">
        <f>IF($C2306="","",_xlfn.XLOOKUP($C2306,Order!$C:$C,Order!$F:$F,"",0,1))</f>
        <v>6000</v>
      </c>
      <c r="G2306" s="4" t="str">
        <f>IF($C2306="","",_xlfn.XLOOKUP($C2306,Order!$C:$C,Order!$G:$G,"",0,1))</f>
        <v>6063T5</v>
      </c>
      <c r="H2306" s="4">
        <f>IF($C2306="","",_xlfn.XLOOKUP($C2306,Order!$C:$C,Order!$H:$H,"",0,1))</f>
        <v>0.14199999999999999</v>
      </c>
      <c r="I2306" s="36">
        <f>IF($C2306="","",_xlfn.XLOOKUP($C2306,Order!$C:$C,Order!$O:$O,"",0,1))</f>
        <v>0</v>
      </c>
      <c r="J2306" s="4" t="str">
        <f>IF(C2306="","",Order!$O$16)</f>
        <v>WOOD FINISH (BA)</v>
      </c>
      <c r="K2306" s="36">
        <f>IF($C2306="","",_xlfn.XLOOKUP($C2306,Order!$C:$C,Order!$P:$P,"",0,1))</f>
        <v>0</v>
      </c>
      <c r="L2306" s="4">
        <f t="shared" si="35"/>
        <v>0</v>
      </c>
    </row>
    <row r="2307" spans="2:12" ht="23.25" hidden="1" customHeight="1" x14ac:dyDescent="0.25">
      <c r="B2307" s="4">
        <v>2302</v>
      </c>
      <c r="C2307" s="36" t="str">
        <f>IF(Order!$C$248="","",Order!$C$248)</f>
        <v>BX238</v>
      </c>
      <c r="D2307" s="36" t="str">
        <f>IF($C2307="","",_xlfn.XLOOKUP($C2307,Order!$C:$C,Order!$D:$D,"",0,1))</f>
        <v>BX238</v>
      </c>
      <c r="E2307" s="4" t="e" vm="432">
        <f>IF($C2307="","",_xlfn.XLOOKUP($C2307,Order!$C:$C,Order!$E:$E,"",0,1))</f>
        <v>#VALUE!</v>
      </c>
      <c r="F2307" s="4">
        <f>IF($C2307="","",_xlfn.XLOOKUP($C2307,Order!$C:$C,Order!$F:$F,"",0,1))</f>
        <v>6000</v>
      </c>
      <c r="G2307" s="4" t="str">
        <f>IF($C2307="","",_xlfn.XLOOKUP($C2307,Order!$C:$C,Order!$G:$G,"",0,1))</f>
        <v>6063T5</v>
      </c>
      <c r="H2307" s="4">
        <f>IF($C2307="","",_xlfn.XLOOKUP($C2307,Order!$C:$C,Order!$H:$H,"",0,1))</f>
        <v>0.35699999999999998</v>
      </c>
      <c r="I2307" s="36">
        <f>IF($C2307="","",_xlfn.XLOOKUP($C2307,Order!$C:$C,Order!$O:$O,"",0,1))</f>
        <v>0</v>
      </c>
      <c r="J2307" s="4" t="str">
        <f>IF(C2307="","",Order!$O$16)</f>
        <v>WOOD FINISH (BA)</v>
      </c>
      <c r="K2307" s="36">
        <f>IF($C2307="","",_xlfn.XLOOKUP($C2307,Order!$C:$C,Order!$P:$P,"",0,1))</f>
        <v>0</v>
      </c>
      <c r="L2307" s="4">
        <f t="shared" si="35"/>
        <v>0</v>
      </c>
    </row>
    <row r="2308" spans="2:12" ht="23.25" hidden="1" customHeight="1" x14ac:dyDescent="0.25">
      <c r="B2308" s="4">
        <v>2303</v>
      </c>
      <c r="C2308" s="36" t="str">
        <f>IF(Order!$C$249="","",Order!$C$249)</f>
        <v/>
      </c>
      <c r="D2308" s="36" t="str">
        <f>IF($C2308="","",_xlfn.XLOOKUP($C2308,Order!$C:$C,Order!$D:$D,"",0,1))</f>
        <v/>
      </c>
      <c r="E2308" s="4" t="str">
        <f>IF($C2308="","",_xlfn.XLOOKUP($C2308,Order!$C:$C,Order!$E:$E,"",0,1))</f>
        <v/>
      </c>
      <c r="F2308" s="4" t="str">
        <f>IF($C2308="","",_xlfn.XLOOKUP($C2308,Order!$C:$C,Order!$F:$F,"",0,1))</f>
        <v/>
      </c>
      <c r="G2308" s="4" t="str">
        <f>IF($C2308="","",_xlfn.XLOOKUP($C2308,Order!$C:$C,Order!$G:$G,"",0,1))</f>
        <v/>
      </c>
      <c r="H2308" s="4" t="str">
        <f>IF($C2308="","",_xlfn.XLOOKUP($C2308,Order!$C:$C,Order!$H:$H,"",0,1))</f>
        <v/>
      </c>
      <c r="I2308" s="36" t="str">
        <f>IF($C2308="","",_xlfn.XLOOKUP($C2308,Order!$C:$C,Order!$O:$O,"",0,1))</f>
        <v/>
      </c>
      <c r="J2308" s="4" t="str">
        <f>IF(C2308="","",Order!$O$16)</f>
        <v/>
      </c>
      <c r="K2308" s="36" t="str">
        <f>IF($C2308="","",_xlfn.XLOOKUP($C2308,Order!$C:$C,Order!$P:$P,"",0,1))</f>
        <v/>
      </c>
      <c r="L2308" s="4" t="str">
        <f t="shared" si="35"/>
        <v/>
      </c>
    </row>
    <row r="2309" spans="2:12" ht="23.25" hidden="1" customHeight="1" x14ac:dyDescent="0.25">
      <c r="B2309" s="4">
        <v>2304</v>
      </c>
      <c r="C2309" s="36" t="str">
        <f>IF(Order!$C$250="","",Order!$C$250)</f>
        <v>KP062</v>
      </c>
      <c r="D2309" s="36" t="str">
        <f>IF($C2309="","",_xlfn.XLOOKUP($C2309,Order!$C:$C,Order!$D:$D,"",0,1))</f>
        <v>KP062</v>
      </c>
      <c r="E2309" s="4" t="e" vm="433">
        <f>IF($C2309="","",_xlfn.XLOOKUP($C2309,Order!$C:$C,Order!$E:$E,"",0,1))</f>
        <v>#VALUE!</v>
      </c>
      <c r="F2309" s="4">
        <f>IF($C2309="","",_xlfn.XLOOKUP($C2309,Order!$C:$C,Order!$F:$F,"",0,1))</f>
        <v>6000</v>
      </c>
      <c r="G2309" s="4" t="str">
        <f>IF($C2309="","",_xlfn.XLOOKUP($C2309,Order!$C:$C,Order!$G:$G,"",0,1))</f>
        <v>6063T5</v>
      </c>
      <c r="H2309" s="4">
        <f>IF($C2309="","",_xlfn.XLOOKUP($C2309,Order!$C:$C,Order!$H:$H,"",0,1))</f>
        <v>0.17499999999999999</v>
      </c>
      <c r="I2309" s="36">
        <f>IF($C2309="","",_xlfn.XLOOKUP($C2309,Order!$C:$C,Order!$O:$O,"",0,1))</f>
        <v>0</v>
      </c>
      <c r="J2309" s="4" t="str">
        <f>IF(C2309="","",Order!$O$16)</f>
        <v>WOOD FINISH (BA)</v>
      </c>
      <c r="K2309" s="36">
        <f>IF($C2309="","",_xlfn.XLOOKUP($C2309,Order!$C:$C,Order!$P:$P,"",0,1))</f>
        <v>0</v>
      </c>
      <c r="L2309" s="4">
        <f t="shared" si="35"/>
        <v>0</v>
      </c>
    </row>
    <row r="2310" spans="2:12" ht="23.25" hidden="1" customHeight="1" x14ac:dyDescent="0.25">
      <c r="B2310" s="4">
        <v>2305</v>
      </c>
      <c r="C2310" s="36" t="str">
        <f>IF(Order!$C$251="","",Order!$C$251)</f>
        <v>KP063</v>
      </c>
      <c r="D2310" s="36" t="str">
        <f>IF($C2310="","",_xlfn.XLOOKUP($C2310,Order!$C:$C,Order!$D:$D,"",0,1))</f>
        <v>KP063</v>
      </c>
      <c r="E2310" s="4" t="e" vm="434">
        <f>IF($C2310="","",_xlfn.XLOOKUP($C2310,Order!$C:$C,Order!$E:$E,"",0,1))</f>
        <v>#VALUE!</v>
      </c>
      <c r="F2310" s="4">
        <f>IF($C2310="","",_xlfn.XLOOKUP($C2310,Order!$C:$C,Order!$F:$F,"",0,1))</f>
        <v>6000</v>
      </c>
      <c r="G2310" s="4" t="str">
        <f>IF($C2310="","",_xlfn.XLOOKUP($C2310,Order!$C:$C,Order!$G:$G,"",0,1))</f>
        <v>6063T5</v>
      </c>
      <c r="H2310" s="4">
        <f>IF($C2310="","",_xlfn.XLOOKUP($C2310,Order!$C:$C,Order!$H:$H,"",0,1))</f>
        <v>0.30199999999999999</v>
      </c>
      <c r="I2310" s="36">
        <f>IF($C2310="","",_xlfn.XLOOKUP($C2310,Order!$C:$C,Order!$O:$O,"",0,1))</f>
        <v>0</v>
      </c>
      <c r="J2310" s="4" t="str">
        <f>IF(C2310="","",Order!$O$16)</f>
        <v>WOOD FINISH (BA)</v>
      </c>
      <c r="K2310" s="36">
        <f>IF($C2310="","",_xlfn.XLOOKUP($C2310,Order!$C:$C,Order!$P:$P,"",0,1))</f>
        <v>0</v>
      </c>
      <c r="L2310" s="4">
        <f t="shared" si="35"/>
        <v>0</v>
      </c>
    </row>
    <row r="2311" spans="2:12" ht="23.25" hidden="1" customHeight="1" x14ac:dyDescent="0.25">
      <c r="B2311" s="4">
        <v>2306</v>
      </c>
      <c r="C2311" s="36" t="str">
        <f>IF(Order!$C$252="","",Order!$C$252)</f>
        <v>KP064</v>
      </c>
      <c r="D2311" s="36" t="str">
        <f>IF($C2311="","",_xlfn.XLOOKUP($C2311,Order!$C:$C,Order!$D:$D,"",0,1))</f>
        <v>KP064</v>
      </c>
      <c r="E2311" s="4" t="e" vm="435">
        <f>IF($C2311="","",_xlfn.XLOOKUP($C2311,Order!$C:$C,Order!$E:$E,"",0,1))</f>
        <v>#VALUE!</v>
      </c>
      <c r="F2311" s="4">
        <f>IF($C2311="","",_xlfn.XLOOKUP($C2311,Order!$C:$C,Order!$F:$F,"",0,1))</f>
        <v>6000</v>
      </c>
      <c r="G2311" s="4" t="str">
        <f>IF($C2311="","",_xlfn.XLOOKUP($C2311,Order!$C:$C,Order!$G:$G,"",0,1))</f>
        <v>6063T5</v>
      </c>
      <c r="H2311" s="4">
        <f>IF($C2311="","",_xlfn.XLOOKUP($C2311,Order!$C:$C,Order!$H:$H,"",0,1))</f>
        <v>0.308</v>
      </c>
      <c r="I2311" s="36">
        <f>IF($C2311="","",_xlfn.XLOOKUP($C2311,Order!$C:$C,Order!$O:$O,"",0,1))</f>
        <v>0</v>
      </c>
      <c r="J2311" s="4" t="str">
        <f>IF(C2311="","",Order!$O$16)</f>
        <v>WOOD FINISH (BA)</v>
      </c>
      <c r="K2311" s="36">
        <f>IF($C2311="","",_xlfn.XLOOKUP($C2311,Order!$C:$C,Order!$P:$P,"",0,1))</f>
        <v>0</v>
      </c>
      <c r="L2311" s="4">
        <f t="shared" ref="L2311:L2374" si="36">IF(C2311="","",F2311/1000*H2311*I2311)</f>
        <v>0</v>
      </c>
    </row>
    <row r="2312" spans="2:12" ht="23.25" hidden="1" customHeight="1" x14ac:dyDescent="0.25">
      <c r="B2312" s="4">
        <v>2307</v>
      </c>
      <c r="C2312" s="36" t="str">
        <f>IF(Order!$C$253="","",Order!$C$253)</f>
        <v>DS004</v>
      </c>
      <c r="D2312" s="36" t="str">
        <f>IF($C2312="","",_xlfn.XLOOKUP($C2312,Order!$C:$C,Order!$D:$D,"",0,1))</f>
        <v>DS004</v>
      </c>
      <c r="E2312" s="4" t="e" vm="436">
        <f>IF($C2312="","",_xlfn.XLOOKUP($C2312,Order!$C:$C,Order!$E:$E,"",0,1))</f>
        <v>#VALUE!</v>
      </c>
      <c r="F2312" s="4">
        <f>IF($C2312="","",_xlfn.XLOOKUP($C2312,Order!$C:$C,Order!$F:$F,"",0,1))</f>
        <v>6000</v>
      </c>
      <c r="G2312" s="4" t="str">
        <f>IF($C2312="","",_xlfn.XLOOKUP($C2312,Order!$C:$C,Order!$G:$G,"",0,1))</f>
        <v>6063T5</v>
      </c>
      <c r="H2312" s="4">
        <f>IF($C2312="","",_xlfn.XLOOKUP($C2312,Order!$C:$C,Order!$H:$H,"",0,1))</f>
        <v>0.33200000000000002</v>
      </c>
      <c r="I2312" s="36">
        <f>IF($C2312="","",_xlfn.XLOOKUP($C2312,Order!$C:$C,Order!$O:$O,"",0,1))</f>
        <v>0</v>
      </c>
      <c r="J2312" s="4" t="str">
        <f>IF(C2312="","",Order!$O$16)</f>
        <v>WOOD FINISH (BA)</v>
      </c>
      <c r="K2312" s="36">
        <f>IF($C2312="","",_xlfn.XLOOKUP($C2312,Order!$C:$C,Order!$P:$P,"",0,1))</f>
        <v>0</v>
      </c>
      <c r="L2312" s="4">
        <f t="shared" si="36"/>
        <v>0</v>
      </c>
    </row>
    <row r="2313" spans="2:12" ht="23.25" hidden="1" customHeight="1" x14ac:dyDescent="0.25">
      <c r="B2313" s="4">
        <v>2308</v>
      </c>
      <c r="C2313" s="36" t="str">
        <f>IF(Order!$C$254="","",Order!$C$254)</f>
        <v>SU079</v>
      </c>
      <c r="D2313" s="36" t="str">
        <f>IF($C2313="","",_xlfn.XLOOKUP($C2313,Order!$C:$C,Order!$D:$D,"",0,1))</f>
        <v>SU079</v>
      </c>
      <c r="E2313" s="4" t="e" vm="437">
        <f>IF($C2313="","",_xlfn.XLOOKUP($C2313,Order!$C:$C,Order!$E:$E,"",0,1))</f>
        <v>#VALUE!</v>
      </c>
      <c r="F2313" s="4">
        <f>IF($C2313="","",_xlfn.XLOOKUP($C2313,Order!$C:$C,Order!$F:$F,"",0,1))</f>
        <v>6000</v>
      </c>
      <c r="G2313" s="4" t="str">
        <f>IF($C2313="","",_xlfn.XLOOKUP($C2313,Order!$C:$C,Order!$G:$G,"",0,1))</f>
        <v>6063T5</v>
      </c>
      <c r="H2313" s="4">
        <f>IF($C2313="","",_xlfn.XLOOKUP($C2313,Order!$C:$C,Order!$H:$H,"",0,1))</f>
        <v>0.30099999999999999</v>
      </c>
      <c r="I2313" s="36">
        <f>IF($C2313="","",_xlfn.XLOOKUP($C2313,Order!$C:$C,Order!$O:$O,"",0,1))</f>
        <v>0</v>
      </c>
      <c r="J2313" s="4" t="str">
        <f>IF(C2313="","",Order!$O$16)</f>
        <v>WOOD FINISH (BA)</v>
      </c>
      <c r="K2313" s="36">
        <f>IF($C2313="","",_xlfn.XLOOKUP($C2313,Order!$C:$C,Order!$P:$P,"",0,1))</f>
        <v>0</v>
      </c>
      <c r="L2313" s="4">
        <f t="shared" si="36"/>
        <v>0</v>
      </c>
    </row>
    <row r="2314" spans="2:12" ht="23.25" hidden="1" customHeight="1" x14ac:dyDescent="0.25">
      <c r="B2314" s="4">
        <v>2309</v>
      </c>
      <c r="C2314" s="36" t="str">
        <f>IF(Order!$C$255="","",Order!$C$255)</f>
        <v>SU086</v>
      </c>
      <c r="D2314" s="36" t="str">
        <f>IF($C2314="","",_xlfn.XLOOKUP($C2314,Order!$C:$C,Order!$D:$D,"",0,1))</f>
        <v>SU086</v>
      </c>
      <c r="E2314" s="4" t="e" vm="438">
        <f>IF($C2314="","",_xlfn.XLOOKUP($C2314,Order!$C:$C,Order!$E:$E,"",0,1))</f>
        <v>#VALUE!</v>
      </c>
      <c r="F2314" s="4">
        <f>IF($C2314="","",_xlfn.XLOOKUP($C2314,Order!$C:$C,Order!$F:$F,"",0,1))</f>
        <v>6000</v>
      </c>
      <c r="G2314" s="4" t="str">
        <f>IF($C2314="","",_xlfn.XLOOKUP($C2314,Order!$C:$C,Order!$G:$G,"",0,1))</f>
        <v>6063T5</v>
      </c>
      <c r="H2314" s="4">
        <f>IF($C2314="","",_xlfn.XLOOKUP($C2314,Order!$C:$C,Order!$H:$H,"",0,1))</f>
        <v>0.57899999999999996</v>
      </c>
      <c r="I2314" s="36">
        <f>IF($C2314="","",_xlfn.XLOOKUP($C2314,Order!$C:$C,Order!$O:$O,"",0,1))</f>
        <v>0</v>
      </c>
      <c r="J2314" s="4" t="str">
        <f>IF(C2314="","",Order!$O$16)</f>
        <v>WOOD FINISH (BA)</v>
      </c>
      <c r="K2314" s="36">
        <f>IF($C2314="","",_xlfn.XLOOKUP($C2314,Order!$C:$C,Order!$P:$P,"",0,1))</f>
        <v>0</v>
      </c>
      <c r="L2314" s="4">
        <f t="shared" si="36"/>
        <v>0</v>
      </c>
    </row>
    <row r="2315" spans="2:12" ht="23.25" hidden="1" customHeight="1" x14ac:dyDescent="0.25">
      <c r="B2315" s="4">
        <v>2310</v>
      </c>
      <c r="C2315" s="36" t="str">
        <f>IF(Order!$C$256="","",Order!$C$256)</f>
        <v>SU090</v>
      </c>
      <c r="D2315" s="36" t="str">
        <f>IF($C2315="","",_xlfn.XLOOKUP($C2315,Order!$C:$C,Order!$D:$D,"",0,1))</f>
        <v>SU090</v>
      </c>
      <c r="E2315" s="4" t="e" vm="439">
        <f>IF($C2315="","",_xlfn.XLOOKUP($C2315,Order!$C:$C,Order!$E:$E,"",0,1))</f>
        <v>#VALUE!</v>
      </c>
      <c r="F2315" s="4">
        <f>IF($C2315="","",_xlfn.XLOOKUP($C2315,Order!$C:$C,Order!$F:$F,"",0,1))</f>
        <v>6000</v>
      </c>
      <c r="G2315" s="4" t="str">
        <f>IF($C2315="","",_xlfn.XLOOKUP($C2315,Order!$C:$C,Order!$G:$G,"",0,1))</f>
        <v>6063T5</v>
      </c>
      <c r="H2315" s="4">
        <f>IF($C2315="","",_xlfn.XLOOKUP($C2315,Order!$C:$C,Order!$H:$H,"",0,1))</f>
        <v>0.48399999999999999</v>
      </c>
      <c r="I2315" s="36">
        <f>IF($C2315="","",_xlfn.XLOOKUP($C2315,Order!$C:$C,Order!$O:$O,"",0,1))</f>
        <v>0</v>
      </c>
      <c r="J2315" s="4" t="str">
        <f>IF(C2315="","",Order!$O$16)</f>
        <v>WOOD FINISH (BA)</v>
      </c>
      <c r="K2315" s="36">
        <f>IF($C2315="","",_xlfn.XLOOKUP($C2315,Order!$C:$C,Order!$P:$P,"",0,1))</f>
        <v>0</v>
      </c>
      <c r="L2315" s="4">
        <f t="shared" si="36"/>
        <v>0</v>
      </c>
    </row>
    <row r="2316" spans="2:12" ht="23.25" hidden="1" customHeight="1" x14ac:dyDescent="0.25">
      <c r="B2316" s="4">
        <v>2311</v>
      </c>
      <c r="C2316" s="36" t="str">
        <f>IF(Order!$C$257="","",Order!$C$257)</f>
        <v>SU091</v>
      </c>
      <c r="D2316" s="36" t="str">
        <f>IF($C2316="","",_xlfn.XLOOKUP($C2316,Order!$C:$C,Order!$D:$D,"",0,1))</f>
        <v>SU091</v>
      </c>
      <c r="E2316" s="4" t="e" vm="440">
        <f>IF($C2316="","",_xlfn.XLOOKUP($C2316,Order!$C:$C,Order!$E:$E,"",0,1))</f>
        <v>#VALUE!</v>
      </c>
      <c r="F2316" s="4">
        <f>IF($C2316="","",_xlfn.XLOOKUP($C2316,Order!$C:$C,Order!$F:$F,"",0,1))</f>
        <v>6000</v>
      </c>
      <c r="G2316" s="4" t="str">
        <f>IF($C2316="","",_xlfn.XLOOKUP($C2316,Order!$C:$C,Order!$G:$G,"",0,1))</f>
        <v>6063T5</v>
      </c>
      <c r="H2316" s="4">
        <f>IF($C2316="","",_xlfn.XLOOKUP($C2316,Order!$C:$C,Order!$H:$H,"",0,1))</f>
        <v>0.42699999999999999</v>
      </c>
      <c r="I2316" s="36">
        <f>IF($C2316="","",_xlfn.XLOOKUP($C2316,Order!$C:$C,Order!$O:$O,"",0,1))</f>
        <v>0</v>
      </c>
      <c r="J2316" s="4" t="str">
        <f>IF(C2316="","",Order!$O$16)</f>
        <v>WOOD FINISH (BA)</v>
      </c>
      <c r="K2316" s="36">
        <f>IF($C2316="","",_xlfn.XLOOKUP($C2316,Order!$C:$C,Order!$P:$P,"",0,1))</f>
        <v>0</v>
      </c>
      <c r="L2316" s="4">
        <f t="shared" si="36"/>
        <v>0</v>
      </c>
    </row>
    <row r="2317" spans="2:12" ht="23.25" hidden="1" customHeight="1" x14ac:dyDescent="0.25">
      <c r="B2317" s="4">
        <v>2312</v>
      </c>
      <c r="C2317" s="36" t="str">
        <f>IF(Order!$C$258="","",Order!$C$258)</f>
        <v>SU103</v>
      </c>
      <c r="D2317" s="36" t="str">
        <f>IF($C2317="","",_xlfn.XLOOKUP($C2317,Order!$C:$C,Order!$D:$D,"",0,1))</f>
        <v>SU103</v>
      </c>
      <c r="E2317" s="4" t="e" vm="441">
        <f>IF($C2317="","",_xlfn.XLOOKUP($C2317,Order!$C:$C,Order!$E:$E,"",0,1))</f>
        <v>#VALUE!</v>
      </c>
      <c r="F2317" s="4">
        <f>IF($C2317="","",_xlfn.XLOOKUP($C2317,Order!$C:$C,Order!$F:$F,"",0,1))</f>
        <v>6000</v>
      </c>
      <c r="G2317" s="4" t="str">
        <f>IF($C2317="","",_xlfn.XLOOKUP($C2317,Order!$C:$C,Order!$G:$G,"",0,1))</f>
        <v>6063T5</v>
      </c>
      <c r="H2317" s="4">
        <f>IF($C2317="","",_xlfn.XLOOKUP($C2317,Order!$C:$C,Order!$H:$H,"",0,1))</f>
        <v>0.14299999999999999</v>
      </c>
      <c r="I2317" s="36">
        <f>IF($C2317="","",_xlfn.XLOOKUP($C2317,Order!$C:$C,Order!$O:$O,"",0,1))</f>
        <v>0</v>
      </c>
      <c r="J2317" s="4" t="str">
        <f>IF(C2317="","",Order!$O$16)</f>
        <v>WOOD FINISH (BA)</v>
      </c>
      <c r="K2317" s="36">
        <f>IF($C2317="","",_xlfn.XLOOKUP($C2317,Order!$C:$C,Order!$P:$P,"",0,1))</f>
        <v>0</v>
      </c>
      <c r="L2317" s="4">
        <f t="shared" si="36"/>
        <v>0</v>
      </c>
    </row>
    <row r="2318" spans="2:12" ht="23.25" hidden="1" customHeight="1" x14ac:dyDescent="0.25">
      <c r="B2318" s="4">
        <v>2313</v>
      </c>
      <c r="C2318" s="36" t="str">
        <f>IF(Order!$C$259="","",Order!$C$259)</f>
        <v>SU276</v>
      </c>
      <c r="D2318" s="36" t="str">
        <f>IF($C2318="","",_xlfn.XLOOKUP($C2318,Order!$C:$C,Order!$D:$D,"",0,1))</f>
        <v>SU276</v>
      </c>
      <c r="E2318" s="4" t="e" vm="442">
        <f>IF($C2318="","",_xlfn.XLOOKUP($C2318,Order!$C:$C,Order!$E:$E,"",0,1))</f>
        <v>#VALUE!</v>
      </c>
      <c r="F2318" s="4">
        <f>IF($C2318="","",_xlfn.XLOOKUP($C2318,Order!$C:$C,Order!$F:$F,"",0,1))</f>
        <v>6000</v>
      </c>
      <c r="G2318" s="4" t="str">
        <f>IF($C2318="","",_xlfn.XLOOKUP($C2318,Order!$C:$C,Order!$G:$G,"",0,1))</f>
        <v>6063T5</v>
      </c>
      <c r="H2318" s="4">
        <f>IF($C2318="","",_xlfn.XLOOKUP($C2318,Order!$C:$C,Order!$H:$H,"",0,1))</f>
        <v>0.17199999999999999</v>
      </c>
      <c r="I2318" s="36">
        <f>IF($C2318="","",_xlfn.XLOOKUP($C2318,Order!$C:$C,Order!$O:$O,"",0,1))</f>
        <v>0</v>
      </c>
      <c r="J2318" s="4" t="str">
        <f>IF(C2318="","",Order!$O$16)</f>
        <v>WOOD FINISH (BA)</v>
      </c>
      <c r="K2318" s="36">
        <f>IF($C2318="","",_xlfn.XLOOKUP($C2318,Order!$C:$C,Order!$P:$P,"",0,1))</f>
        <v>0</v>
      </c>
      <c r="L2318" s="4">
        <f t="shared" si="36"/>
        <v>0</v>
      </c>
    </row>
    <row r="2319" spans="2:12" ht="23.25" hidden="1" customHeight="1" x14ac:dyDescent="0.25">
      <c r="B2319" s="4">
        <v>2314</v>
      </c>
      <c r="C2319" s="36" t="str">
        <f>IF(Order!$C$260="","",Order!$C$260)</f>
        <v>SU302</v>
      </c>
      <c r="D2319" s="36" t="str">
        <f>IF($C2319="","",_xlfn.XLOOKUP($C2319,Order!$C:$C,Order!$D:$D,"",0,1))</f>
        <v>SU302</v>
      </c>
      <c r="E2319" s="4" t="e" vm="443">
        <f>IF($C2319="","",_xlfn.XLOOKUP($C2319,Order!$C:$C,Order!$E:$E,"",0,1))</f>
        <v>#VALUE!</v>
      </c>
      <c r="F2319" s="4">
        <f>IF($C2319="","",_xlfn.XLOOKUP($C2319,Order!$C:$C,Order!$F:$F,"",0,1))</f>
        <v>6000</v>
      </c>
      <c r="G2319" s="4" t="str">
        <f>IF($C2319="","",_xlfn.XLOOKUP($C2319,Order!$C:$C,Order!$G:$G,"",0,1))</f>
        <v>6063T5</v>
      </c>
      <c r="H2319" s="4">
        <f>IF($C2319="","",_xlfn.XLOOKUP($C2319,Order!$C:$C,Order!$H:$H,"",0,1))</f>
        <v>0.22700000000000001</v>
      </c>
      <c r="I2319" s="36">
        <f>IF($C2319="","",_xlfn.XLOOKUP($C2319,Order!$C:$C,Order!$O:$O,"",0,1))</f>
        <v>0</v>
      </c>
      <c r="J2319" s="4" t="str">
        <f>IF(C2319="","",Order!$O$16)</f>
        <v>WOOD FINISH (BA)</v>
      </c>
      <c r="K2319" s="36">
        <f>IF($C2319="","",_xlfn.XLOOKUP($C2319,Order!$C:$C,Order!$P:$P,"",0,1))</f>
        <v>0</v>
      </c>
      <c r="L2319" s="4">
        <f t="shared" si="36"/>
        <v>0</v>
      </c>
    </row>
    <row r="2320" spans="2:12" ht="23.25" hidden="1" customHeight="1" x14ac:dyDescent="0.25">
      <c r="B2320" s="4">
        <v>2315</v>
      </c>
      <c r="C2320" s="36" t="str">
        <f>IF(Order!$C$261="","",Order!$C$261)</f>
        <v>SU779</v>
      </c>
      <c r="D2320" s="36" t="str">
        <f>IF($C2320="","",_xlfn.XLOOKUP($C2320,Order!$C:$C,Order!$D:$D,"",0,1))</f>
        <v>SU779</v>
      </c>
      <c r="E2320" s="4" t="e" vm="444">
        <f>IF($C2320="","",_xlfn.XLOOKUP($C2320,Order!$C:$C,Order!$E:$E,"",0,1))</f>
        <v>#VALUE!</v>
      </c>
      <c r="F2320" s="4">
        <f>IF($C2320="","",_xlfn.XLOOKUP($C2320,Order!$C:$C,Order!$F:$F,"",0,1))</f>
        <v>6000</v>
      </c>
      <c r="G2320" s="4" t="str">
        <f>IF($C2320="","",_xlfn.XLOOKUP($C2320,Order!$C:$C,Order!$G:$G,"",0,1))</f>
        <v>6063T5</v>
      </c>
      <c r="H2320" s="4">
        <f>IF($C2320="","",_xlfn.XLOOKUP($C2320,Order!$C:$C,Order!$H:$H,"",0,1))</f>
        <v>0.378</v>
      </c>
      <c r="I2320" s="36">
        <f>IF($C2320="","",_xlfn.XLOOKUP($C2320,Order!$C:$C,Order!$O:$O,"",0,1))</f>
        <v>0</v>
      </c>
      <c r="J2320" s="4" t="str">
        <f>IF(C2320="","",Order!$O$16)</f>
        <v>WOOD FINISH (BA)</v>
      </c>
      <c r="K2320" s="36">
        <f>IF($C2320="","",_xlfn.XLOOKUP($C2320,Order!$C:$C,Order!$P:$P,"",0,1))</f>
        <v>0</v>
      </c>
      <c r="L2320" s="4">
        <f t="shared" si="36"/>
        <v>0</v>
      </c>
    </row>
    <row r="2321" spans="2:12" ht="23.25" hidden="1" customHeight="1" x14ac:dyDescent="0.25">
      <c r="B2321" s="4">
        <v>2316</v>
      </c>
      <c r="C2321" s="36" t="str">
        <f>IF(Order!$C$262="","",Order!$C$262)</f>
        <v>SU004</v>
      </c>
      <c r="D2321" s="36" t="str">
        <f>IF($C2321="","",_xlfn.XLOOKUP($C2321,Order!$C:$C,Order!$D:$D,"",0,1))</f>
        <v>SU004</v>
      </c>
      <c r="E2321" s="4" t="e" vm="445">
        <f>IF($C2321="","",_xlfn.XLOOKUP($C2321,Order!$C:$C,Order!$E:$E,"",0,1))</f>
        <v>#VALUE!</v>
      </c>
      <c r="F2321" s="4">
        <f>IF($C2321="","",_xlfn.XLOOKUP($C2321,Order!$C:$C,Order!$F:$F,"",0,1))</f>
        <v>6000</v>
      </c>
      <c r="G2321" s="4" t="str">
        <f>IF($C2321="","",_xlfn.XLOOKUP($C2321,Order!$C:$C,Order!$G:$G,"",0,1))</f>
        <v>6063T5</v>
      </c>
      <c r="H2321" s="4">
        <f>IF($C2321="","",_xlfn.XLOOKUP($C2321,Order!$C:$C,Order!$H:$H,"",0,1))</f>
        <v>0.47799999999999998</v>
      </c>
      <c r="I2321" s="36">
        <f>IF($C2321="","",_xlfn.XLOOKUP($C2321,Order!$C:$C,Order!$O:$O,"",0,1))</f>
        <v>0</v>
      </c>
      <c r="J2321" s="4" t="str">
        <f>IF(C2321="","",Order!$O$16)</f>
        <v>WOOD FINISH (BA)</v>
      </c>
      <c r="K2321" s="36">
        <f>IF($C2321="","",_xlfn.XLOOKUP($C2321,Order!$C:$C,Order!$P:$P,"",0,1))</f>
        <v>0</v>
      </c>
      <c r="L2321" s="4">
        <f t="shared" si="36"/>
        <v>0</v>
      </c>
    </row>
    <row r="2322" spans="2:12" ht="23.25" hidden="1" customHeight="1" x14ac:dyDescent="0.25">
      <c r="B2322" s="4">
        <v>2317</v>
      </c>
      <c r="C2322" s="36" t="str">
        <f>IF(Order!$C$263="","",Order!$C$263)</f>
        <v>SU005</v>
      </c>
      <c r="D2322" s="36" t="str">
        <f>IF($C2322="","",_xlfn.XLOOKUP($C2322,Order!$C:$C,Order!$D:$D,"",0,1))</f>
        <v>SU005</v>
      </c>
      <c r="E2322" s="4" t="e" vm="446">
        <f>IF($C2322="","",_xlfn.XLOOKUP($C2322,Order!$C:$C,Order!$E:$E,"",0,1))</f>
        <v>#VALUE!</v>
      </c>
      <c r="F2322" s="4">
        <f>IF($C2322="","",_xlfn.XLOOKUP($C2322,Order!$C:$C,Order!$F:$F,"",0,1))</f>
        <v>6000</v>
      </c>
      <c r="G2322" s="4" t="str">
        <f>IF($C2322="","",_xlfn.XLOOKUP($C2322,Order!$C:$C,Order!$G:$G,"",0,1))</f>
        <v>6063T5</v>
      </c>
      <c r="H2322" s="4">
        <f>IF($C2322="","",_xlfn.XLOOKUP($C2322,Order!$C:$C,Order!$H:$H,"",0,1))</f>
        <v>1.012</v>
      </c>
      <c r="I2322" s="36">
        <f>IF($C2322="","",_xlfn.XLOOKUP($C2322,Order!$C:$C,Order!$O:$O,"",0,1))</f>
        <v>0</v>
      </c>
      <c r="J2322" s="4" t="str">
        <f>IF(C2322="","",Order!$O$16)</f>
        <v>WOOD FINISH (BA)</v>
      </c>
      <c r="K2322" s="36">
        <f>IF($C2322="","",_xlfn.XLOOKUP($C2322,Order!$C:$C,Order!$P:$P,"",0,1))</f>
        <v>0</v>
      </c>
      <c r="L2322" s="4">
        <f t="shared" si="36"/>
        <v>0</v>
      </c>
    </row>
    <row r="2323" spans="2:12" ht="23.25" hidden="1" customHeight="1" x14ac:dyDescent="0.25">
      <c r="B2323" s="4">
        <v>2318</v>
      </c>
      <c r="C2323" s="36" t="str">
        <f>IF(Order!$C$264="","",Order!$C$264)</f>
        <v>SU006</v>
      </c>
      <c r="D2323" s="36" t="str">
        <f>IF($C2323="","",_xlfn.XLOOKUP($C2323,Order!$C:$C,Order!$D:$D,"",0,1))</f>
        <v>SU006</v>
      </c>
      <c r="E2323" s="4" t="e" vm="447">
        <f>IF($C2323="","",_xlfn.XLOOKUP($C2323,Order!$C:$C,Order!$E:$E,"",0,1))</f>
        <v>#VALUE!</v>
      </c>
      <c r="F2323" s="4">
        <f>IF($C2323="","",_xlfn.XLOOKUP($C2323,Order!$C:$C,Order!$F:$F,"",0,1))</f>
        <v>6000</v>
      </c>
      <c r="G2323" s="4" t="str">
        <f>IF($C2323="","",_xlfn.XLOOKUP($C2323,Order!$C:$C,Order!$G:$G,"",0,1))</f>
        <v>6063T5</v>
      </c>
      <c r="H2323" s="4">
        <f>IF($C2323="","",_xlfn.XLOOKUP($C2323,Order!$C:$C,Order!$H:$H,"",0,1))</f>
        <v>0.98399999999999999</v>
      </c>
      <c r="I2323" s="36">
        <f>IF($C2323="","",_xlfn.XLOOKUP($C2323,Order!$C:$C,Order!$O:$O,"",0,1))</f>
        <v>0</v>
      </c>
      <c r="J2323" s="4" t="str">
        <f>IF(C2323="","",Order!$O$16)</f>
        <v>WOOD FINISH (BA)</v>
      </c>
      <c r="K2323" s="36">
        <f>IF($C2323="","",_xlfn.XLOOKUP($C2323,Order!$C:$C,Order!$P:$P,"",0,1))</f>
        <v>0</v>
      </c>
      <c r="L2323" s="4">
        <f t="shared" si="36"/>
        <v>0</v>
      </c>
    </row>
    <row r="2324" spans="2:12" ht="23.25" hidden="1" customHeight="1" x14ac:dyDescent="0.25">
      <c r="B2324" s="4">
        <v>2319</v>
      </c>
      <c r="C2324" s="36" t="str">
        <f>IF(Order!$C$265="","",Order!$C$265)</f>
        <v>SU007</v>
      </c>
      <c r="D2324" s="36" t="str">
        <f>IF($C2324="","",_xlfn.XLOOKUP($C2324,Order!$C:$C,Order!$D:$D,"",0,1))</f>
        <v>SU007</v>
      </c>
      <c r="E2324" s="4" t="e" vm="448">
        <f>IF($C2324="","",_xlfn.XLOOKUP($C2324,Order!$C:$C,Order!$E:$E,"",0,1))</f>
        <v>#VALUE!</v>
      </c>
      <c r="F2324" s="4">
        <f>IF($C2324="","",_xlfn.XLOOKUP($C2324,Order!$C:$C,Order!$F:$F,"",0,1))</f>
        <v>6000</v>
      </c>
      <c r="G2324" s="4" t="str">
        <f>IF($C2324="","",_xlfn.XLOOKUP($C2324,Order!$C:$C,Order!$G:$G,"",0,1))</f>
        <v>6063T5</v>
      </c>
      <c r="H2324" s="4">
        <f>IF($C2324="","",_xlfn.XLOOKUP($C2324,Order!$C:$C,Order!$H:$H,"",0,1))</f>
        <v>0.38100000000000001</v>
      </c>
      <c r="I2324" s="36">
        <f>IF($C2324="","",_xlfn.XLOOKUP($C2324,Order!$C:$C,Order!$O:$O,"",0,1))</f>
        <v>0</v>
      </c>
      <c r="J2324" s="4" t="str">
        <f>IF(C2324="","",Order!$O$16)</f>
        <v>WOOD FINISH (BA)</v>
      </c>
      <c r="K2324" s="36">
        <f>IF($C2324="","",_xlfn.XLOOKUP($C2324,Order!$C:$C,Order!$P:$P,"",0,1))</f>
        <v>0</v>
      </c>
      <c r="L2324" s="4">
        <f t="shared" si="36"/>
        <v>0</v>
      </c>
    </row>
    <row r="2325" spans="2:12" ht="23.25" hidden="1" customHeight="1" x14ac:dyDescent="0.25">
      <c r="B2325" s="4">
        <v>2320</v>
      </c>
      <c r="C2325" s="36" t="str">
        <f>IF(Order!$C$266="","",Order!$C$266)</f>
        <v>SU009</v>
      </c>
      <c r="D2325" s="36" t="str">
        <f>IF($C2325="","",_xlfn.XLOOKUP($C2325,Order!$C:$C,Order!$D:$D,"",0,1))</f>
        <v>SU009</v>
      </c>
      <c r="E2325" s="4" t="e" vm="449">
        <f>IF($C2325="","",_xlfn.XLOOKUP($C2325,Order!$C:$C,Order!$E:$E,"",0,1))</f>
        <v>#VALUE!</v>
      </c>
      <c r="F2325" s="4">
        <f>IF($C2325="","",_xlfn.XLOOKUP($C2325,Order!$C:$C,Order!$F:$F,"",0,1))</f>
        <v>6000</v>
      </c>
      <c r="G2325" s="4" t="str">
        <f>IF($C2325="","",_xlfn.XLOOKUP($C2325,Order!$C:$C,Order!$G:$G,"",0,1))</f>
        <v>6063T5</v>
      </c>
      <c r="H2325" s="4">
        <f>IF($C2325="","",_xlfn.XLOOKUP($C2325,Order!$C:$C,Order!$H:$H,"",0,1))</f>
        <v>1.0669999999999999</v>
      </c>
      <c r="I2325" s="36">
        <f>IF($C2325="","",_xlfn.XLOOKUP($C2325,Order!$C:$C,Order!$O:$O,"",0,1))</f>
        <v>0</v>
      </c>
      <c r="J2325" s="4" t="str">
        <f>IF(C2325="","",Order!$O$16)</f>
        <v>WOOD FINISH (BA)</v>
      </c>
      <c r="K2325" s="36">
        <f>IF($C2325="","",_xlfn.XLOOKUP($C2325,Order!$C:$C,Order!$P:$P,"",0,1))</f>
        <v>0</v>
      </c>
      <c r="L2325" s="4">
        <f t="shared" si="36"/>
        <v>0</v>
      </c>
    </row>
    <row r="2326" spans="2:12" ht="23.25" hidden="1" customHeight="1" x14ac:dyDescent="0.25">
      <c r="B2326" s="4">
        <v>2321</v>
      </c>
      <c r="C2326" s="36" t="str">
        <f>IF(Order!$C$267="","",Order!$C$267)</f>
        <v>SU010</v>
      </c>
      <c r="D2326" s="36" t="str">
        <f>IF($C2326="","",_xlfn.XLOOKUP($C2326,Order!$C:$C,Order!$D:$D,"",0,1))</f>
        <v>SU010</v>
      </c>
      <c r="E2326" s="4" t="e" vm="450">
        <f>IF($C2326="","",_xlfn.XLOOKUP($C2326,Order!$C:$C,Order!$E:$E,"",0,1))</f>
        <v>#VALUE!</v>
      </c>
      <c r="F2326" s="4">
        <f>IF($C2326="","",_xlfn.XLOOKUP($C2326,Order!$C:$C,Order!$F:$F,"",0,1))</f>
        <v>6000</v>
      </c>
      <c r="G2326" s="4" t="str">
        <f>IF($C2326="","",_xlfn.XLOOKUP($C2326,Order!$C:$C,Order!$G:$G,"",0,1))</f>
        <v>6063T5</v>
      </c>
      <c r="H2326" s="4">
        <f>IF($C2326="","",_xlfn.XLOOKUP($C2326,Order!$C:$C,Order!$H:$H,"",0,1))</f>
        <v>1.0349999999999999</v>
      </c>
      <c r="I2326" s="36">
        <f>IF($C2326="","",_xlfn.XLOOKUP($C2326,Order!$C:$C,Order!$O:$O,"",0,1))</f>
        <v>0</v>
      </c>
      <c r="J2326" s="4" t="str">
        <f>IF(C2326="","",Order!$O$16)</f>
        <v>WOOD FINISH (BA)</v>
      </c>
      <c r="K2326" s="36">
        <f>IF($C2326="","",_xlfn.XLOOKUP($C2326,Order!$C:$C,Order!$P:$P,"",0,1))</f>
        <v>0</v>
      </c>
      <c r="L2326" s="4">
        <f t="shared" si="36"/>
        <v>0</v>
      </c>
    </row>
    <row r="2327" spans="2:12" ht="23.25" hidden="1" customHeight="1" x14ac:dyDescent="0.25">
      <c r="B2327" s="4">
        <v>2322</v>
      </c>
      <c r="C2327" s="36" t="str">
        <f>IF(Order!$C$268="","",Order!$C$268)</f>
        <v>SU011</v>
      </c>
      <c r="D2327" s="36" t="str">
        <f>IF($C2327="","",_xlfn.XLOOKUP($C2327,Order!$C:$C,Order!$D:$D,"",0,1))</f>
        <v>SU011</v>
      </c>
      <c r="E2327" s="4" t="e" vm="451">
        <f>IF($C2327="","",_xlfn.XLOOKUP($C2327,Order!$C:$C,Order!$E:$E,"",0,1))</f>
        <v>#VALUE!</v>
      </c>
      <c r="F2327" s="4">
        <f>IF($C2327="","",_xlfn.XLOOKUP($C2327,Order!$C:$C,Order!$F:$F,"",0,1))</f>
        <v>6000</v>
      </c>
      <c r="G2327" s="4" t="str">
        <f>IF($C2327="","",_xlfn.XLOOKUP($C2327,Order!$C:$C,Order!$G:$G,"",0,1))</f>
        <v>6063T5</v>
      </c>
      <c r="H2327" s="4">
        <f>IF($C2327="","",_xlfn.XLOOKUP($C2327,Order!$C:$C,Order!$H:$H,"",0,1))</f>
        <v>0.97299999999999998</v>
      </c>
      <c r="I2327" s="36">
        <f>IF($C2327="","",_xlfn.XLOOKUP($C2327,Order!$C:$C,Order!$O:$O,"",0,1))</f>
        <v>0</v>
      </c>
      <c r="J2327" s="4" t="str">
        <f>IF(C2327="","",Order!$O$16)</f>
        <v>WOOD FINISH (BA)</v>
      </c>
      <c r="K2327" s="36">
        <f>IF($C2327="","",_xlfn.XLOOKUP($C2327,Order!$C:$C,Order!$P:$P,"",0,1))</f>
        <v>0</v>
      </c>
      <c r="L2327" s="4">
        <f t="shared" si="36"/>
        <v>0</v>
      </c>
    </row>
    <row r="2328" spans="2:12" ht="23.25" hidden="1" customHeight="1" x14ac:dyDescent="0.25">
      <c r="B2328" s="4">
        <v>2323</v>
      </c>
      <c r="C2328" s="36" t="str">
        <f>IF(Order!$C$269="","",Order!$C$269)</f>
        <v>SU012</v>
      </c>
      <c r="D2328" s="36" t="str">
        <f>IF($C2328="","",_xlfn.XLOOKUP($C2328,Order!$C:$C,Order!$D:$D,"",0,1))</f>
        <v>SU012</v>
      </c>
      <c r="E2328" s="4" t="e" vm="452">
        <f>IF($C2328="","",_xlfn.XLOOKUP($C2328,Order!$C:$C,Order!$E:$E,"",0,1))</f>
        <v>#VALUE!</v>
      </c>
      <c r="F2328" s="4">
        <f>IF($C2328="","",_xlfn.XLOOKUP($C2328,Order!$C:$C,Order!$F:$F,"",0,1))</f>
        <v>6000</v>
      </c>
      <c r="G2328" s="4" t="str">
        <f>IF($C2328="","",_xlfn.XLOOKUP($C2328,Order!$C:$C,Order!$G:$G,"",0,1))</f>
        <v>6063T5</v>
      </c>
      <c r="H2328" s="4">
        <f>IF($C2328="","",_xlfn.XLOOKUP($C2328,Order!$C:$C,Order!$H:$H,"",0,1))</f>
        <v>0.47499999999999998</v>
      </c>
      <c r="I2328" s="36">
        <f>IF($C2328="","",_xlfn.XLOOKUP($C2328,Order!$C:$C,Order!$O:$O,"",0,1))</f>
        <v>0</v>
      </c>
      <c r="J2328" s="4" t="str">
        <f>IF(C2328="","",Order!$O$16)</f>
        <v>WOOD FINISH (BA)</v>
      </c>
      <c r="K2328" s="36">
        <f>IF($C2328="","",_xlfn.XLOOKUP($C2328,Order!$C:$C,Order!$P:$P,"",0,1))</f>
        <v>0</v>
      </c>
      <c r="L2328" s="4">
        <f t="shared" si="36"/>
        <v>0</v>
      </c>
    </row>
    <row r="2329" spans="2:12" ht="23.25" hidden="1" customHeight="1" x14ac:dyDescent="0.25">
      <c r="B2329" s="4">
        <v>2324</v>
      </c>
      <c r="C2329" s="36" t="str">
        <f>IF(Order!$C$270="","",Order!$C$270)</f>
        <v>SU121</v>
      </c>
      <c r="D2329" s="36" t="str">
        <f>IF($C2329="","",_xlfn.XLOOKUP($C2329,Order!$C:$C,Order!$D:$D,"",0,1))</f>
        <v>SU121</v>
      </c>
      <c r="E2329" s="4" t="e" vm="453">
        <f>IF($C2329="","",_xlfn.XLOOKUP($C2329,Order!$C:$C,Order!$E:$E,"",0,1))</f>
        <v>#VALUE!</v>
      </c>
      <c r="F2329" s="4">
        <f>IF($C2329="","",_xlfn.XLOOKUP($C2329,Order!$C:$C,Order!$F:$F,"",0,1))</f>
        <v>6000</v>
      </c>
      <c r="G2329" s="4" t="str">
        <f>IF($C2329="","",_xlfn.XLOOKUP($C2329,Order!$C:$C,Order!$G:$G,"",0,1))</f>
        <v>6063T5</v>
      </c>
      <c r="H2329" s="4">
        <f>IF($C2329="","",_xlfn.XLOOKUP($C2329,Order!$C:$C,Order!$H:$H,"",0,1))</f>
        <v>1.423</v>
      </c>
      <c r="I2329" s="36">
        <f>IF($C2329="","",_xlfn.XLOOKUP($C2329,Order!$C:$C,Order!$O:$O,"",0,1))</f>
        <v>0</v>
      </c>
      <c r="J2329" s="4" t="str">
        <f>IF(C2329="","",Order!$O$16)</f>
        <v>WOOD FINISH (BA)</v>
      </c>
      <c r="K2329" s="36">
        <f>IF($C2329="","",_xlfn.XLOOKUP($C2329,Order!$C:$C,Order!$P:$P,"",0,1))</f>
        <v>0</v>
      </c>
      <c r="L2329" s="4">
        <f t="shared" si="36"/>
        <v>0</v>
      </c>
    </row>
    <row r="2330" spans="2:12" ht="23.25" hidden="1" customHeight="1" x14ac:dyDescent="0.25">
      <c r="B2330" s="4">
        <v>2325</v>
      </c>
      <c r="C2330" s="36" t="str">
        <f>IF(Order!$C$271="","",Order!$C$271)</f>
        <v>SU122</v>
      </c>
      <c r="D2330" s="36" t="str">
        <f>IF($C2330="","",_xlfn.XLOOKUP($C2330,Order!$C:$C,Order!$D:$D,"",0,1))</f>
        <v>SU122</v>
      </c>
      <c r="E2330" s="4" t="e" vm="454">
        <f>IF($C2330="","",_xlfn.XLOOKUP($C2330,Order!$C:$C,Order!$E:$E,"",0,1))</f>
        <v>#VALUE!</v>
      </c>
      <c r="F2330" s="4">
        <f>IF($C2330="","",_xlfn.XLOOKUP($C2330,Order!$C:$C,Order!$F:$F,"",0,1))</f>
        <v>6000</v>
      </c>
      <c r="G2330" s="4" t="str">
        <f>IF($C2330="","",_xlfn.XLOOKUP($C2330,Order!$C:$C,Order!$G:$G,"",0,1))</f>
        <v>6063T5</v>
      </c>
      <c r="H2330" s="4">
        <f>IF($C2330="","",_xlfn.XLOOKUP($C2330,Order!$C:$C,Order!$H:$H,"",0,1))</f>
        <v>1.46</v>
      </c>
      <c r="I2330" s="36">
        <f>IF($C2330="","",_xlfn.XLOOKUP($C2330,Order!$C:$C,Order!$O:$O,"",0,1))</f>
        <v>0</v>
      </c>
      <c r="J2330" s="4" t="str">
        <f>IF(C2330="","",Order!$O$16)</f>
        <v>WOOD FINISH (BA)</v>
      </c>
      <c r="K2330" s="36">
        <f>IF($C2330="","",_xlfn.XLOOKUP($C2330,Order!$C:$C,Order!$P:$P,"",0,1))</f>
        <v>0</v>
      </c>
      <c r="L2330" s="4">
        <f t="shared" si="36"/>
        <v>0</v>
      </c>
    </row>
    <row r="2331" spans="2:12" ht="23.25" hidden="1" customHeight="1" x14ac:dyDescent="0.25">
      <c r="B2331" s="4">
        <v>2326</v>
      </c>
      <c r="C2331" s="36" t="str">
        <f>IF(Order!$C$272="","",Order!$C$272)</f>
        <v>SU123</v>
      </c>
      <c r="D2331" s="36" t="str">
        <f>IF($C2331="","",_xlfn.XLOOKUP($C2331,Order!$C:$C,Order!$D:$D,"",0,1))</f>
        <v>SU123</v>
      </c>
      <c r="E2331" s="4" t="e" vm="455">
        <f>IF($C2331="","",_xlfn.XLOOKUP($C2331,Order!$C:$C,Order!$E:$E,"",0,1))</f>
        <v>#VALUE!</v>
      </c>
      <c r="F2331" s="4">
        <f>IF($C2331="","",_xlfn.XLOOKUP($C2331,Order!$C:$C,Order!$F:$F,"",0,1))</f>
        <v>6000</v>
      </c>
      <c r="G2331" s="4" t="str">
        <f>IF($C2331="","",_xlfn.XLOOKUP($C2331,Order!$C:$C,Order!$G:$G,"",0,1))</f>
        <v>6063T5</v>
      </c>
      <c r="H2331" s="4">
        <f>IF($C2331="","",_xlfn.XLOOKUP($C2331,Order!$C:$C,Order!$H:$H,"",0,1))</f>
        <v>0.84799999999999998</v>
      </c>
      <c r="I2331" s="36">
        <f>IF($C2331="","",_xlfn.XLOOKUP($C2331,Order!$C:$C,Order!$O:$O,"",0,1))</f>
        <v>0</v>
      </c>
      <c r="J2331" s="4" t="str">
        <f>IF(C2331="","",Order!$O$16)</f>
        <v>WOOD FINISH (BA)</v>
      </c>
      <c r="K2331" s="36">
        <f>IF($C2331="","",_xlfn.XLOOKUP($C2331,Order!$C:$C,Order!$P:$P,"",0,1))</f>
        <v>0</v>
      </c>
      <c r="L2331" s="4">
        <f t="shared" si="36"/>
        <v>0</v>
      </c>
    </row>
    <row r="2332" spans="2:12" ht="23.25" hidden="1" customHeight="1" x14ac:dyDescent="0.25">
      <c r="B2332" s="4">
        <v>2327</v>
      </c>
      <c r="C2332" s="36" t="str">
        <f>IF(Order!$C$273="","",Order!$C$273)</f>
        <v>SU230</v>
      </c>
      <c r="D2332" s="36" t="str">
        <f>IF($C2332="","",_xlfn.XLOOKUP($C2332,Order!$C:$C,Order!$D:$D,"",0,1))</f>
        <v>SU230</v>
      </c>
      <c r="E2332" s="4" t="e" vm="456">
        <f>IF($C2332="","",_xlfn.XLOOKUP($C2332,Order!$C:$C,Order!$E:$E,"",0,1))</f>
        <v>#VALUE!</v>
      </c>
      <c r="F2332" s="4">
        <f>IF($C2332="","",_xlfn.XLOOKUP($C2332,Order!$C:$C,Order!$F:$F,"",0,1))</f>
        <v>6000</v>
      </c>
      <c r="G2332" s="4" t="str">
        <f>IF($C2332="","",_xlfn.XLOOKUP($C2332,Order!$C:$C,Order!$G:$G,"",0,1))</f>
        <v>6063T5</v>
      </c>
      <c r="H2332" s="4">
        <f>IF($C2332="","",_xlfn.XLOOKUP($C2332,Order!$C:$C,Order!$H:$H,"",0,1))</f>
        <v>0.88100000000000001</v>
      </c>
      <c r="I2332" s="36">
        <f>IF($C2332="","",_xlfn.XLOOKUP($C2332,Order!$C:$C,Order!$O:$O,"",0,1))</f>
        <v>0</v>
      </c>
      <c r="J2332" s="4" t="str">
        <f>IF(C2332="","",Order!$O$16)</f>
        <v>WOOD FINISH (BA)</v>
      </c>
      <c r="K2332" s="36">
        <f>IF($C2332="","",_xlfn.XLOOKUP($C2332,Order!$C:$C,Order!$P:$P,"",0,1))</f>
        <v>0</v>
      </c>
      <c r="L2332" s="4">
        <f t="shared" si="36"/>
        <v>0</v>
      </c>
    </row>
    <row r="2333" spans="2:12" ht="23.25" hidden="1" customHeight="1" x14ac:dyDescent="0.25">
      <c r="B2333" s="4">
        <v>2328</v>
      </c>
      <c r="C2333" s="36" t="str">
        <f>IF(Order!$C$274="","",Order!$C$274)</f>
        <v>SU238</v>
      </c>
      <c r="D2333" s="36" t="str">
        <f>IF($C2333="","",_xlfn.XLOOKUP($C2333,Order!$C:$C,Order!$D:$D,"",0,1))</f>
        <v>SU238</v>
      </c>
      <c r="E2333" s="4" t="e" vm="457">
        <f>IF($C2333="","",_xlfn.XLOOKUP($C2333,Order!$C:$C,Order!$E:$E,"",0,1))</f>
        <v>#VALUE!</v>
      </c>
      <c r="F2333" s="4">
        <f>IF($C2333="","",_xlfn.XLOOKUP($C2333,Order!$C:$C,Order!$F:$F,"",0,1))</f>
        <v>6000</v>
      </c>
      <c r="G2333" s="4" t="str">
        <f>IF($C2333="","",_xlfn.XLOOKUP($C2333,Order!$C:$C,Order!$G:$G,"",0,1))</f>
        <v>6063T5</v>
      </c>
      <c r="H2333" s="4">
        <f>IF($C2333="","",_xlfn.XLOOKUP($C2333,Order!$C:$C,Order!$H:$H,"",0,1))</f>
        <v>0.72699999999999998</v>
      </c>
      <c r="I2333" s="36">
        <f>IF($C2333="","",_xlfn.XLOOKUP($C2333,Order!$C:$C,Order!$O:$O,"",0,1))</f>
        <v>0</v>
      </c>
      <c r="J2333" s="4" t="str">
        <f>IF(C2333="","",Order!$O$16)</f>
        <v>WOOD FINISH (BA)</v>
      </c>
      <c r="K2333" s="36">
        <f>IF($C2333="","",_xlfn.XLOOKUP($C2333,Order!$C:$C,Order!$P:$P,"",0,1))</f>
        <v>0</v>
      </c>
      <c r="L2333" s="4">
        <f t="shared" si="36"/>
        <v>0</v>
      </c>
    </row>
    <row r="2334" spans="2:12" ht="23.25" hidden="1" customHeight="1" x14ac:dyDescent="0.25">
      <c r="B2334" s="4">
        <v>2329</v>
      </c>
      <c r="C2334" s="36" t="str">
        <f>IF(Order!$C$275="","",Order!$C$275)</f>
        <v>SU250</v>
      </c>
      <c r="D2334" s="36" t="str">
        <f>IF($C2334="","",_xlfn.XLOOKUP($C2334,Order!$C:$C,Order!$D:$D,"",0,1))</f>
        <v>SU250</v>
      </c>
      <c r="E2334" s="4" t="e" vm="458">
        <f>IF($C2334="","",_xlfn.XLOOKUP($C2334,Order!$C:$C,Order!$E:$E,"",0,1))</f>
        <v>#VALUE!</v>
      </c>
      <c r="F2334" s="4">
        <f>IF($C2334="","",_xlfn.XLOOKUP($C2334,Order!$C:$C,Order!$F:$F,"",0,1))</f>
        <v>6000</v>
      </c>
      <c r="G2334" s="4" t="str">
        <f>IF($C2334="","",_xlfn.XLOOKUP($C2334,Order!$C:$C,Order!$G:$G,"",0,1))</f>
        <v>6063T5</v>
      </c>
      <c r="H2334" s="4">
        <f>IF($C2334="","",_xlfn.XLOOKUP($C2334,Order!$C:$C,Order!$H:$H,"",0,1))</f>
        <v>0.89400000000000002</v>
      </c>
      <c r="I2334" s="36">
        <f>IF($C2334="","",_xlfn.XLOOKUP($C2334,Order!$C:$C,Order!$O:$O,"",0,1))</f>
        <v>0</v>
      </c>
      <c r="J2334" s="4" t="str">
        <f>IF(C2334="","",Order!$O$16)</f>
        <v>WOOD FINISH (BA)</v>
      </c>
      <c r="K2334" s="36">
        <f>IF($C2334="","",_xlfn.XLOOKUP($C2334,Order!$C:$C,Order!$P:$P,"",0,1))</f>
        <v>0</v>
      </c>
      <c r="L2334" s="4">
        <f t="shared" si="36"/>
        <v>0</v>
      </c>
    </row>
    <row r="2335" spans="2:12" ht="23.25" hidden="1" customHeight="1" x14ac:dyDescent="0.25">
      <c r="B2335" s="4">
        <v>2330</v>
      </c>
      <c r="C2335" s="36" t="str">
        <f>IF(Order!$C$276="","",Order!$C$276)</f>
        <v>SU279</v>
      </c>
      <c r="D2335" s="36" t="str">
        <f>IF($C2335="","",_xlfn.XLOOKUP($C2335,Order!$C:$C,Order!$D:$D,"",0,1))</f>
        <v>SU279</v>
      </c>
      <c r="E2335" s="4" t="e" vm="459">
        <f>IF($C2335="","",_xlfn.XLOOKUP($C2335,Order!$C:$C,Order!$E:$E,"",0,1))</f>
        <v>#VALUE!</v>
      </c>
      <c r="F2335" s="4">
        <f>IF($C2335="","",_xlfn.XLOOKUP($C2335,Order!$C:$C,Order!$F:$F,"",0,1))</f>
        <v>6000</v>
      </c>
      <c r="G2335" s="4" t="str">
        <f>IF($C2335="","",_xlfn.XLOOKUP($C2335,Order!$C:$C,Order!$G:$G,"",0,1))</f>
        <v>6063T5</v>
      </c>
      <c r="H2335" s="4">
        <f>IF($C2335="","",_xlfn.XLOOKUP($C2335,Order!$C:$C,Order!$H:$H,"",0,1))</f>
        <v>0.45800000000000002</v>
      </c>
      <c r="I2335" s="36">
        <f>IF($C2335="","",_xlfn.XLOOKUP($C2335,Order!$C:$C,Order!$O:$O,"",0,1))</f>
        <v>0</v>
      </c>
      <c r="J2335" s="4" t="str">
        <f>IF(C2335="","",Order!$O$16)</f>
        <v>WOOD FINISH (BA)</v>
      </c>
      <c r="K2335" s="36">
        <f>IF($C2335="","",_xlfn.XLOOKUP($C2335,Order!$C:$C,Order!$P:$P,"",0,1))</f>
        <v>0</v>
      </c>
      <c r="L2335" s="4">
        <f t="shared" si="36"/>
        <v>0</v>
      </c>
    </row>
    <row r="2336" spans="2:12" ht="23.25" hidden="1" customHeight="1" x14ac:dyDescent="0.25">
      <c r="B2336" s="4">
        <v>2331</v>
      </c>
      <c r="C2336" s="36" t="str">
        <f>IF(Order!$C$277="","",Order!$C$277)</f>
        <v>SU352</v>
      </c>
      <c r="D2336" s="36" t="str">
        <f>IF($C2336="","",_xlfn.XLOOKUP($C2336,Order!$C:$C,Order!$D:$D,"",0,1))</f>
        <v>SU352</v>
      </c>
      <c r="E2336" s="4" t="e" vm="460">
        <f>IF($C2336="","",_xlfn.XLOOKUP($C2336,Order!$C:$C,Order!$E:$E,"",0,1))</f>
        <v>#VALUE!</v>
      </c>
      <c r="F2336" s="4">
        <f>IF($C2336="","",_xlfn.XLOOKUP($C2336,Order!$C:$C,Order!$F:$F,"",0,1))</f>
        <v>6000</v>
      </c>
      <c r="G2336" s="4" t="str">
        <f>IF($C2336="","",_xlfn.XLOOKUP($C2336,Order!$C:$C,Order!$G:$G,"",0,1))</f>
        <v>6063T5</v>
      </c>
      <c r="H2336" s="4">
        <f>IF($C2336="","",_xlfn.XLOOKUP($C2336,Order!$C:$C,Order!$H:$H,"",0,1))</f>
        <v>1.127</v>
      </c>
      <c r="I2336" s="36">
        <f>IF($C2336="","",_xlfn.XLOOKUP($C2336,Order!$C:$C,Order!$O:$O,"",0,1))</f>
        <v>0</v>
      </c>
      <c r="J2336" s="4" t="str">
        <f>IF(C2336="","",Order!$O$16)</f>
        <v>WOOD FINISH (BA)</v>
      </c>
      <c r="K2336" s="36">
        <f>IF($C2336="","",_xlfn.XLOOKUP($C2336,Order!$C:$C,Order!$P:$P,"",0,1))</f>
        <v>0</v>
      </c>
      <c r="L2336" s="4">
        <f t="shared" si="36"/>
        <v>0</v>
      </c>
    </row>
    <row r="2337" spans="2:12" ht="23.25" hidden="1" customHeight="1" x14ac:dyDescent="0.25">
      <c r="B2337" s="4">
        <v>2332</v>
      </c>
      <c r="C2337" s="36" t="str">
        <f>IF(Order!$C$278="","",Order!$C$278)</f>
        <v>FU350</v>
      </c>
      <c r="D2337" s="36" t="str">
        <f>IF($C2337="","",_xlfn.XLOOKUP($C2337,Order!$C:$C,Order!$D:$D,"",0,1))</f>
        <v>FU350</v>
      </c>
      <c r="E2337" s="4" t="e" vm="461">
        <f>IF($C2337="","",_xlfn.XLOOKUP($C2337,Order!$C:$C,Order!$E:$E,"",0,1))</f>
        <v>#VALUE!</v>
      </c>
      <c r="F2337" s="4">
        <f>IF($C2337="","",_xlfn.XLOOKUP($C2337,Order!$C:$C,Order!$F:$F,"",0,1))</f>
        <v>6000</v>
      </c>
      <c r="G2337" s="4" t="str">
        <f>IF($C2337="","",_xlfn.XLOOKUP($C2337,Order!$C:$C,Order!$G:$G,"",0,1))</f>
        <v>6063T5</v>
      </c>
      <c r="H2337" s="4">
        <f>IF($C2337="","",_xlfn.XLOOKUP($C2337,Order!$C:$C,Order!$H:$H,"",0,1))</f>
        <v>0.45400000000000001</v>
      </c>
      <c r="I2337" s="36">
        <f>IF($C2337="","",_xlfn.XLOOKUP($C2337,Order!$C:$C,Order!$O:$O,"",0,1))</f>
        <v>0</v>
      </c>
      <c r="J2337" s="4" t="str">
        <f>IF(C2337="","",Order!$O$16)</f>
        <v>WOOD FINISH (BA)</v>
      </c>
      <c r="K2337" s="36">
        <f>IF($C2337="","",_xlfn.XLOOKUP($C2337,Order!$C:$C,Order!$P:$P,"",0,1))</f>
        <v>0</v>
      </c>
      <c r="L2337" s="4">
        <f t="shared" si="36"/>
        <v>0</v>
      </c>
    </row>
    <row r="2338" spans="2:12" ht="23.25" hidden="1" customHeight="1" x14ac:dyDescent="0.25">
      <c r="B2338" s="4">
        <v>2333</v>
      </c>
      <c r="C2338" s="36" t="str">
        <f>IF(Order!$C$279="","",Order!$C$279)</f>
        <v>FU362</v>
      </c>
      <c r="D2338" s="36" t="str">
        <f>IF($C2338="","",_xlfn.XLOOKUP($C2338,Order!$C:$C,Order!$D:$D,"",0,1))</f>
        <v>FU362</v>
      </c>
      <c r="E2338" s="4" t="e" vm="462">
        <f>IF($C2338="","",_xlfn.XLOOKUP($C2338,Order!$C:$C,Order!$E:$E,"",0,1))</f>
        <v>#VALUE!</v>
      </c>
      <c r="F2338" s="4">
        <f>IF($C2338="","",_xlfn.XLOOKUP($C2338,Order!$C:$C,Order!$F:$F,"",0,1))</f>
        <v>6000</v>
      </c>
      <c r="G2338" s="4" t="str">
        <f>IF($C2338="","",_xlfn.XLOOKUP($C2338,Order!$C:$C,Order!$G:$G,"",0,1))</f>
        <v>6063T5</v>
      </c>
      <c r="H2338" s="4">
        <f>IF($C2338="","",_xlfn.XLOOKUP($C2338,Order!$C:$C,Order!$H:$H,"",0,1))</f>
        <v>0.66800000000000004</v>
      </c>
      <c r="I2338" s="36">
        <f>IF($C2338="","",_xlfn.XLOOKUP($C2338,Order!$C:$C,Order!$O:$O,"",0,1))</f>
        <v>0</v>
      </c>
      <c r="J2338" s="4" t="str">
        <f>IF(C2338="","",Order!$O$16)</f>
        <v>WOOD FINISH (BA)</v>
      </c>
      <c r="K2338" s="36">
        <f>IF($C2338="","",_xlfn.XLOOKUP($C2338,Order!$C:$C,Order!$P:$P,"",0,1))</f>
        <v>0</v>
      </c>
      <c r="L2338" s="4">
        <f t="shared" si="36"/>
        <v>0</v>
      </c>
    </row>
    <row r="2339" spans="2:12" ht="23.25" hidden="1" customHeight="1" x14ac:dyDescent="0.25">
      <c r="B2339" s="4">
        <v>2334</v>
      </c>
      <c r="C2339" s="36" t="str">
        <f>IF(Order!$C$280="","",Order!$C$280)</f>
        <v>FU363</v>
      </c>
      <c r="D2339" s="36" t="str">
        <f>IF($C2339="","",_xlfn.XLOOKUP($C2339,Order!$C:$C,Order!$D:$D,"",0,1))</f>
        <v>FU363</v>
      </c>
      <c r="E2339" s="4" t="e" vm="463">
        <f>IF($C2339="","",_xlfn.XLOOKUP($C2339,Order!$C:$C,Order!$E:$E,"",0,1))</f>
        <v>#VALUE!</v>
      </c>
      <c r="F2339" s="4">
        <f>IF($C2339="","",_xlfn.XLOOKUP($C2339,Order!$C:$C,Order!$F:$F,"",0,1))</f>
        <v>6000</v>
      </c>
      <c r="G2339" s="4" t="str">
        <f>IF($C2339="","",_xlfn.XLOOKUP($C2339,Order!$C:$C,Order!$G:$G,"",0,1))</f>
        <v>6063T5</v>
      </c>
      <c r="H2339" s="4">
        <f>IF($C2339="","",_xlfn.XLOOKUP($C2339,Order!$C:$C,Order!$H:$H,"",0,1))</f>
        <v>0.65300000000000002</v>
      </c>
      <c r="I2339" s="36">
        <f>IF($C2339="","",_xlfn.XLOOKUP($C2339,Order!$C:$C,Order!$O:$O,"",0,1))</f>
        <v>0</v>
      </c>
      <c r="J2339" s="4" t="str">
        <f>IF(C2339="","",Order!$O$16)</f>
        <v>WOOD FINISH (BA)</v>
      </c>
      <c r="K2339" s="36">
        <f>IF($C2339="","",_xlfn.XLOOKUP($C2339,Order!$C:$C,Order!$P:$P,"",0,1))</f>
        <v>0</v>
      </c>
      <c r="L2339" s="4">
        <f t="shared" si="36"/>
        <v>0</v>
      </c>
    </row>
    <row r="2340" spans="2:12" ht="23.25" hidden="1" customHeight="1" x14ac:dyDescent="0.25">
      <c r="B2340" s="4">
        <v>2335</v>
      </c>
      <c r="C2340" s="36" t="str">
        <f>IF(Order!$C$281="","",Order!$C$281)</f>
        <v>FU364</v>
      </c>
      <c r="D2340" s="36" t="str">
        <f>IF($C2340="","",_xlfn.XLOOKUP($C2340,Order!$C:$C,Order!$D:$D,"",0,1))</f>
        <v>FU364</v>
      </c>
      <c r="E2340" s="4" t="e" vm="464">
        <f>IF($C2340="","",_xlfn.XLOOKUP($C2340,Order!$C:$C,Order!$E:$E,"",0,1))</f>
        <v>#VALUE!</v>
      </c>
      <c r="F2340" s="4">
        <f>IF($C2340="","",_xlfn.XLOOKUP($C2340,Order!$C:$C,Order!$F:$F,"",0,1))</f>
        <v>6000</v>
      </c>
      <c r="G2340" s="4" t="str">
        <f>IF($C2340="","",_xlfn.XLOOKUP($C2340,Order!$C:$C,Order!$G:$G,"",0,1))</f>
        <v>6063T5</v>
      </c>
      <c r="H2340" s="4">
        <f>IF($C2340="","",_xlfn.XLOOKUP($C2340,Order!$C:$C,Order!$H:$H,"",0,1))</f>
        <v>0.61</v>
      </c>
      <c r="I2340" s="36">
        <f>IF($C2340="","",_xlfn.XLOOKUP($C2340,Order!$C:$C,Order!$O:$O,"",0,1))</f>
        <v>0</v>
      </c>
      <c r="J2340" s="4" t="str">
        <f>IF(C2340="","",Order!$O$16)</f>
        <v>WOOD FINISH (BA)</v>
      </c>
      <c r="K2340" s="36">
        <f>IF($C2340="","",_xlfn.XLOOKUP($C2340,Order!$C:$C,Order!$P:$P,"",0,1))</f>
        <v>0</v>
      </c>
      <c r="L2340" s="4">
        <f t="shared" si="36"/>
        <v>0</v>
      </c>
    </row>
    <row r="2341" spans="2:12" ht="23.25" hidden="1" customHeight="1" x14ac:dyDescent="0.25">
      <c r="B2341" s="4">
        <v>2336</v>
      </c>
      <c r="C2341" s="36" t="str">
        <f>IF(Order!$C$282="","",Order!$C$282)</f>
        <v>FU899</v>
      </c>
      <c r="D2341" s="36" t="str">
        <f>IF($C2341="","",_xlfn.XLOOKUP($C2341,Order!$C:$C,Order!$D:$D,"",0,1))</f>
        <v>FU899</v>
      </c>
      <c r="E2341" s="4" t="e" vm="465">
        <f>IF($C2341="","",_xlfn.XLOOKUP($C2341,Order!$C:$C,Order!$E:$E,"",0,1))</f>
        <v>#VALUE!</v>
      </c>
      <c r="F2341" s="4">
        <f>IF($C2341="","",_xlfn.XLOOKUP($C2341,Order!$C:$C,Order!$F:$F,"",0,1))</f>
        <v>6000</v>
      </c>
      <c r="G2341" s="4" t="str">
        <f>IF($C2341="","",_xlfn.XLOOKUP($C2341,Order!$C:$C,Order!$G:$G,"",0,1))</f>
        <v>6063T5</v>
      </c>
      <c r="H2341" s="4">
        <f>IF($C2341="","",_xlfn.XLOOKUP($C2341,Order!$C:$C,Order!$H:$H,"",0,1))</f>
        <v>0.52900000000000003</v>
      </c>
      <c r="I2341" s="36">
        <f>IF($C2341="","",_xlfn.XLOOKUP($C2341,Order!$C:$C,Order!$O:$O,"",0,1))</f>
        <v>0</v>
      </c>
      <c r="J2341" s="4" t="str">
        <f>IF(C2341="","",Order!$O$16)</f>
        <v>WOOD FINISH (BA)</v>
      </c>
      <c r="K2341" s="36">
        <f>IF($C2341="","",_xlfn.XLOOKUP($C2341,Order!$C:$C,Order!$P:$P,"",0,1))</f>
        <v>0</v>
      </c>
      <c r="L2341" s="4">
        <f t="shared" si="36"/>
        <v>0</v>
      </c>
    </row>
    <row r="2342" spans="2:12" ht="23.25" hidden="1" customHeight="1" x14ac:dyDescent="0.25">
      <c r="B2342" s="4">
        <v>2337</v>
      </c>
      <c r="C2342" s="36" t="str">
        <f>IF(Order!$C$283="","",Order!$C$283)</f>
        <v>FU900</v>
      </c>
      <c r="D2342" s="36" t="str">
        <f>IF($C2342="","",_xlfn.XLOOKUP($C2342,Order!$C:$C,Order!$D:$D,"",0,1))</f>
        <v>FU900</v>
      </c>
      <c r="E2342" s="4" t="e" vm="466">
        <f>IF($C2342="","",_xlfn.XLOOKUP($C2342,Order!$C:$C,Order!$E:$E,"",0,1))</f>
        <v>#VALUE!</v>
      </c>
      <c r="F2342" s="4">
        <f>IF($C2342="","",_xlfn.XLOOKUP($C2342,Order!$C:$C,Order!$F:$F,"",0,1))</f>
        <v>6000</v>
      </c>
      <c r="G2342" s="4" t="str">
        <f>IF($C2342="","",_xlfn.XLOOKUP($C2342,Order!$C:$C,Order!$G:$G,"",0,1))</f>
        <v>6063T5</v>
      </c>
      <c r="H2342" s="4">
        <f>IF($C2342="","",_xlfn.XLOOKUP($C2342,Order!$C:$C,Order!$H:$H,"",0,1))</f>
        <v>0.48499999999999999</v>
      </c>
      <c r="I2342" s="36">
        <f>IF($C2342="","",_xlfn.XLOOKUP($C2342,Order!$C:$C,Order!$O:$O,"",0,1))</f>
        <v>0</v>
      </c>
      <c r="J2342" s="4" t="str">
        <f>IF(C2342="","",Order!$O$16)</f>
        <v>WOOD FINISH (BA)</v>
      </c>
      <c r="K2342" s="36">
        <f>IF($C2342="","",_xlfn.XLOOKUP($C2342,Order!$C:$C,Order!$P:$P,"",0,1))</f>
        <v>0</v>
      </c>
      <c r="L2342" s="4">
        <f t="shared" si="36"/>
        <v>0</v>
      </c>
    </row>
    <row r="2343" spans="2:12" ht="23.25" hidden="1" customHeight="1" x14ac:dyDescent="0.25">
      <c r="B2343" s="4">
        <v>2338</v>
      </c>
      <c r="C2343" s="36" t="str">
        <f>IF(Order!$C$284="","",Order!$C$284)</f>
        <v>FU901</v>
      </c>
      <c r="D2343" s="36" t="str">
        <f>IF($C2343="","",_xlfn.XLOOKUP($C2343,Order!$C:$C,Order!$D:$D,"",0,1))</f>
        <v>FU901</v>
      </c>
      <c r="E2343" s="4" t="e" vm="467">
        <f>IF($C2343="","",_xlfn.XLOOKUP($C2343,Order!$C:$C,Order!$E:$E,"",0,1))</f>
        <v>#VALUE!</v>
      </c>
      <c r="F2343" s="4">
        <f>IF($C2343="","",_xlfn.XLOOKUP($C2343,Order!$C:$C,Order!$F:$F,"",0,1))</f>
        <v>6000</v>
      </c>
      <c r="G2343" s="4" t="str">
        <f>IF($C2343="","",_xlfn.XLOOKUP($C2343,Order!$C:$C,Order!$G:$G,"",0,1))</f>
        <v>6063T5</v>
      </c>
      <c r="H2343" s="4">
        <f>IF($C2343="","",_xlfn.XLOOKUP($C2343,Order!$C:$C,Order!$H:$H,"",0,1))</f>
        <v>0.54100000000000004</v>
      </c>
      <c r="I2343" s="36">
        <f>IF($C2343="","",_xlfn.XLOOKUP($C2343,Order!$C:$C,Order!$O:$O,"",0,1))</f>
        <v>0</v>
      </c>
      <c r="J2343" s="4" t="str">
        <f>IF(C2343="","",Order!$O$16)</f>
        <v>WOOD FINISH (BA)</v>
      </c>
      <c r="K2343" s="36">
        <f>IF($C2343="","",_xlfn.XLOOKUP($C2343,Order!$C:$C,Order!$P:$P,"",0,1))</f>
        <v>0</v>
      </c>
      <c r="L2343" s="4">
        <f t="shared" si="36"/>
        <v>0</v>
      </c>
    </row>
    <row r="2344" spans="2:12" ht="23.25" hidden="1" customHeight="1" x14ac:dyDescent="0.25">
      <c r="B2344" s="4">
        <v>2339</v>
      </c>
      <c r="C2344" s="36" t="str">
        <f>IF(Order!$C$285="","",Order!$C$285)</f>
        <v>MT0113</v>
      </c>
      <c r="D2344" s="36" t="str">
        <f>IF($C2344="","",_xlfn.XLOOKUP($C2344,Order!$C:$C,Order!$D:$D,"",0,1))</f>
        <v>MT0113</v>
      </c>
      <c r="E2344" s="4" t="e" vm="468">
        <f>IF($C2344="","",_xlfn.XLOOKUP($C2344,Order!$C:$C,Order!$E:$E,"",0,1))</f>
        <v>#VALUE!</v>
      </c>
      <c r="F2344" s="4">
        <f>IF($C2344="","",_xlfn.XLOOKUP($C2344,Order!$C:$C,Order!$F:$F,"",0,1))</f>
        <v>6000</v>
      </c>
      <c r="G2344" s="4" t="str">
        <f>IF($C2344="","",_xlfn.XLOOKUP($C2344,Order!$C:$C,Order!$G:$G,"",0,1))</f>
        <v>6063T5</v>
      </c>
      <c r="H2344" s="4">
        <f>IF($C2344="","",_xlfn.XLOOKUP($C2344,Order!$C:$C,Order!$H:$H,"",0,1))</f>
        <v>0.54400000000000004</v>
      </c>
      <c r="I2344" s="36">
        <f>IF($C2344="","",_xlfn.XLOOKUP($C2344,Order!$C:$C,Order!$O:$O,"",0,1))</f>
        <v>0</v>
      </c>
      <c r="J2344" s="4" t="str">
        <f>IF(C2344="","",Order!$O$16)</f>
        <v>WOOD FINISH (BA)</v>
      </c>
      <c r="K2344" s="36">
        <f>IF($C2344="","",_xlfn.XLOOKUP($C2344,Order!$C:$C,Order!$P:$P,"",0,1))</f>
        <v>0</v>
      </c>
      <c r="L2344" s="4">
        <f t="shared" si="36"/>
        <v>0</v>
      </c>
    </row>
    <row r="2345" spans="2:12" ht="23.25" hidden="1" customHeight="1" x14ac:dyDescent="0.25">
      <c r="B2345" s="4">
        <v>2340</v>
      </c>
      <c r="C2345" s="36" t="str">
        <f>IF(Order!$C$286="","",Order!$C$286)</f>
        <v>MT0117</v>
      </c>
      <c r="D2345" s="36" t="str">
        <f>IF($C2345="","",_xlfn.XLOOKUP($C2345,Order!$C:$C,Order!$D:$D,"",0,1))</f>
        <v>MT0117</v>
      </c>
      <c r="E2345" s="4" t="e" vm="469">
        <f>IF($C2345="","",_xlfn.XLOOKUP($C2345,Order!$C:$C,Order!$E:$E,"",0,1))</f>
        <v>#VALUE!</v>
      </c>
      <c r="F2345" s="4">
        <f>IF($C2345="","",_xlfn.XLOOKUP($C2345,Order!$C:$C,Order!$F:$F,"",0,1))</f>
        <v>6000</v>
      </c>
      <c r="G2345" s="4" t="str">
        <f>IF($C2345="","",_xlfn.XLOOKUP($C2345,Order!$C:$C,Order!$G:$G,"",0,1))</f>
        <v>6063T5</v>
      </c>
      <c r="H2345" s="4">
        <f>IF($C2345="","",_xlfn.XLOOKUP($C2345,Order!$C:$C,Order!$H:$H,"",0,1))</f>
        <v>0.76300000000000001</v>
      </c>
      <c r="I2345" s="36">
        <f>IF($C2345="","",_xlfn.XLOOKUP($C2345,Order!$C:$C,Order!$O:$O,"",0,1))</f>
        <v>0</v>
      </c>
      <c r="J2345" s="4" t="str">
        <f>IF(C2345="","",Order!$O$16)</f>
        <v>WOOD FINISH (BA)</v>
      </c>
      <c r="K2345" s="36">
        <f>IF($C2345="","",_xlfn.XLOOKUP($C2345,Order!$C:$C,Order!$P:$P,"",0,1))</f>
        <v>0</v>
      </c>
      <c r="L2345" s="4">
        <f t="shared" si="36"/>
        <v>0</v>
      </c>
    </row>
    <row r="2346" spans="2:12" ht="23.25" hidden="1" customHeight="1" x14ac:dyDescent="0.25">
      <c r="B2346" s="4">
        <v>2341</v>
      </c>
      <c r="C2346" s="36" t="str">
        <f>IF(Order!$C$287="","",Order!$C$287)</f>
        <v>MT0121</v>
      </c>
      <c r="D2346" s="36" t="str">
        <f>IF($C2346="","",_xlfn.XLOOKUP($C2346,Order!$C:$C,Order!$D:$D,"",0,1))</f>
        <v>MT0121</v>
      </c>
      <c r="E2346" s="4" t="e" vm="470">
        <f>IF($C2346="","",_xlfn.XLOOKUP($C2346,Order!$C:$C,Order!$E:$E,"",0,1))</f>
        <v>#VALUE!</v>
      </c>
      <c r="F2346" s="4">
        <f>IF($C2346="","",_xlfn.XLOOKUP($C2346,Order!$C:$C,Order!$F:$F,"",0,1))</f>
        <v>6000</v>
      </c>
      <c r="G2346" s="4" t="str">
        <f>IF($C2346="","",_xlfn.XLOOKUP($C2346,Order!$C:$C,Order!$G:$G,"",0,1))</f>
        <v>6063T5</v>
      </c>
      <c r="H2346" s="4">
        <f>IF($C2346="","",_xlfn.XLOOKUP($C2346,Order!$C:$C,Order!$H:$H,"",0,1))</f>
        <v>0.91500000000000004</v>
      </c>
      <c r="I2346" s="36">
        <f>IF($C2346="","",_xlfn.XLOOKUP($C2346,Order!$C:$C,Order!$O:$O,"",0,1))</f>
        <v>0</v>
      </c>
      <c r="J2346" s="4" t="str">
        <f>IF(C2346="","",Order!$O$16)</f>
        <v>WOOD FINISH (BA)</v>
      </c>
      <c r="K2346" s="36">
        <f>IF($C2346="","",_xlfn.XLOOKUP($C2346,Order!$C:$C,Order!$P:$P,"",0,1))</f>
        <v>0</v>
      </c>
      <c r="L2346" s="4">
        <f t="shared" si="36"/>
        <v>0</v>
      </c>
    </row>
    <row r="2347" spans="2:12" ht="23.25" hidden="1" customHeight="1" x14ac:dyDescent="0.25">
      <c r="B2347" s="4">
        <v>2342</v>
      </c>
      <c r="C2347" s="36" t="str">
        <f>IF(Order!$C$288="","",Order!$C$288)</f>
        <v>BX823</v>
      </c>
      <c r="D2347" s="36" t="str">
        <f>IF($C2347="","",_xlfn.XLOOKUP($C2347,Order!$C:$C,Order!$D:$D,"",0,1))</f>
        <v>BX823</v>
      </c>
      <c r="E2347" s="4" t="e" vm="471">
        <f>IF($C2347="","",_xlfn.XLOOKUP($C2347,Order!$C:$C,Order!$E:$E,"",0,1))</f>
        <v>#VALUE!</v>
      </c>
      <c r="F2347" s="4">
        <f>IF($C2347="","",_xlfn.XLOOKUP($C2347,Order!$C:$C,Order!$F:$F,"",0,1))</f>
        <v>6000</v>
      </c>
      <c r="G2347" s="4" t="str">
        <f>IF($C2347="","",_xlfn.XLOOKUP($C2347,Order!$C:$C,Order!$G:$G,"",0,1))</f>
        <v>6063T5</v>
      </c>
      <c r="H2347" s="4">
        <f>IF($C2347="","",_xlfn.XLOOKUP($C2347,Order!$C:$C,Order!$H:$H,"",0,1))</f>
        <v>0</v>
      </c>
      <c r="I2347" s="36">
        <f>IF($C2347="","",_xlfn.XLOOKUP($C2347,Order!$C:$C,Order!$O:$O,"",0,1))</f>
        <v>0</v>
      </c>
      <c r="J2347" s="4" t="str">
        <f>IF(C2347="","",Order!$O$16)</f>
        <v>WOOD FINISH (BA)</v>
      </c>
      <c r="K2347" s="36">
        <f>IF($C2347="","",_xlfn.XLOOKUP($C2347,Order!$C:$C,Order!$P:$P,"",0,1))</f>
        <v>0</v>
      </c>
      <c r="L2347" s="4">
        <f t="shared" si="36"/>
        <v>0</v>
      </c>
    </row>
    <row r="2348" spans="2:12" ht="23.25" hidden="1" customHeight="1" x14ac:dyDescent="0.25">
      <c r="B2348" s="4">
        <v>2343</v>
      </c>
      <c r="C2348" s="36" t="str">
        <f>IF(Order!$C$289="","",Order!$C$289)</f>
        <v>BX824</v>
      </c>
      <c r="D2348" s="36" t="str">
        <f>IF($C2348="","",_xlfn.XLOOKUP($C2348,Order!$C:$C,Order!$D:$D,"",0,1))</f>
        <v>BX824</v>
      </c>
      <c r="E2348" s="4" t="e" vm="472">
        <f>IF($C2348="","",_xlfn.XLOOKUP($C2348,Order!$C:$C,Order!$E:$E,"",0,1))</f>
        <v>#VALUE!</v>
      </c>
      <c r="F2348" s="4">
        <f>IF($C2348="","",_xlfn.XLOOKUP($C2348,Order!$C:$C,Order!$F:$F,"",0,1))</f>
        <v>6000</v>
      </c>
      <c r="G2348" s="4" t="str">
        <f>IF($C2348="","",_xlfn.XLOOKUP($C2348,Order!$C:$C,Order!$G:$G,"",0,1))</f>
        <v>6063T5</v>
      </c>
      <c r="H2348" s="4">
        <f>IF($C2348="","",_xlfn.XLOOKUP($C2348,Order!$C:$C,Order!$H:$H,"",0,1))</f>
        <v>0.47299999999999998</v>
      </c>
      <c r="I2348" s="36">
        <f>IF($C2348="","",_xlfn.XLOOKUP($C2348,Order!$C:$C,Order!$O:$O,"",0,1))</f>
        <v>0</v>
      </c>
      <c r="J2348" s="4" t="str">
        <f>IF(C2348="","",Order!$O$16)</f>
        <v>WOOD FINISH (BA)</v>
      </c>
      <c r="K2348" s="36">
        <f>IF($C2348="","",_xlfn.XLOOKUP($C2348,Order!$C:$C,Order!$P:$P,"",0,1))</f>
        <v>0</v>
      </c>
      <c r="L2348" s="4">
        <f t="shared" si="36"/>
        <v>0</v>
      </c>
    </row>
    <row r="2349" spans="2:12" ht="23.25" hidden="1" customHeight="1" x14ac:dyDescent="0.25">
      <c r="B2349" s="4">
        <v>2344</v>
      </c>
      <c r="C2349" s="36" t="str">
        <f>IF(Order!$C$290="","",Order!$C$290)</f>
        <v>BX825</v>
      </c>
      <c r="D2349" s="36" t="str">
        <f>IF($C2349="","",_xlfn.XLOOKUP($C2349,Order!$C:$C,Order!$D:$D,"",0,1))</f>
        <v>BX825</v>
      </c>
      <c r="E2349" s="4" t="e" vm="473">
        <f>IF($C2349="","",_xlfn.XLOOKUP($C2349,Order!$C:$C,Order!$E:$E,"",0,1))</f>
        <v>#VALUE!</v>
      </c>
      <c r="F2349" s="4">
        <f>IF($C2349="","",_xlfn.XLOOKUP($C2349,Order!$C:$C,Order!$F:$F,"",0,1))</f>
        <v>6000</v>
      </c>
      <c r="G2349" s="4" t="str">
        <f>IF($C2349="","",_xlfn.XLOOKUP($C2349,Order!$C:$C,Order!$G:$G,"",0,1))</f>
        <v>6063T5</v>
      </c>
      <c r="H2349" s="4">
        <f>IF($C2349="","",_xlfn.XLOOKUP($C2349,Order!$C:$C,Order!$H:$H,"",0,1))</f>
        <v>0</v>
      </c>
      <c r="I2349" s="36">
        <f>IF($C2349="","",_xlfn.XLOOKUP($C2349,Order!$C:$C,Order!$O:$O,"",0,1))</f>
        <v>0</v>
      </c>
      <c r="J2349" s="4" t="str">
        <f>IF(C2349="","",Order!$O$16)</f>
        <v>WOOD FINISH (BA)</v>
      </c>
      <c r="K2349" s="36">
        <f>IF($C2349="","",_xlfn.XLOOKUP($C2349,Order!$C:$C,Order!$P:$P,"",0,1))</f>
        <v>0</v>
      </c>
      <c r="L2349" s="4">
        <f t="shared" si="36"/>
        <v>0</v>
      </c>
    </row>
    <row r="2350" spans="2:12" ht="23.25" hidden="1" customHeight="1" x14ac:dyDescent="0.25">
      <c r="B2350" s="4">
        <v>2345</v>
      </c>
      <c r="C2350" s="36" t="str">
        <f>IF(Order!$C$291="","",Order!$C$291)</f>
        <v>BX826</v>
      </c>
      <c r="D2350" s="36" t="str">
        <f>IF($C2350="","",_xlfn.XLOOKUP($C2350,Order!$C:$C,Order!$D:$D,"",0,1))</f>
        <v>BX826</v>
      </c>
      <c r="E2350" s="4" t="e" vm="474">
        <f>IF($C2350="","",_xlfn.XLOOKUP($C2350,Order!$C:$C,Order!$E:$E,"",0,1))</f>
        <v>#VALUE!</v>
      </c>
      <c r="F2350" s="4">
        <f>IF($C2350="","",_xlfn.XLOOKUP($C2350,Order!$C:$C,Order!$F:$F,"",0,1))</f>
        <v>6000</v>
      </c>
      <c r="G2350" s="4" t="str">
        <f>IF($C2350="","",_xlfn.XLOOKUP($C2350,Order!$C:$C,Order!$G:$G,"",0,1))</f>
        <v>6063T5</v>
      </c>
      <c r="H2350" s="4">
        <f>IF($C2350="","",_xlfn.XLOOKUP($C2350,Order!$C:$C,Order!$H:$H,"",0,1))</f>
        <v>0.53800000000000003</v>
      </c>
      <c r="I2350" s="36">
        <f>IF($C2350="","",_xlfn.XLOOKUP($C2350,Order!$C:$C,Order!$O:$O,"",0,1))</f>
        <v>0</v>
      </c>
      <c r="J2350" s="4" t="str">
        <f>IF(C2350="","",Order!$O$16)</f>
        <v>WOOD FINISH (BA)</v>
      </c>
      <c r="K2350" s="36">
        <f>IF($C2350="","",_xlfn.XLOOKUP($C2350,Order!$C:$C,Order!$P:$P,"",0,1))</f>
        <v>0</v>
      </c>
      <c r="L2350" s="4">
        <f t="shared" si="36"/>
        <v>0</v>
      </c>
    </row>
    <row r="2351" spans="2:12" ht="23.25" hidden="1" customHeight="1" x14ac:dyDescent="0.25">
      <c r="B2351" s="4">
        <v>2346</v>
      </c>
      <c r="C2351" s="36" t="str">
        <f>IF(Order!$C$292="","",Order!$C$292)</f>
        <v>BX827</v>
      </c>
      <c r="D2351" s="36" t="str">
        <f>IF($C2351="","",_xlfn.XLOOKUP($C2351,Order!$C:$C,Order!$D:$D,"",0,1))</f>
        <v>BX827</v>
      </c>
      <c r="E2351" s="4" t="e" vm="475">
        <f>IF($C2351="","",_xlfn.XLOOKUP($C2351,Order!$C:$C,Order!$E:$E,"",0,1))</f>
        <v>#VALUE!</v>
      </c>
      <c r="F2351" s="4">
        <f>IF($C2351="","",_xlfn.XLOOKUP($C2351,Order!$C:$C,Order!$F:$F,"",0,1))</f>
        <v>6000</v>
      </c>
      <c r="G2351" s="4" t="str">
        <f>IF($C2351="","",_xlfn.XLOOKUP($C2351,Order!$C:$C,Order!$G:$G,"",0,1))</f>
        <v>6063T5</v>
      </c>
      <c r="H2351" s="4">
        <f>IF($C2351="","",_xlfn.XLOOKUP($C2351,Order!$C:$C,Order!$H:$H,"",0,1))</f>
        <v>0</v>
      </c>
      <c r="I2351" s="36">
        <f>IF($C2351="","",_xlfn.XLOOKUP($C2351,Order!$C:$C,Order!$O:$O,"",0,1))</f>
        <v>0</v>
      </c>
      <c r="J2351" s="4" t="str">
        <f>IF(C2351="","",Order!$O$16)</f>
        <v>WOOD FINISH (BA)</v>
      </c>
      <c r="K2351" s="36">
        <f>IF($C2351="","",_xlfn.XLOOKUP($C2351,Order!$C:$C,Order!$P:$P,"",0,1))</f>
        <v>0</v>
      </c>
      <c r="L2351" s="4">
        <f t="shared" si="36"/>
        <v>0</v>
      </c>
    </row>
    <row r="2352" spans="2:12" ht="23.25" hidden="1" customHeight="1" x14ac:dyDescent="0.25">
      <c r="B2352" s="4">
        <v>2347</v>
      </c>
      <c r="C2352" s="36" t="str">
        <f>IF(Order!$C$293="","",Order!$C$293)</f>
        <v>BX1087</v>
      </c>
      <c r="D2352" s="36" t="str">
        <f>IF($C2352="","",_xlfn.XLOOKUP($C2352,Order!$C:$C,Order!$D:$D,"",0,1))</f>
        <v>BX1087</v>
      </c>
      <c r="E2352" s="4" t="e" vm="476">
        <f>IF($C2352="","",_xlfn.XLOOKUP($C2352,Order!$C:$C,Order!$E:$E,"",0,1))</f>
        <v>#VALUE!</v>
      </c>
      <c r="F2352" s="4">
        <f>IF($C2352="","",_xlfn.XLOOKUP($C2352,Order!$C:$C,Order!$F:$F,"",0,1))</f>
        <v>6000</v>
      </c>
      <c r="G2352" s="4" t="str">
        <f>IF($C2352="","",_xlfn.XLOOKUP($C2352,Order!$C:$C,Order!$G:$G,"",0,1))</f>
        <v>6063T5</v>
      </c>
      <c r="H2352" s="4">
        <f>IF($C2352="","",_xlfn.XLOOKUP($C2352,Order!$C:$C,Order!$H:$H,"",0,1))</f>
        <v>0.58399999999999996</v>
      </c>
      <c r="I2352" s="36">
        <f>IF($C2352="","",_xlfn.XLOOKUP($C2352,Order!$C:$C,Order!$O:$O,"",0,1))</f>
        <v>0</v>
      </c>
      <c r="J2352" s="4" t="str">
        <f>IF(C2352="","",Order!$O$16)</f>
        <v>WOOD FINISH (BA)</v>
      </c>
      <c r="K2352" s="36">
        <f>IF($C2352="","",_xlfn.XLOOKUP($C2352,Order!$C:$C,Order!$P:$P,"",0,1))</f>
        <v>0</v>
      </c>
      <c r="L2352" s="4">
        <f t="shared" si="36"/>
        <v>0</v>
      </c>
    </row>
    <row r="2353" spans="2:12" ht="23.25" hidden="1" customHeight="1" x14ac:dyDescent="0.25">
      <c r="B2353" s="4">
        <v>2348</v>
      </c>
      <c r="C2353" s="36" t="str">
        <f>IF(Order!$C$294="","",Order!$C$294)</f>
        <v>ME013</v>
      </c>
      <c r="D2353" s="36" t="str">
        <f>IF($C2353="","",_xlfn.XLOOKUP($C2353,Order!$C:$C,Order!$D:$D,"",0,1))</f>
        <v>ME013</v>
      </c>
      <c r="E2353" s="4" t="e" vm="477">
        <f>IF($C2353="","",_xlfn.XLOOKUP($C2353,Order!$C:$C,Order!$E:$E,"",0,1))</f>
        <v>#VALUE!</v>
      </c>
      <c r="F2353" s="4">
        <f>IF($C2353="","",_xlfn.XLOOKUP($C2353,Order!$C:$C,Order!$F:$F,"",0,1))</f>
        <v>6000</v>
      </c>
      <c r="G2353" s="4" t="str">
        <f>IF($C2353="","",_xlfn.XLOOKUP($C2353,Order!$C:$C,Order!$G:$G,"",0,1))</f>
        <v>6063T5</v>
      </c>
      <c r="H2353" s="4">
        <f>IF($C2353="","",_xlfn.XLOOKUP($C2353,Order!$C:$C,Order!$H:$H,"",0,1))</f>
        <v>0.27600000000000002</v>
      </c>
      <c r="I2353" s="36">
        <f>IF($C2353="","",_xlfn.XLOOKUP($C2353,Order!$C:$C,Order!$O:$O,"",0,1))</f>
        <v>0</v>
      </c>
      <c r="J2353" s="4" t="str">
        <f>IF(C2353="","",Order!$O$16)</f>
        <v>WOOD FINISH (BA)</v>
      </c>
      <c r="K2353" s="36">
        <f>IF($C2353="","",_xlfn.XLOOKUP($C2353,Order!$C:$C,Order!$P:$P,"",0,1))</f>
        <v>0</v>
      </c>
      <c r="L2353" s="4">
        <f t="shared" si="36"/>
        <v>0</v>
      </c>
    </row>
    <row r="2354" spans="2:12" ht="23.25" hidden="1" customHeight="1" x14ac:dyDescent="0.25">
      <c r="B2354" s="4">
        <v>2349</v>
      </c>
      <c r="C2354" s="36" t="str">
        <f>IF(Order!$C$295="","",Order!$C$295)</f>
        <v/>
      </c>
      <c r="D2354" s="36" t="str">
        <f>IF($C2354="","",_xlfn.XLOOKUP($C2354,Order!$C:$C,Order!$D:$D,"",0,1))</f>
        <v/>
      </c>
      <c r="E2354" s="4" t="str">
        <f>IF($C2354="","",_xlfn.XLOOKUP($C2354,Order!$C:$C,Order!$E:$E,"",0,1))</f>
        <v/>
      </c>
      <c r="F2354" s="4" t="str">
        <f>IF($C2354="","",_xlfn.XLOOKUP($C2354,Order!$C:$C,Order!$F:$F,"",0,1))</f>
        <v/>
      </c>
      <c r="G2354" s="4" t="str">
        <f>IF($C2354="","",_xlfn.XLOOKUP($C2354,Order!$C:$C,Order!$G:$G,"",0,1))</f>
        <v/>
      </c>
      <c r="H2354" s="4" t="str">
        <f>IF($C2354="","",_xlfn.XLOOKUP($C2354,Order!$C:$C,Order!$H:$H,"",0,1))</f>
        <v/>
      </c>
      <c r="I2354" s="36" t="str">
        <f>IF($C2354="","",_xlfn.XLOOKUP($C2354,Order!$C:$C,Order!$O:$O,"",0,1))</f>
        <v/>
      </c>
      <c r="J2354" s="4" t="str">
        <f>IF(C2354="","",Order!$O$16)</f>
        <v/>
      </c>
      <c r="K2354" s="36" t="str">
        <f>IF($C2354="","",_xlfn.XLOOKUP($C2354,Order!$C:$C,Order!$P:$P,"",0,1))</f>
        <v/>
      </c>
      <c r="L2354" s="4" t="str">
        <f t="shared" si="36"/>
        <v/>
      </c>
    </row>
    <row r="2355" spans="2:12" ht="23.25" hidden="1" customHeight="1" x14ac:dyDescent="0.25">
      <c r="B2355" s="4">
        <v>2350</v>
      </c>
      <c r="C2355" s="36" t="str">
        <f>IF(Order!$C$296="","",Order!$C$296)</f>
        <v/>
      </c>
      <c r="D2355" s="36" t="str">
        <f>IF($C2355="","",_xlfn.XLOOKUP($C2355,Order!$C:$C,Order!$D:$D,"",0,1))</f>
        <v/>
      </c>
      <c r="E2355" s="4" t="str">
        <f>IF($C2355="","",_xlfn.XLOOKUP($C2355,Order!$C:$C,Order!$E:$E,"",0,1))</f>
        <v/>
      </c>
      <c r="F2355" s="4" t="str">
        <f>IF($C2355="","",_xlfn.XLOOKUP($C2355,Order!$C:$C,Order!$F:$F,"",0,1))</f>
        <v/>
      </c>
      <c r="G2355" s="4" t="str">
        <f>IF($C2355="","",_xlfn.XLOOKUP($C2355,Order!$C:$C,Order!$G:$G,"",0,1))</f>
        <v/>
      </c>
      <c r="H2355" s="4" t="str">
        <f>IF($C2355="","",_xlfn.XLOOKUP($C2355,Order!$C:$C,Order!$H:$H,"",0,1))</f>
        <v/>
      </c>
      <c r="I2355" s="36" t="str">
        <f>IF($C2355="","",_xlfn.XLOOKUP($C2355,Order!$C:$C,Order!$O:$O,"",0,1))</f>
        <v/>
      </c>
      <c r="J2355" s="4" t="str">
        <f>IF(C2355="","",Order!$O$16)</f>
        <v/>
      </c>
      <c r="K2355" s="36" t="str">
        <f>IF($C2355="","",_xlfn.XLOOKUP($C2355,Order!$C:$C,Order!$P:$P,"",0,1))</f>
        <v/>
      </c>
      <c r="L2355" s="4" t="str">
        <f t="shared" si="36"/>
        <v/>
      </c>
    </row>
    <row r="2356" spans="2:12" ht="23.25" hidden="1" customHeight="1" x14ac:dyDescent="0.25">
      <c r="B2356" s="4">
        <v>2351</v>
      </c>
      <c r="C2356" s="36" t="str">
        <f>IF(Order!$C$297="","",Order!$C$297)</f>
        <v/>
      </c>
      <c r="D2356" s="36" t="str">
        <f>IF($C2356="","",_xlfn.XLOOKUP($C2356,Order!$C:$C,Order!$D:$D,"",0,1))</f>
        <v/>
      </c>
      <c r="E2356" s="4" t="str">
        <f>IF($C2356="","",_xlfn.XLOOKUP($C2356,Order!$C:$C,Order!$E:$E,"",0,1))</f>
        <v/>
      </c>
      <c r="F2356" s="4" t="str">
        <f>IF($C2356="","",_xlfn.XLOOKUP($C2356,Order!$C:$C,Order!$F:$F,"",0,1))</f>
        <v/>
      </c>
      <c r="G2356" s="4" t="str">
        <f>IF($C2356="","",_xlfn.XLOOKUP($C2356,Order!$C:$C,Order!$G:$G,"",0,1))</f>
        <v/>
      </c>
      <c r="H2356" s="4" t="str">
        <f>IF($C2356="","",_xlfn.XLOOKUP($C2356,Order!$C:$C,Order!$H:$H,"",0,1))</f>
        <v/>
      </c>
      <c r="I2356" s="36" t="str">
        <f>IF($C2356="","",_xlfn.XLOOKUP($C2356,Order!$C:$C,Order!$O:$O,"",0,1))</f>
        <v/>
      </c>
      <c r="J2356" s="4" t="str">
        <f>IF(C2356="","",Order!$O$16)</f>
        <v/>
      </c>
      <c r="K2356" s="36" t="str">
        <f>IF($C2356="","",_xlfn.XLOOKUP($C2356,Order!$C:$C,Order!$P:$P,"",0,1))</f>
        <v/>
      </c>
      <c r="L2356" s="4" t="str">
        <f t="shared" si="36"/>
        <v/>
      </c>
    </row>
    <row r="2357" spans="2:12" ht="23.25" hidden="1" customHeight="1" x14ac:dyDescent="0.25">
      <c r="B2357" s="4">
        <v>2352</v>
      </c>
      <c r="C2357" s="36" t="str">
        <f>IF(Order!$C$298="","",Order!$C$298)</f>
        <v/>
      </c>
      <c r="D2357" s="36" t="str">
        <f>IF($C2357="","",_xlfn.XLOOKUP($C2357,Order!$C:$C,Order!$D:$D,"",0,1))</f>
        <v/>
      </c>
      <c r="E2357" s="4" t="str">
        <f>IF($C2357="","",_xlfn.XLOOKUP($C2357,Order!$C:$C,Order!$E:$E,"",0,1))</f>
        <v/>
      </c>
      <c r="F2357" s="4" t="str">
        <f>IF($C2357="","",_xlfn.XLOOKUP($C2357,Order!$C:$C,Order!$F:$F,"",0,1))</f>
        <v/>
      </c>
      <c r="G2357" s="4" t="str">
        <f>IF($C2357="","",_xlfn.XLOOKUP($C2357,Order!$C:$C,Order!$G:$G,"",0,1))</f>
        <v/>
      </c>
      <c r="H2357" s="4" t="str">
        <f>IF($C2357="","",_xlfn.XLOOKUP($C2357,Order!$C:$C,Order!$H:$H,"",0,1))</f>
        <v/>
      </c>
      <c r="I2357" s="36" t="str">
        <f>IF($C2357="","",_xlfn.XLOOKUP($C2357,Order!$C:$C,Order!$O:$O,"",0,1))</f>
        <v/>
      </c>
      <c r="J2357" s="4" t="str">
        <f>IF(C2357="","",Order!$O$16)</f>
        <v/>
      </c>
      <c r="K2357" s="36" t="str">
        <f>IF($C2357="","",_xlfn.XLOOKUP($C2357,Order!$C:$C,Order!$P:$P,"",0,1))</f>
        <v/>
      </c>
      <c r="L2357" s="4" t="str">
        <f t="shared" si="36"/>
        <v/>
      </c>
    </row>
    <row r="2358" spans="2:12" ht="23.25" hidden="1" customHeight="1" x14ac:dyDescent="0.25">
      <c r="B2358" s="4">
        <v>2353</v>
      </c>
      <c r="C2358" s="36" t="str">
        <f>IF(Order!$C$299="","",Order!$C$299)</f>
        <v/>
      </c>
      <c r="D2358" s="36" t="str">
        <f>IF($C2358="","",_xlfn.XLOOKUP($C2358,Order!$C:$C,Order!$D:$D,"",0,1))</f>
        <v/>
      </c>
      <c r="E2358" s="4" t="str">
        <f>IF($C2358="","",_xlfn.XLOOKUP($C2358,Order!$C:$C,Order!$E:$E,"",0,1))</f>
        <v/>
      </c>
      <c r="F2358" s="4" t="str">
        <f>IF($C2358="","",_xlfn.XLOOKUP($C2358,Order!$C:$C,Order!$F:$F,"",0,1))</f>
        <v/>
      </c>
      <c r="G2358" s="4" t="str">
        <f>IF($C2358="","",_xlfn.XLOOKUP($C2358,Order!$C:$C,Order!$G:$G,"",0,1))</f>
        <v/>
      </c>
      <c r="H2358" s="4" t="str">
        <f>IF($C2358="","",_xlfn.XLOOKUP($C2358,Order!$C:$C,Order!$H:$H,"",0,1))</f>
        <v/>
      </c>
      <c r="I2358" s="36" t="str">
        <f>IF($C2358="","",_xlfn.XLOOKUP($C2358,Order!$C:$C,Order!$O:$O,"",0,1))</f>
        <v/>
      </c>
      <c r="J2358" s="4" t="str">
        <f>IF(C2358="","",Order!$O$16)</f>
        <v/>
      </c>
      <c r="K2358" s="36" t="str">
        <f>IF($C2358="","",_xlfn.XLOOKUP($C2358,Order!$C:$C,Order!$P:$P,"",0,1))</f>
        <v/>
      </c>
      <c r="L2358" s="4" t="str">
        <f t="shared" si="36"/>
        <v/>
      </c>
    </row>
    <row r="2359" spans="2:12" ht="23.25" hidden="1" customHeight="1" x14ac:dyDescent="0.25">
      <c r="B2359" s="4">
        <v>2354</v>
      </c>
      <c r="C2359" s="36" t="str">
        <f>IF(Order!$C$300="","",Order!$C$300)</f>
        <v/>
      </c>
      <c r="D2359" s="36" t="str">
        <f>IF($C2359="","",_xlfn.XLOOKUP($C2359,Order!$C:$C,Order!$D:$D,"",0,1))</f>
        <v/>
      </c>
      <c r="E2359" s="4" t="str">
        <f>IF($C2359="","",_xlfn.XLOOKUP($C2359,Order!$C:$C,Order!$E:$E,"",0,1))</f>
        <v/>
      </c>
      <c r="F2359" s="4" t="str">
        <f>IF($C2359="","",_xlfn.XLOOKUP($C2359,Order!$C:$C,Order!$F:$F,"",0,1))</f>
        <v/>
      </c>
      <c r="G2359" s="4" t="str">
        <f>IF($C2359="","",_xlfn.XLOOKUP($C2359,Order!$C:$C,Order!$G:$G,"",0,1))</f>
        <v/>
      </c>
      <c r="H2359" s="4" t="str">
        <f>IF($C2359="","",_xlfn.XLOOKUP($C2359,Order!$C:$C,Order!$H:$H,"",0,1))</f>
        <v/>
      </c>
      <c r="I2359" s="36" t="str">
        <f>IF($C2359="","",_xlfn.XLOOKUP($C2359,Order!$C:$C,Order!$O:$O,"",0,1))</f>
        <v/>
      </c>
      <c r="J2359" s="4" t="str">
        <f>IF(C2359="","",Order!$O$16)</f>
        <v/>
      </c>
      <c r="K2359" s="36" t="str">
        <f>IF($C2359="","",_xlfn.XLOOKUP($C2359,Order!$C:$C,Order!$P:$P,"",0,1))</f>
        <v/>
      </c>
      <c r="L2359" s="4" t="str">
        <f t="shared" si="36"/>
        <v/>
      </c>
    </row>
    <row r="2360" spans="2:12" ht="23.25" hidden="1" customHeight="1" x14ac:dyDescent="0.25">
      <c r="B2360" s="4">
        <v>2355</v>
      </c>
      <c r="C2360" s="36" t="str">
        <f>IF(Order!$C$301="","",Order!$C$301)</f>
        <v/>
      </c>
      <c r="D2360" s="36" t="str">
        <f>IF($C2360="","",_xlfn.XLOOKUP($C2360,Order!$C:$C,Order!$D:$D,"",0,1))</f>
        <v/>
      </c>
      <c r="E2360" s="4" t="str">
        <f>IF($C2360="","",_xlfn.XLOOKUP($C2360,Order!$C:$C,Order!$E:$E,"",0,1))</f>
        <v/>
      </c>
      <c r="F2360" s="4" t="str">
        <f>IF($C2360="","",_xlfn.XLOOKUP($C2360,Order!$C:$C,Order!$F:$F,"",0,1))</f>
        <v/>
      </c>
      <c r="G2360" s="4" t="str">
        <f>IF($C2360="","",_xlfn.XLOOKUP($C2360,Order!$C:$C,Order!$G:$G,"",0,1))</f>
        <v/>
      </c>
      <c r="H2360" s="4" t="str">
        <f>IF($C2360="","",_xlfn.XLOOKUP($C2360,Order!$C:$C,Order!$H:$H,"",0,1))</f>
        <v/>
      </c>
      <c r="I2360" s="36" t="str">
        <f>IF($C2360="","",_xlfn.XLOOKUP($C2360,Order!$C:$C,Order!$O:$O,"",0,1))</f>
        <v/>
      </c>
      <c r="J2360" s="4" t="str">
        <f>IF(C2360="","",Order!$O$16)</f>
        <v/>
      </c>
      <c r="K2360" s="36" t="str">
        <f>IF($C2360="","",_xlfn.XLOOKUP($C2360,Order!$C:$C,Order!$P:$P,"",0,1))</f>
        <v/>
      </c>
      <c r="L2360" s="4" t="str">
        <f t="shared" si="36"/>
        <v/>
      </c>
    </row>
    <row r="2361" spans="2:12" ht="23.25" hidden="1" customHeight="1" x14ac:dyDescent="0.25">
      <c r="B2361" s="4">
        <v>2356</v>
      </c>
      <c r="C2361" s="36" t="str">
        <f>IF(Order!$C$302="","",Order!$C$302)</f>
        <v/>
      </c>
      <c r="D2361" s="36" t="str">
        <f>IF($C2361="","",_xlfn.XLOOKUP($C2361,Order!$C:$C,Order!$D:$D,"",0,1))</f>
        <v/>
      </c>
      <c r="E2361" s="4" t="str">
        <f>IF($C2361="","",_xlfn.XLOOKUP($C2361,Order!$C:$C,Order!$E:$E,"",0,1))</f>
        <v/>
      </c>
      <c r="F2361" s="4" t="str">
        <f>IF($C2361="","",_xlfn.XLOOKUP($C2361,Order!$C:$C,Order!$F:$F,"",0,1))</f>
        <v/>
      </c>
      <c r="G2361" s="4" t="str">
        <f>IF($C2361="","",_xlfn.XLOOKUP($C2361,Order!$C:$C,Order!$G:$G,"",0,1))</f>
        <v/>
      </c>
      <c r="H2361" s="4" t="str">
        <f>IF($C2361="","",_xlfn.XLOOKUP($C2361,Order!$C:$C,Order!$H:$H,"",0,1))</f>
        <v/>
      </c>
      <c r="I2361" s="36" t="str">
        <f>IF($C2361="","",_xlfn.XLOOKUP($C2361,Order!$C:$C,Order!$O:$O,"",0,1))</f>
        <v/>
      </c>
      <c r="J2361" s="4" t="str">
        <f>IF(C2361="","",Order!$O$16)</f>
        <v/>
      </c>
      <c r="K2361" s="36" t="str">
        <f>IF($C2361="","",_xlfn.XLOOKUP($C2361,Order!$C:$C,Order!$P:$P,"",0,1))</f>
        <v/>
      </c>
      <c r="L2361" s="4" t="str">
        <f t="shared" si="36"/>
        <v/>
      </c>
    </row>
    <row r="2362" spans="2:12" ht="23.25" hidden="1" customHeight="1" x14ac:dyDescent="0.25">
      <c r="B2362" s="4">
        <v>2357</v>
      </c>
      <c r="C2362" s="36" t="str">
        <f>IF(Order!$C$303="","",Order!$C$303)</f>
        <v/>
      </c>
      <c r="D2362" s="36" t="str">
        <f>IF($C2362="","",_xlfn.XLOOKUP($C2362,Order!$C:$C,Order!$D:$D,"",0,1))</f>
        <v/>
      </c>
      <c r="E2362" s="4" t="str">
        <f>IF($C2362="","",_xlfn.XLOOKUP($C2362,Order!$C:$C,Order!$E:$E,"",0,1))</f>
        <v/>
      </c>
      <c r="F2362" s="4" t="str">
        <f>IF($C2362="","",_xlfn.XLOOKUP($C2362,Order!$C:$C,Order!$F:$F,"",0,1))</f>
        <v/>
      </c>
      <c r="G2362" s="4" t="str">
        <f>IF($C2362="","",_xlfn.XLOOKUP($C2362,Order!$C:$C,Order!$G:$G,"",0,1))</f>
        <v/>
      </c>
      <c r="H2362" s="4" t="str">
        <f>IF($C2362="","",_xlfn.XLOOKUP($C2362,Order!$C:$C,Order!$H:$H,"",0,1))</f>
        <v/>
      </c>
      <c r="I2362" s="36" t="str">
        <f>IF($C2362="","",_xlfn.XLOOKUP($C2362,Order!$C:$C,Order!$O:$O,"",0,1))</f>
        <v/>
      </c>
      <c r="J2362" s="4" t="str">
        <f>IF(C2362="","",Order!$O$16)</f>
        <v/>
      </c>
      <c r="K2362" s="36" t="str">
        <f>IF($C2362="","",_xlfn.XLOOKUP($C2362,Order!$C:$C,Order!$P:$P,"",0,1))</f>
        <v/>
      </c>
      <c r="L2362" s="4" t="str">
        <f t="shared" si="36"/>
        <v/>
      </c>
    </row>
    <row r="2363" spans="2:12" ht="23.25" hidden="1" customHeight="1" x14ac:dyDescent="0.25">
      <c r="B2363" s="4">
        <v>2358</v>
      </c>
      <c r="C2363" s="36" t="str">
        <f>IF(Order!$C$304="","",Order!$C$304)</f>
        <v/>
      </c>
      <c r="D2363" s="36" t="str">
        <f>IF($C2363="","",_xlfn.XLOOKUP($C2363,Order!$C:$C,Order!$D:$D,"",0,1))</f>
        <v/>
      </c>
      <c r="E2363" s="4" t="str">
        <f>IF($C2363="","",_xlfn.XLOOKUP($C2363,Order!$C:$C,Order!$E:$E,"",0,1))</f>
        <v/>
      </c>
      <c r="F2363" s="4" t="str">
        <f>IF($C2363="","",_xlfn.XLOOKUP($C2363,Order!$C:$C,Order!$F:$F,"",0,1))</f>
        <v/>
      </c>
      <c r="G2363" s="4" t="str">
        <f>IF($C2363="","",_xlfn.XLOOKUP($C2363,Order!$C:$C,Order!$G:$G,"",0,1))</f>
        <v/>
      </c>
      <c r="H2363" s="4" t="str">
        <f>IF($C2363="","",_xlfn.XLOOKUP($C2363,Order!$C:$C,Order!$H:$H,"",0,1))</f>
        <v/>
      </c>
      <c r="I2363" s="36" t="str">
        <f>IF($C2363="","",_xlfn.XLOOKUP($C2363,Order!$C:$C,Order!$O:$O,"",0,1))</f>
        <v/>
      </c>
      <c r="J2363" s="4" t="str">
        <f>IF(C2363="","",Order!$O$16)</f>
        <v/>
      </c>
      <c r="K2363" s="36" t="str">
        <f>IF($C2363="","",_xlfn.XLOOKUP($C2363,Order!$C:$C,Order!$P:$P,"",0,1))</f>
        <v/>
      </c>
      <c r="L2363" s="4" t="str">
        <f t="shared" si="36"/>
        <v/>
      </c>
    </row>
    <row r="2364" spans="2:12" ht="23.25" hidden="1" customHeight="1" x14ac:dyDescent="0.25">
      <c r="B2364" s="4">
        <v>2359</v>
      </c>
      <c r="C2364" s="36" t="str">
        <f>IF(Order!$C$305="","",Order!$C$305)</f>
        <v/>
      </c>
      <c r="D2364" s="36" t="str">
        <f>IF($C2364="","",_xlfn.XLOOKUP($C2364,Order!$C:$C,Order!$D:$D,"",0,1))</f>
        <v/>
      </c>
      <c r="E2364" s="4" t="str">
        <f>IF($C2364="","",_xlfn.XLOOKUP($C2364,Order!$C:$C,Order!$E:$E,"",0,1))</f>
        <v/>
      </c>
      <c r="F2364" s="4" t="str">
        <f>IF($C2364="","",_xlfn.XLOOKUP($C2364,Order!$C:$C,Order!$F:$F,"",0,1))</f>
        <v/>
      </c>
      <c r="G2364" s="4" t="str">
        <f>IF($C2364="","",_xlfn.XLOOKUP($C2364,Order!$C:$C,Order!$G:$G,"",0,1))</f>
        <v/>
      </c>
      <c r="H2364" s="4" t="str">
        <f>IF($C2364="","",_xlfn.XLOOKUP($C2364,Order!$C:$C,Order!$H:$H,"",0,1))</f>
        <v/>
      </c>
      <c r="I2364" s="36" t="str">
        <f>IF($C2364="","",_xlfn.XLOOKUP($C2364,Order!$C:$C,Order!$O:$O,"",0,1))</f>
        <v/>
      </c>
      <c r="J2364" s="4" t="str">
        <f>IF(C2364="","",Order!$O$16)</f>
        <v/>
      </c>
      <c r="K2364" s="36" t="str">
        <f>IF($C2364="","",_xlfn.XLOOKUP($C2364,Order!$C:$C,Order!$P:$P,"",0,1))</f>
        <v/>
      </c>
      <c r="L2364" s="4" t="str">
        <f t="shared" si="36"/>
        <v/>
      </c>
    </row>
    <row r="2365" spans="2:12" ht="23.25" hidden="1" customHeight="1" x14ac:dyDescent="0.25">
      <c r="B2365" s="4">
        <v>2360</v>
      </c>
      <c r="C2365" s="36" t="str">
        <f>IF(Order!$C$306="","",Order!$C$306)</f>
        <v>BX662</v>
      </c>
      <c r="D2365" s="36" t="str">
        <f>IF($C2365="","",_xlfn.XLOOKUP($C2365,Order!$C:$C,Order!$D:$D,"",0,1))</f>
        <v>BX662</v>
      </c>
      <c r="E2365" s="4" t="e" vm="478">
        <f>IF($C2365="","",_xlfn.XLOOKUP($C2365,Order!$C:$C,Order!$E:$E,"",0,1))</f>
        <v>#VALUE!</v>
      </c>
      <c r="F2365" s="4">
        <f>IF($C2365="","",_xlfn.XLOOKUP($C2365,Order!$C:$C,Order!$F:$F,"",0,1))</f>
        <v>6000</v>
      </c>
      <c r="G2365" s="4" t="str">
        <f>IF($C2365="","",_xlfn.XLOOKUP($C2365,Order!$C:$C,Order!$G:$G,"",0,1))</f>
        <v>6063T5</v>
      </c>
      <c r="H2365" s="4">
        <f>IF($C2365="","",_xlfn.XLOOKUP($C2365,Order!$C:$C,Order!$H:$H,"",0,1))</f>
        <v>0.96499999999999997</v>
      </c>
      <c r="I2365" s="36">
        <f>IF($C2365="","",_xlfn.XLOOKUP($C2365,Order!$C:$C,Order!$O:$O,"",0,1))</f>
        <v>0</v>
      </c>
      <c r="J2365" s="4" t="str">
        <f>IF(C2365="","",Order!$O$16)</f>
        <v>WOOD FINISH (BA)</v>
      </c>
      <c r="K2365" s="36">
        <f>IF($C2365="","",_xlfn.XLOOKUP($C2365,Order!$C:$C,Order!$P:$P,"",0,1))</f>
        <v>0</v>
      </c>
      <c r="L2365" s="4">
        <f t="shared" si="36"/>
        <v>0</v>
      </c>
    </row>
    <row r="2366" spans="2:12" ht="23.25" hidden="1" customHeight="1" x14ac:dyDescent="0.25">
      <c r="B2366" s="4">
        <v>2361</v>
      </c>
      <c r="C2366" s="36" t="str">
        <f>IF(Order!$C$307="","",Order!$C$307)</f>
        <v>BX663</v>
      </c>
      <c r="D2366" s="36" t="str">
        <f>IF($C2366="","",_xlfn.XLOOKUP($C2366,Order!$C:$C,Order!$D:$D,"",0,1))</f>
        <v>BX663</v>
      </c>
      <c r="E2366" s="4" t="e" vm="479">
        <f>IF($C2366="","",_xlfn.XLOOKUP($C2366,Order!$C:$C,Order!$E:$E,"",0,1))</f>
        <v>#VALUE!</v>
      </c>
      <c r="F2366" s="4">
        <f>IF($C2366="","",_xlfn.XLOOKUP($C2366,Order!$C:$C,Order!$F:$F,"",0,1))</f>
        <v>6000</v>
      </c>
      <c r="G2366" s="4" t="str">
        <f>IF($C2366="","",_xlfn.XLOOKUP($C2366,Order!$C:$C,Order!$G:$G,"",0,1))</f>
        <v>6063T5</v>
      </c>
      <c r="H2366" s="4">
        <f>IF($C2366="","",_xlfn.XLOOKUP($C2366,Order!$C:$C,Order!$H:$H,"",0,1))</f>
        <v>0.58899999999999997</v>
      </c>
      <c r="I2366" s="36">
        <f>IF($C2366="","",_xlfn.XLOOKUP($C2366,Order!$C:$C,Order!$O:$O,"",0,1))</f>
        <v>0</v>
      </c>
      <c r="J2366" s="4" t="str">
        <f>IF(C2366="","",Order!$O$16)</f>
        <v>WOOD FINISH (BA)</v>
      </c>
      <c r="K2366" s="36">
        <f>IF($C2366="","",_xlfn.XLOOKUP($C2366,Order!$C:$C,Order!$P:$P,"",0,1))</f>
        <v>0</v>
      </c>
      <c r="L2366" s="4">
        <f t="shared" si="36"/>
        <v>0</v>
      </c>
    </row>
    <row r="2367" spans="2:12" ht="23.25" hidden="1" customHeight="1" x14ac:dyDescent="0.25">
      <c r="B2367" s="4">
        <v>2362</v>
      </c>
      <c r="C2367" s="36" t="str">
        <f>IF(Order!$C$308="","",Order!$C$308)</f>
        <v>BX664</v>
      </c>
      <c r="D2367" s="36" t="str">
        <f>IF($C2367="","",_xlfn.XLOOKUP($C2367,Order!$C:$C,Order!$D:$D,"",0,1))</f>
        <v>BX664</v>
      </c>
      <c r="E2367" s="4" t="e" vm="480">
        <f>IF($C2367="","",_xlfn.XLOOKUP($C2367,Order!$C:$C,Order!$E:$E,"",0,1))</f>
        <v>#VALUE!</v>
      </c>
      <c r="F2367" s="4">
        <f>IF($C2367="","",_xlfn.XLOOKUP($C2367,Order!$C:$C,Order!$F:$F,"",0,1))</f>
        <v>6000</v>
      </c>
      <c r="G2367" s="4" t="str">
        <f>IF($C2367="","",_xlfn.XLOOKUP($C2367,Order!$C:$C,Order!$G:$G,"",0,1))</f>
        <v>6063T5</v>
      </c>
      <c r="H2367" s="4">
        <f>IF($C2367="","",_xlfn.XLOOKUP($C2367,Order!$C:$C,Order!$H:$H,"",0,1))</f>
        <v>1.244</v>
      </c>
      <c r="I2367" s="36">
        <f>IF($C2367="","",_xlfn.XLOOKUP($C2367,Order!$C:$C,Order!$O:$O,"",0,1))</f>
        <v>0</v>
      </c>
      <c r="J2367" s="4" t="str">
        <f>IF(C2367="","",Order!$O$16)</f>
        <v>WOOD FINISH (BA)</v>
      </c>
      <c r="K2367" s="36">
        <f>IF($C2367="","",_xlfn.XLOOKUP($C2367,Order!$C:$C,Order!$P:$P,"",0,1))</f>
        <v>0</v>
      </c>
      <c r="L2367" s="4">
        <f t="shared" si="36"/>
        <v>0</v>
      </c>
    </row>
    <row r="2368" spans="2:12" ht="23.25" hidden="1" customHeight="1" x14ac:dyDescent="0.25">
      <c r="B2368" s="4">
        <v>2363</v>
      </c>
      <c r="C2368" s="36" t="str">
        <f>IF(Order!$C$309="","",Order!$C$309)</f>
        <v>BX665</v>
      </c>
      <c r="D2368" s="36" t="str">
        <f>IF($C2368="","",_xlfn.XLOOKUP($C2368,Order!$C:$C,Order!$D:$D,"",0,1))</f>
        <v>BX665</v>
      </c>
      <c r="E2368" s="4" t="e" vm="481">
        <f>IF($C2368="","",_xlfn.XLOOKUP($C2368,Order!$C:$C,Order!$E:$E,"",0,1))</f>
        <v>#VALUE!</v>
      </c>
      <c r="F2368" s="4">
        <f>IF($C2368="","",_xlfn.XLOOKUP($C2368,Order!$C:$C,Order!$F:$F,"",0,1))</f>
        <v>6000</v>
      </c>
      <c r="G2368" s="4" t="str">
        <f>IF($C2368="","",_xlfn.XLOOKUP($C2368,Order!$C:$C,Order!$G:$G,"",0,1))</f>
        <v>6063T5</v>
      </c>
      <c r="H2368" s="4">
        <f>IF($C2368="","",_xlfn.XLOOKUP($C2368,Order!$C:$C,Order!$H:$H,"",0,1))</f>
        <v>0.192</v>
      </c>
      <c r="I2368" s="36">
        <f>IF($C2368="","",_xlfn.XLOOKUP($C2368,Order!$C:$C,Order!$O:$O,"",0,1))</f>
        <v>0</v>
      </c>
      <c r="J2368" s="4" t="str">
        <f>IF(C2368="","",Order!$O$16)</f>
        <v>WOOD FINISH (BA)</v>
      </c>
      <c r="K2368" s="36">
        <f>IF($C2368="","",_xlfn.XLOOKUP($C2368,Order!$C:$C,Order!$P:$P,"",0,1))</f>
        <v>0</v>
      </c>
      <c r="L2368" s="4">
        <f t="shared" si="36"/>
        <v>0</v>
      </c>
    </row>
    <row r="2369" spans="2:12" ht="23.25" hidden="1" customHeight="1" x14ac:dyDescent="0.25">
      <c r="B2369" s="4">
        <v>2364</v>
      </c>
      <c r="C2369" s="36" t="str">
        <f>IF(Order!$C$310="","",Order!$C$310)</f>
        <v>BX666</v>
      </c>
      <c r="D2369" s="36" t="str">
        <f>IF($C2369="","",_xlfn.XLOOKUP($C2369,Order!$C:$C,Order!$D:$D,"",0,1))</f>
        <v>BX666</v>
      </c>
      <c r="E2369" s="4" t="e" vm="482">
        <f>IF($C2369="","",_xlfn.XLOOKUP($C2369,Order!$C:$C,Order!$E:$E,"",0,1))</f>
        <v>#VALUE!</v>
      </c>
      <c r="F2369" s="4">
        <f>IF($C2369="","",_xlfn.XLOOKUP($C2369,Order!$C:$C,Order!$F:$F,"",0,1))</f>
        <v>6000</v>
      </c>
      <c r="G2369" s="4" t="str">
        <f>IF($C2369="","",_xlfn.XLOOKUP($C2369,Order!$C:$C,Order!$G:$G,"",0,1))</f>
        <v>6063T5</v>
      </c>
      <c r="H2369" s="4">
        <f>IF($C2369="","",_xlfn.XLOOKUP($C2369,Order!$C:$C,Order!$H:$H,"",0,1))</f>
        <v>0.48799999999999999</v>
      </c>
      <c r="I2369" s="36">
        <f>IF($C2369="","",_xlfn.XLOOKUP($C2369,Order!$C:$C,Order!$O:$O,"",0,1))</f>
        <v>0</v>
      </c>
      <c r="J2369" s="4" t="str">
        <f>IF(C2369="","",Order!$O$16)</f>
        <v>WOOD FINISH (BA)</v>
      </c>
      <c r="K2369" s="36">
        <f>IF($C2369="","",_xlfn.XLOOKUP($C2369,Order!$C:$C,Order!$P:$P,"",0,1))</f>
        <v>0</v>
      </c>
      <c r="L2369" s="4">
        <f t="shared" si="36"/>
        <v>0</v>
      </c>
    </row>
    <row r="2370" spans="2:12" ht="23.25" hidden="1" customHeight="1" x14ac:dyDescent="0.25">
      <c r="B2370" s="4">
        <v>2365</v>
      </c>
      <c r="C2370" s="36" t="str">
        <f>IF(Order!$C$311="","",Order!$C$311)</f>
        <v>BX667</v>
      </c>
      <c r="D2370" s="36" t="str">
        <f>IF($C2370="","",_xlfn.XLOOKUP($C2370,Order!$C:$C,Order!$D:$D,"",0,1))</f>
        <v>BX667</v>
      </c>
      <c r="E2370" s="4" t="e" vm="483">
        <f>IF($C2370="","",_xlfn.XLOOKUP($C2370,Order!$C:$C,Order!$E:$E,"",0,1))</f>
        <v>#VALUE!</v>
      </c>
      <c r="F2370" s="4">
        <f>IF($C2370="","",_xlfn.XLOOKUP($C2370,Order!$C:$C,Order!$F:$F,"",0,1))</f>
        <v>6000</v>
      </c>
      <c r="G2370" s="4" t="str">
        <f>IF($C2370="","",_xlfn.XLOOKUP($C2370,Order!$C:$C,Order!$G:$G,"",0,1))</f>
        <v>6063T5</v>
      </c>
      <c r="H2370" s="4">
        <f>IF($C2370="","",_xlfn.XLOOKUP($C2370,Order!$C:$C,Order!$H:$H,"",0,1))</f>
        <v>0.48299999999999998</v>
      </c>
      <c r="I2370" s="36">
        <f>IF($C2370="","",_xlfn.XLOOKUP($C2370,Order!$C:$C,Order!$O:$O,"",0,1))</f>
        <v>0</v>
      </c>
      <c r="J2370" s="4" t="str">
        <f>IF(C2370="","",Order!$O$16)</f>
        <v>WOOD FINISH (BA)</v>
      </c>
      <c r="K2370" s="36">
        <f>IF($C2370="","",_xlfn.XLOOKUP($C2370,Order!$C:$C,Order!$P:$P,"",0,1))</f>
        <v>0</v>
      </c>
      <c r="L2370" s="4">
        <f t="shared" si="36"/>
        <v>0</v>
      </c>
    </row>
    <row r="2371" spans="2:12" ht="23.25" hidden="1" customHeight="1" x14ac:dyDescent="0.25">
      <c r="B2371" s="4">
        <v>2366</v>
      </c>
      <c r="C2371" s="36" t="str">
        <f>IF(Order!$C$312="","",Order!$C$312)</f>
        <v>BX709</v>
      </c>
      <c r="D2371" s="36" t="str">
        <f>IF($C2371="","",_xlfn.XLOOKUP($C2371,Order!$C:$C,Order!$D:$D,"",0,1))</f>
        <v>BX709</v>
      </c>
      <c r="E2371" s="4" t="e" vm="484">
        <f>IF($C2371="","",_xlfn.XLOOKUP($C2371,Order!$C:$C,Order!$E:$E,"",0,1))</f>
        <v>#VALUE!</v>
      </c>
      <c r="F2371" s="4">
        <f>IF($C2371="","",_xlfn.XLOOKUP($C2371,Order!$C:$C,Order!$F:$F,"",0,1))</f>
        <v>6000</v>
      </c>
      <c r="G2371" s="4" t="str">
        <f>IF($C2371="","",_xlfn.XLOOKUP($C2371,Order!$C:$C,Order!$G:$G,"",0,1))</f>
        <v>6063T5</v>
      </c>
      <c r="H2371" s="4">
        <f>IF($C2371="","",_xlfn.XLOOKUP($C2371,Order!$C:$C,Order!$H:$H,"",0,1))</f>
        <v>1.595</v>
      </c>
      <c r="I2371" s="36">
        <f>IF($C2371="","",_xlfn.XLOOKUP($C2371,Order!$C:$C,Order!$O:$O,"",0,1))</f>
        <v>0</v>
      </c>
      <c r="J2371" s="4" t="str">
        <f>IF(C2371="","",Order!$O$16)</f>
        <v>WOOD FINISH (BA)</v>
      </c>
      <c r="K2371" s="36">
        <f>IF($C2371="","",_xlfn.XLOOKUP($C2371,Order!$C:$C,Order!$P:$P,"",0,1))</f>
        <v>0</v>
      </c>
      <c r="L2371" s="4">
        <f t="shared" si="36"/>
        <v>0</v>
      </c>
    </row>
    <row r="2372" spans="2:12" ht="23.25" hidden="1" customHeight="1" x14ac:dyDescent="0.25">
      <c r="B2372" s="4">
        <v>2367</v>
      </c>
      <c r="C2372" s="36" t="str">
        <f>IF(Order!$C$313="","",Order!$C$313)</f>
        <v>BX710</v>
      </c>
      <c r="D2372" s="36" t="str">
        <f>IF($C2372="","",_xlfn.XLOOKUP($C2372,Order!$C:$C,Order!$D:$D,"",0,1))</f>
        <v>BX710</v>
      </c>
      <c r="E2372" s="4" t="e" vm="485">
        <f>IF($C2372="","",_xlfn.XLOOKUP($C2372,Order!$C:$C,Order!$E:$E,"",0,1))</f>
        <v>#VALUE!</v>
      </c>
      <c r="F2372" s="4">
        <f>IF($C2372="","",_xlfn.XLOOKUP($C2372,Order!$C:$C,Order!$F:$F,"",0,1))</f>
        <v>6000</v>
      </c>
      <c r="G2372" s="4" t="str">
        <f>IF($C2372="","",_xlfn.XLOOKUP($C2372,Order!$C:$C,Order!$G:$G,"",0,1))</f>
        <v>6063T5</v>
      </c>
      <c r="H2372" s="4">
        <f>IF($C2372="","",_xlfn.XLOOKUP($C2372,Order!$C:$C,Order!$H:$H,"",0,1))</f>
        <v>2.125</v>
      </c>
      <c r="I2372" s="36">
        <f>IF($C2372="","",_xlfn.XLOOKUP($C2372,Order!$C:$C,Order!$O:$O,"",0,1))</f>
        <v>0</v>
      </c>
      <c r="J2372" s="4" t="str">
        <f>IF(C2372="","",Order!$O$16)</f>
        <v>WOOD FINISH (BA)</v>
      </c>
      <c r="K2372" s="36">
        <f>IF($C2372="","",_xlfn.XLOOKUP($C2372,Order!$C:$C,Order!$P:$P,"",0,1))</f>
        <v>0</v>
      </c>
      <c r="L2372" s="4">
        <f t="shared" si="36"/>
        <v>0</v>
      </c>
    </row>
    <row r="2373" spans="2:12" ht="23.25" hidden="1" customHeight="1" x14ac:dyDescent="0.25">
      <c r="B2373" s="4">
        <v>2368</v>
      </c>
      <c r="C2373" s="36" t="str">
        <f>IF(Order!$C$314="","",Order!$C$314)</f>
        <v>BX713</v>
      </c>
      <c r="D2373" s="36" t="str">
        <f>IF($C2373="","",_xlfn.XLOOKUP($C2373,Order!$C:$C,Order!$D:$D,"",0,1))</f>
        <v>BX713</v>
      </c>
      <c r="E2373" s="4" t="e" vm="486">
        <f>IF($C2373="","",_xlfn.XLOOKUP($C2373,Order!$C:$C,Order!$E:$E,"",0,1))</f>
        <v>#VALUE!</v>
      </c>
      <c r="F2373" s="4">
        <f>IF($C2373="","",_xlfn.XLOOKUP($C2373,Order!$C:$C,Order!$F:$F,"",0,1))</f>
        <v>6000</v>
      </c>
      <c r="G2373" s="4" t="str">
        <f>IF($C2373="","",_xlfn.XLOOKUP($C2373,Order!$C:$C,Order!$G:$G,"",0,1))</f>
        <v>6063T5</v>
      </c>
      <c r="H2373" s="4">
        <f>IF($C2373="","",_xlfn.XLOOKUP($C2373,Order!$C:$C,Order!$H:$H,"",0,1))</f>
        <v>1.169</v>
      </c>
      <c r="I2373" s="36">
        <f>IF($C2373="","",_xlfn.XLOOKUP($C2373,Order!$C:$C,Order!$O:$O,"",0,1))</f>
        <v>0</v>
      </c>
      <c r="J2373" s="4" t="str">
        <f>IF(C2373="","",Order!$O$16)</f>
        <v>WOOD FINISH (BA)</v>
      </c>
      <c r="K2373" s="36">
        <f>IF($C2373="","",_xlfn.XLOOKUP($C2373,Order!$C:$C,Order!$P:$P,"",0,1))</f>
        <v>0</v>
      </c>
      <c r="L2373" s="4">
        <f t="shared" si="36"/>
        <v>0</v>
      </c>
    </row>
    <row r="2374" spans="2:12" ht="23.25" hidden="1" customHeight="1" x14ac:dyDescent="0.25">
      <c r="B2374" s="4">
        <v>2369</v>
      </c>
      <c r="C2374" s="36" t="str">
        <f>IF(Order!$C$315="","",Order!$C$315)</f>
        <v>BX716</v>
      </c>
      <c r="D2374" s="36" t="str">
        <f>IF($C2374="","",_xlfn.XLOOKUP($C2374,Order!$C:$C,Order!$D:$D,"",0,1))</f>
        <v>BX716</v>
      </c>
      <c r="E2374" s="4" t="e" vm="487">
        <f>IF($C2374="","",_xlfn.XLOOKUP($C2374,Order!$C:$C,Order!$E:$E,"",0,1))</f>
        <v>#VALUE!</v>
      </c>
      <c r="F2374" s="4">
        <f>IF($C2374="","",_xlfn.XLOOKUP($C2374,Order!$C:$C,Order!$F:$F,"",0,1))</f>
        <v>6000</v>
      </c>
      <c r="G2374" s="4" t="str">
        <f>IF($C2374="","",_xlfn.XLOOKUP($C2374,Order!$C:$C,Order!$G:$G,"",0,1))</f>
        <v>6063T5</v>
      </c>
      <c r="H2374" s="4">
        <f>IF($C2374="","",_xlfn.XLOOKUP($C2374,Order!$C:$C,Order!$H:$H,"",0,1))</f>
        <v>0.71699999999999997</v>
      </c>
      <c r="I2374" s="36">
        <f>IF($C2374="","",_xlfn.XLOOKUP($C2374,Order!$C:$C,Order!$O:$O,"",0,1))</f>
        <v>0</v>
      </c>
      <c r="J2374" s="4" t="str">
        <f>IF(C2374="","",Order!$O$16)</f>
        <v>WOOD FINISH (BA)</v>
      </c>
      <c r="K2374" s="36">
        <f>IF($C2374="","",_xlfn.XLOOKUP($C2374,Order!$C:$C,Order!$P:$P,"",0,1))</f>
        <v>0</v>
      </c>
      <c r="L2374" s="4">
        <f t="shared" si="36"/>
        <v>0</v>
      </c>
    </row>
    <row r="2375" spans="2:12" ht="23.25" hidden="1" customHeight="1" x14ac:dyDescent="0.25">
      <c r="B2375" s="4">
        <v>2370</v>
      </c>
      <c r="C2375" s="36" t="str">
        <f>IF(Order!$C$316="","",Order!$C$316)</f>
        <v>BX717A</v>
      </c>
      <c r="D2375" s="36" t="str">
        <f>IF($C2375="","",_xlfn.XLOOKUP($C2375,Order!$C:$C,Order!$D:$D,"",0,1))</f>
        <v>BX717A</v>
      </c>
      <c r="E2375" s="4" t="e" vm="488">
        <f>IF($C2375="","",_xlfn.XLOOKUP($C2375,Order!$C:$C,Order!$E:$E,"",0,1))</f>
        <v>#VALUE!</v>
      </c>
      <c r="F2375" s="4">
        <f>IF($C2375="","",_xlfn.XLOOKUP($C2375,Order!$C:$C,Order!$F:$F,"",0,1))</f>
        <v>6000</v>
      </c>
      <c r="G2375" s="4" t="str">
        <f>IF($C2375="","",_xlfn.XLOOKUP($C2375,Order!$C:$C,Order!$G:$G,"",0,1))</f>
        <v>6063T5</v>
      </c>
      <c r="H2375" s="4">
        <f>IF($C2375="","",_xlfn.XLOOKUP($C2375,Order!$C:$C,Order!$H:$H,"",0,1))</f>
        <v>0.68500000000000005</v>
      </c>
      <c r="I2375" s="36">
        <f>IF($C2375="","",_xlfn.XLOOKUP($C2375,Order!$C:$C,Order!$O:$O,"",0,1))</f>
        <v>0</v>
      </c>
      <c r="J2375" s="4" t="str">
        <f>IF(C2375="","",Order!$O$16)</f>
        <v>WOOD FINISH (BA)</v>
      </c>
      <c r="K2375" s="36">
        <f>IF($C2375="","",_xlfn.XLOOKUP($C2375,Order!$C:$C,Order!$P:$P,"",0,1))</f>
        <v>0</v>
      </c>
      <c r="L2375" s="4">
        <f t="shared" ref="L2375:L2421" si="37">IF(C2375="","",F2375/1000*H2375*I2375)</f>
        <v>0</v>
      </c>
    </row>
    <row r="2376" spans="2:12" ht="23.25" hidden="1" customHeight="1" x14ac:dyDescent="0.25">
      <c r="B2376" s="4">
        <v>2371</v>
      </c>
      <c r="C2376" s="36" t="str">
        <f>IF(Order!$C$317="","",Order!$C$317)</f>
        <v>BX1096 (FC-261)</v>
      </c>
      <c r="D2376" s="36" t="str">
        <f>IF($C2376="","",_xlfn.XLOOKUP($C2376,Order!$C:$C,Order!$D:$D,"",0,1))</f>
        <v>BX1096</v>
      </c>
      <c r="E2376" s="4" t="e" vm="489">
        <f>IF($C2376="","",_xlfn.XLOOKUP($C2376,Order!$C:$C,Order!$E:$E,"",0,1))</f>
        <v>#VALUE!</v>
      </c>
      <c r="F2376" s="4">
        <f>IF($C2376="","",_xlfn.XLOOKUP($C2376,Order!$C:$C,Order!$F:$F,"",0,1))</f>
        <v>6000</v>
      </c>
      <c r="G2376" s="4" t="str">
        <f>IF($C2376="","",_xlfn.XLOOKUP($C2376,Order!$C:$C,Order!$G:$G,"",0,1))</f>
        <v>6063T5</v>
      </c>
      <c r="H2376" s="4">
        <f>IF($C2376="","",_xlfn.XLOOKUP($C2376,Order!$C:$C,Order!$H:$H,"",0,1))</f>
        <v>0.46899999999999997</v>
      </c>
      <c r="I2376" s="36">
        <f>IF($C2376="","",_xlfn.XLOOKUP($C2376,Order!$C:$C,Order!$O:$O,"",0,1))</f>
        <v>0</v>
      </c>
      <c r="J2376" s="4" t="str">
        <f>IF(C2376="","",Order!$O$16)</f>
        <v>WOOD FINISH (BA)</v>
      </c>
      <c r="K2376" s="36">
        <f>IF($C2376="","",_xlfn.XLOOKUP($C2376,Order!$C:$C,Order!$P:$P,"",0,1))</f>
        <v>0</v>
      </c>
      <c r="L2376" s="4">
        <f t="shared" si="37"/>
        <v>0</v>
      </c>
    </row>
    <row r="2377" spans="2:12" ht="23.25" hidden="1" customHeight="1" x14ac:dyDescent="0.25">
      <c r="B2377" s="4">
        <v>2372</v>
      </c>
      <c r="C2377" s="36" t="str">
        <f>IF(Order!$C$318="","",Order!$C$318)</f>
        <v>BX1099 (FC-225)</v>
      </c>
      <c r="D2377" s="36" t="str">
        <f>IF($C2377="","",_xlfn.XLOOKUP($C2377,Order!$C:$C,Order!$D:$D,"",0,1))</f>
        <v>BX1099</v>
      </c>
      <c r="E2377" s="4" t="e" vm="490">
        <f>IF($C2377="","",_xlfn.XLOOKUP($C2377,Order!$C:$C,Order!$E:$E,"",0,1))</f>
        <v>#VALUE!</v>
      </c>
      <c r="F2377" s="4">
        <f>IF($C2377="","",_xlfn.XLOOKUP($C2377,Order!$C:$C,Order!$F:$F,"",0,1))</f>
        <v>6000</v>
      </c>
      <c r="G2377" s="4" t="str">
        <f>IF($C2377="","",_xlfn.XLOOKUP($C2377,Order!$C:$C,Order!$G:$G,"",0,1))</f>
        <v>6063T5</v>
      </c>
      <c r="H2377" s="4">
        <f>IF($C2377="","",_xlfn.XLOOKUP($C2377,Order!$C:$C,Order!$H:$H,"",0,1))</f>
        <v>0.51600000000000001</v>
      </c>
      <c r="I2377" s="36">
        <f>IF($C2377="","",_xlfn.XLOOKUP($C2377,Order!$C:$C,Order!$O:$O,"",0,1))</f>
        <v>0</v>
      </c>
      <c r="J2377" s="4" t="str">
        <f>IF(C2377="","",Order!$O$16)</f>
        <v>WOOD FINISH (BA)</v>
      </c>
      <c r="K2377" s="36">
        <f>IF($C2377="","",_xlfn.XLOOKUP($C2377,Order!$C:$C,Order!$P:$P,"",0,1))</f>
        <v>0</v>
      </c>
      <c r="L2377" s="4">
        <f t="shared" si="37"/>
        <v>0</v>
      </c>
    </row>
    <row r="2378" spans="2:12" ht="23.25" hidden="1" customHeight="1" x14ac:dyDescent="0.25">
      <c r="B2378" s="4">
        <v>2373</v>
      </c>
      <c r="C2378" s="36" t="str">
        <f>IF(Order!$C$319="","",Order!$C$319)</f>
        <v/>
      </c>
      <c r="D2378" s="36" t="str">
        <f>IF($C2378="","",_xlfn.XLOOKUP($C2378,Order!$C:$C,Order!$D:$D,"",0,1))</f>
        <v/>
      </c>
      <c r="E2378" s="4" t="str">
        <f>IF($C2378="","",_xlfn.XLOOKUP($C2378,Order!$C:$C,Order!$E:$E,"",0,1))</f>
        <v/>
      </c>
      <c r="F2378" s="4" t="str">
        <f>IF($C2378="","",_xlfn.XLOOKUP($C2378,Order!$C:$C,Order!$F:$F,"",0,1))</f>
        <v/>
      </c>
      <c r="G2378" s="4" t="str">
        <f>IF($C2378="","",_xlfn.XLOOKUP($C2378,Order!$C:$C,Order!$G:$G,"",0,1))</f>
        <v/>
      </c>
      <c r="H2378" s="4" t="str">
        <f>IF($C2378="","",_xlfn.XLOOKUP($C2378,Order!$C:$C,Order!$H:$H,"",0,1))</f>
        <v/>
      </c>
      <c r="I2378" s="36" t="str">
        <f>IF($C2378="","",_xlfn.XLOOKUP($C2378,Order!$C:$C,Order!$O:$O,"",0,1))</f>
        <v/>
      </c>
      <c r="J2378" s="4" t="str">
        <f>IF(C2378="","",Order!$O$16)</f>
        <v/>
      </c>
      <c r="K2378" s="36" t="str">
        <f>IF($C2378="","",_xlfn.XLOOKUP($C2378,Order!$C:$C,Order!$P:$P,"",0,1))</f>
        <v/>
      </c>
      <c r="L2378" s="4" t="str">
        <f t="shared" si="37"/>
        <v/>
      </c>
    </row>
    <row r="2379" spans="2:12" ht="23.25" hidden="1" customHeight="1" x14ac:dyDescent="0.25">
      <c r="B2379" s="4">
        <v>2374</v>
      </c>
      <c r="C2379" s="36" t="str">
        <f>IF(Order!$C$320="","",Order!$C$320)</f>
        <v/>
      </c>
      <c r="D2379" s="36" t="str">
        <f>IF($C2379="","",_xlfn.XLOOKUP($C2379,Order!$C:$C,Order!$D:$D,"",0,1))</f>
        <v/>
      </c>
      <c r="E2379" s="4" t="str">
        <f>IF($C2379="","",_xlfn.XLOOKUP($C2379,Order!$C:$C,Order!$E:$E,"",0,1))</f>
        <v/>
      </c>
      <c r="F2379" s="4" t="str">
        <f>IF($C2379="","",_xlfn.XLOOKUP($C2379,Order!$C:$C,Order!$F:$F,"",0,1))</f>
        <v/>
      </c>
      <c r="G2379" s="4" t="str">
        <f>IF($C2379="","",_xlfn.XLOOKUP($C2379,Order!$C:$C,Order!$G:$G,"",0,1))</f>
        <v/>
      </c>
      <c r="H2379" s="4" t="str">
        <f>IF($C2379="","",_xlfn.XLOOKUP($C2379,Order!$C:$C,Order!$H:$H,"",0,1))</f>
        <v/>
      </c>
      <c r="I2379" s="36" t="str">
        <f>IF($C2379="","",_xlfn.XLOOKUP($C2379,Order!$C:$C,Order!$O:$O,"",0,1))</f>
        <v/>
      </c>
      <c r="J2379" s="4" t="str">
        <f>IF(C2379="","",Order!$O$16)</f>
        <v/>
      </c>
      <c r="K2379" s="36" t="str">
        <f>IF($C2379="","",_xlfn.XLOOKUP($C2379,Order!$C:$C,Order!$P:$P,"",0,1))</f>
        <v/>
      </c>
      <c r="L2379" s="4" t="str">
        <f t="shared" si="37"/>
        <v/>
      </c>
    </row>
    <row r="2380" spans="2:12" ht="23.25" hidden="1" customHeight="1" x14ac:dyDescent="0.25">
      <c r="B2380" s="4">
        <v>2375</v>
      </c>
      <c r="C2380" s="36" t="str">
        <f>IF(Order!$C$321="","",Order!$C$321)</f>
        <v/>
      </c>
      <c r="D2380" s="36" t="str">
        <f>IF($C2380="","",_xlfn.XLOOKUP($C2380,Order!$C:$C,Order!$D:$D,"",0,1))</f>
        <v/>
      </c>
      <c r="E2380" s="4" t="str">
        <f>IF($C2380="","",_xlfn.XLOOKUP($C2380,Order!$C:$C,Order!$E:$E,"",0,1))</f>
        <v/>
      </c>
      <c r="F2380" s="4" t="str">
        <f>IF($C2380="","",_xlfn.XLOOKUP($C2380,Order!$C:$C,Order!$F:$F,"",0,1))</f>
        <v/>
      </c>
      <c r="G2380" s="4" t="str">
        <f>IF($C2380="","",_xlfn.XLOOKUP($C2380,Order!$C:$C,Order!$G:$G,"",0,1))</f>
        <v/>
      </c>
      <c r="H2380" s="4" t="str">
        <f>IF($C2380="","",_xlfn.XLOOKUP($C2380,Order!$C:$C,Order!$H:$H,"",0,1))</f>
        <v/>
      </c>
      <c r="I2380" s="36" t="str">
        <f>IF($C2380="","",_xlfn.XLOOKUP($C2380,Order!$C:$C,Order!$O:$O,"",0,1))</f>
        <v/>
      </c>
      <c r="J2380" s="4" t="str">
        <f>IF(C2380="","",Order!$O$16)</f>
        <v/>
      </c>
      <c r="K2380" s="36" t="str">
        <f>IF($C2380="","",_xlfn.XLOOKUP($C2380,Order!$C:$C,Order!$P:$P,"",0,1))</f>
        <v/>
      </c>
      <c r="L2380" s="4" t="str">
        <f t="shared" si="37"/>
        <v/>
      </c>
    </row>
    <row r="2381" spans="2:12" ht="23.25" hidden="1" customHeight="1" x14ac:dyDescent="0.25">
      <c r="B2381" s="4">
        <v>2376</v>
      </c>
      <c r="C2381" s="36" t="str">
        <f>IF(Order!$C$322="","",Order!$C$322)</f>
        <v/>
      </c>
      <c r="D2381" s="36" t="str">
        <f>IF($C2381="","",_xlfn.XLOOKUP($C2381,Order!$C:$C,Order!$D:$D,"",0,1))</f>
        <v/>
      </c>
      <c r="E2381" s="4" t="str">
        <f>IF($C2381="","",_xlfn.XLOOKUP($C2381,Order!$C:$C,Order!$E:$E,"",0,1))</f>
        <v/>
      </c>
      <c r="F2381" s="4" t="str">
        <f>IF($C2381="","",_xlfn.XLOOKUP($C2381,Order!$C:$C,Order!$F:$F,"",0,1))</f>
        <v/>
      </c>
      <c r="G2381" s="4" t="str">
        <f>IF($C2381="","",_xlfn.XLOOKUP($C2381,Order!$C:$C,Order!$G:$G,"",0,1))</f>
        <v/>
      </c>
      <c r="H2381" s="4" t="str">
        <f>IF($C2381="","",_xlfn.XLOOKUP($C2381,Order!$C:$C,Order!$H:$H,"",0,1))</f>
        <v/>
      </c>
      <c r="I2381" s="36" t="str">
        <f>IF($C2381="","",_xlfn.XLOOKUP($C2381,Order!$C:$C,Order!$O:$O,"",0,1))</f>
        <v/>
      </c>
      <c r="J2381" s="4" t="str">
        <f>IF(C2381="","",Order!$O$16)</f>
        <v/>
      </c>
      <c r="K2381" s="36" t="str">
        <f>IF($C2381="","",_xlfn.XLOOKUP($C2381,Order!$C:$C,Order!$P:$P,"",0,1))</f>
        <v/>
      </c>
      <c r="L2381" s="4" t="str">
        <f t="shared" si="37"/>
        <v/>
      </c>
    </row>
    <row r="2382" spans="2:12" ht="23.25" hidden="1" customHeight="1" x14ac:dyDescent="0.25">
      <c r="B2382" s="4">
        <v>2377</v>
      </c>
      <c r="C2382" s="36" t="str">
        <f>IF(Order!$C$323="","",Order!$C$323)</f>
        <v/>
      </c>
      <c r="D2382" s="36" t="str">
        <f>IF($C2382="","",_xlfn.XLOOKUP($C2382,Order!$C:$C,Order!$D:$D,"",0,1))</f>
        <v/>
      </c>
      <c r="E2382" s="4" t="str">
        <f>IF($C2382="","",_xlfn.XLOOKUP($C2382,Order!$C:$C,Order!$E:$E,"",0,1))</f>
        <v/>
      </c>
      <c r="F2382" s="4" t="str">
        <f>IF($C2382="","",_xlfn.XLOOKUP($C2382,Order!$C:$C,Order!$F:$F,"",0,1))</f>
        <v/>
      </c>
      <c r="G2382" s="4" t="str">
        <f>IF($C2382="","",_xlfn.XLOOKUP($C2382,Order!$C:$C,Order!$G:$G,"",0,1))</f>
        <v/>
      </c>
      <c r="H2382" s="4" t="str">
        <f>IF($C2382="","",_xlfn.XLOOKUP($C2382,Order!$C:$C,Order!$H:$H,"",0,1))</f>
        <v/>
      </c>
      <c r="I2382" s="36" t="str">
        <f>IF($C2382="","",_xlfn.XLOOKUP($C2382,Order!$C:$C,Order!$O:$O,"",0,1))</f>
        <v/>
      </c>
      <c r="J2382" s="4" t="str">
        <f>IF(C2382="","",Order!$O$16)</f>
        <v/>
      </c>
      <c r="K2382" s="36" t="str">
        <f>IF($C2382="","",_xlfn.XLOOKUP($C2382,Order!$C:$C,Order!$P:$P,"",0,1))</f>
        <v/>
      </c>
      <c r="L2382" s="4" t="str">
        <f t="shared" si="37"/>
        <v/>
      </c>
    </row>
    <row r="2383" spans="2:12" ht="23.25" hidden="1" customHeight="1" x14ac:dyDescent="0.25">
      <c r="B2383" s="4">
        <v>2378</v>
      </c>
      <c r="C2383" s="36" t="str">
        <f>IF(Order!$C$324="","",Order!$C$324)</f>
        <v>BX1095</v>
      </c>
      <c r="D2383" s="36" t="str">
        <f>IF($C2383="","",_xlfn.XLOOKUP($C2383,Order!$C:$C,Order!$D:$D,"",0,1))</f>
        <v>BX1095</v>
      </c>
      <c r="E2383" s="4" t="e" vm="491">
        <f>IF($C2383="","",_xlfn.XLOOKUP($C2383,Order!$C:$C,Order!$E:$E,"",0,1))</f>
        <v>#VALUE!</v>
      </c>
      <c r="F2383" s="4">
        <f>IF($C2383="","",_xlfn.XLOOKUP($C2383,Order!$C:$C,Order!$F:$F,"",0,1))</f>
        <v>6000</v>
      </c>
      <c r="G2383" s="4" t="str">
        <f>IF($C2383="","",_xlfn.XLOOKUP($C2383,Order!$C:$C,Order!$G:$G,"",0,1))</f>
        <v>6063T5</v>
      </c>
      <c r="H2383" s="4">
        <f>IF($C2383="","",_xlfn.XLOOKUP($C2383,Order!$C:$C,Order!$H:$H,"",0,1))</f>
        <v>0.64400000000000002</v>
      </c>
      <c r="I2383" s="36">
        <f>IF($C2383="","",_xlfn.XLOOKUP($C2383,Order!$C:$C,Order!$O:$O,"",0,1))</f>
        <v>0</v>
      </c>
      <c r="J2383" s="4" t="str">
        <f>IF(C2383="","",Order!$O$16)</f>
        <v>WOOD FINISH (BA)</v>
      </c>
      <c r="K2383" s="36">
        <f>IF($C2383="","",_xlfn.XLOOKUP($C2383,Order!$C:$C,Order!$P:$P,"",0,1))</f>
        <v>0</v>
      </c>
      <c r="L2383" s="4">
        <f t="shared" si="37"/>
        <v>0</v>
      </c>
    </row>
    <row r="2384" spans="2:12" ht="23.25" hidden="1" customHeight="1" x14ac:dyDescent="0.25">
      <c r="B2384" s="4">
        <v>2379</v>
      </c>
      <c r="C2384" s="36" t="str">
        <f>IF(Order!$C$325="","",Order!$C$325)</f>
        <v>BX1097</v>
      </c>
      <c r="D2384" s="36" t="str">
        <f>IF($C2384="","",_xlfn.XLOOKUP($C2384,Order!$C:$C,Order!$D:$D,"",0,1))</f>
        <v>BX1097</v>
      </c>
      <c r="E2384" s="4" t="e" vm="492">
        <f>IF($C2384="","",_xlfn.XLOOKUP($C2384,Order!$C:$C,Order!$E:$E,"",0,1))</f>
        <v>#VALUE!</v>
      </c>
      <c r="F2384" s="4">
        <f>IF($C2384="","",_xlfn.XLOOKUP($C2384,Order!$C:$C,Order!$F:$F,"",0,1))</f>
        <v>6000</v>
      </c>
      <c r="G2384" s="4" t="str">
        <f>IF($C2384="","",_xlfn.XLOOKUP($C2384,Order!$C:$C,Order!$G:$G,"",0,1))</f>
        <v>6063T5</v>
      </c>
      <c r="H2384" s="4">
        <f>IF($C2384="","",_xlfn.XLOOKUP($C2384,Order!$C:$C,Order!$H:$H,"",0,1))</f>
        <v>0.57499999999999996</v>
      </c>
      <c r="I2384" s="36">
        <f>IF($C2384="","",_xlfn.XLOOKUP($C2384,Order!$C:$C,Order!$O:$O,"",0,1))</f>
        <v>0</v>
      </c>
      <c r="J2384" s="4" t="str">
        <f>IF(C2384="","",Order!$O$16)</f>
        <v>WOOD FINISH (BA)</v>
      </c>
      <c r="K2384" s="36">
        <f>IF($C2384="","",_xlfn.XLOOKUP($C2384,Order!$C:$C,Order!$P:$P,"",0,1))</f>
        <v>0</v>
      </c>
      <c r="L2384" s="4">
        <f t="shared" si="37"/>
        <v>0</v>
      </c>
    </row>
    <row r="2385" spans="2:12" ht="23.25" hidden="1" customHeight="1" x14ac:dyDescent="0.25">
      <c r="B2385" s="4">
        <v>2380</v>
      </c>
      <c r="C2385" s="36" t="str">
        <f>IF(Order!$C$326="","",Order!$C$326)</f>
        <v>BX1103</v>
      </c>
      <c r="D2385" s="36" t="str">
        <f>IF($C2385="","",_xlfn.XLOOKUP($C2385,Order!$C:$C,Order!$D:$D,"",0,1))</f>
        <v>BX1103</v>
      </c>
      <c r="E2385" s="4" t="e" vm="493">
        <f>IF($C2385="","",_xlfn.XLOOKUP($C2385,Order!$C:$C,Order!$E:$E,"",0,1))</f>
        <v>#VALUE!</v>
      </c>
      <c r="F2385" s="4">
        <f>IF($C2385="","",_xlfn.XLOOKUP($C2385,Order!$C:$C,Order!$F:$F,"",0,1))</f>
        <v>6000</v>
      </c>
      <c r="G2385" s="4" t="str">
        <f>IF($C2385="","",_xlfn.XLOOKUP($C2385,Order!$C:$C,Order!$G:$G,"",0,1))</f>
        <v>6063T5</v>
      </c>
      <c r="H2385" s="4">
        <f>IF($C2385="","",_xlfn.XLOOKUP($C2385,Order!$C:$C,Order!$H:$H,"",0,1))</f>
        <v>0.6</v>
      </c>
      <c r="I2385" s="36">
        <f>IF($C2385="","",_xlfn.XLOOKUP($C2385,Order!$C:$C,Order!$O:$O,"",0,1))</f>
        <v>0</v>
      </c>
      <c r="J2385" s="4" t="str">
        <f>IF(C2385="","",Order!$O$16)</f>
        <v>WOOD FINISH (BA)</v>
      </c>
      <c r="K2385" s="36">
        <f>IF($C2385="","",_xlfn.XLOOKUP($C2385,Order!$C:$C,Order!$P:$P,"",0,1))</f>
        <v>0</v>
      </c>
      <c r="L2385" s="4">
        <f t="shared" si="37"/>
        <v>0</v>
      </c>
    </row>
    <row r="2386" spans="2:12" ht="23.25" hidden="1" customHeight="1" x14ac:dyDescent="0.25">
      <c r="B2386" s="4">
        <v>2381</v>
      </c>
      <c r="C2386" s="36" t="str">
        <f>IF(Order!$C$327="","",Order!$C$327)</f>
        <v/>
      </c>
      <c r="D2386" s="36" t="str">
        <f>IF($C2386="","",_xlfn.XLOOKUP($C2386,Order!$C:$C,Order!$D:$D,"",0,1))</f>
        <v/>
      </c>
      <c r="E2386" s="4" t="str">
        <f>IF($C2386="","",_xlfn.XLOOKUP($C2386,Order!$C:$C,Order!$E:$E,"",0,1))</f>
        <v/>
      </c>
      <c r="F2386" s="4" t="str">
        <f>IF($C2386="","",_xlfn.XLOOKUP($C2386,Order!$C:$C,Order!$F:$F,"",0,1))</f>
        <v/>
      </c>
      <c r="G2386" s="4" t="str">
        <f>IF($C2386="","",_xlfn.XLOOKUP($C2386,Order!$C:$C,Order!$G:$G,"",0,1))</f>
        <v/>
      </c>
      <c r="H2386" s="4" t="str">
        <f>IF($C2386="","",_xlfn.XLOOKUP($C2386,Order!$C:$C,Order!$H:$H,"",0,1))</f>
        <v/>
      </c>
      <c r="I2386" s="36" t="str">
        <f>IF($C2386="","",_xlfn.XLOOKUP($C2386,Order!$C:$C,Order!$O:$O,"",0,1))</f>
        <v/>
      </c>
      <c r="J2386" s="4" t="str">
        <f>IF(C2386="","",Order!$O$16)</f>
        <v/>
      </c>
      <c r="K2386" s="36" t="str">
        <f>IF($C2386="","",_xlfn.XLOOKUP($C2386,Order!$C:$C,Order!$P:$P,"",0,1))</f>
        <v/>
      </c>
      <c r="L2386" s="4" t="str">
        <f t="shared" si="37"/>
        <v/>
      </c>
    </row>
    <row r="2387" spans="2:12" ht="23.25" hidden="1" customHeight="1" x14ac:dyDescent="0.25">
      <c r="B2387" s="4">
        <v>2382</v>
      </c>
      <c r="C2387" s="36" t="str">
        <f>IF(Order!$C$328="","",Order!$C$328)</f>
        <v/>
      </c>
      <c r="D2387" s="36" t="str">
        <f>IF($C2387="","",_xlfn.XLOOKUP($C2387,Order!$C:$C,Order!$D:$D,"",0,1))</f>
        <v/>
      </c>
      <c r="E2387" s="4" t="str">
        <f>IF($C2387="","",_xlfn.XLOOKUP($C2387,Order!$C:$C,Order!$E:$E,"",0,1))</f>
        <v/>
      </c>
      <c r="F2387" s="4" t="str">
        <f>IF($C2387="","",_xlfn.XLOOKUP($C2387,Order!$C:$C,Order!$F:$F,"",0,1))</f>
        <v/>
      </c>
      <c r="G2387" s="4" t="str">
        <f>IF($C2387="","",_xlfn.XLOOKUP($C2387,Order!$C:$C,Order!$G:$G,"",0,1))</f>
        <v/>
      </c>
      <c r="H2387" s="4" t="str">
        <f>IF($C2387="","",_xlfn.XLOOKUP($C2387,Order!$C:$C,Order!$H:$H,"",0,1))</f>
        <v/>
      </c>
      <c r="I2387" s="36" t="str">
        <f>IF($C2387="","",_xlfn.XLOOKUP($C2387,Order!$C:$C,Order!$O:$O,"",0,1))</f>
        <v/>
      </c>
      <c r="J2387" s="4" t="str">
        <f>IF(C2387="","",Order!$O$16)</f>
        <v/>
      </c>
      <c r="K2387" s="36" t="str">
        <f>IF($C2387="","",_xlfn.XLOOKUP($C2387,Order!$C:$C,Order!$P:$P,"",0,1))</f>
        <v/>
      </c>
      <c r="L2387" s="4" t="str">
        <f t="shared" si="37"/>
        <v/>
      </c>
    </row>
    <row r="2388" spans="2:12" ht="23.25" hidden="1" customHeight="1" x14ac:dyDescent="0.25">
      <c r="B2388" s="4">
        <v>2383</v>
      </c>
      <c r="C2388" s="36" t="str">
        <f>IF(Order!$C$329="","",Order!$C$329)</f>
        <v/>
      </c>
      <c r="D2388" s="36" t="str">
        <f>IF($C2388="","",_xlfn.XLOOKUP($C2388,Order!$C:$C,Order!$D:$D,"",0,1))</f>
        <v/>
      </c>
      <c r="E2388" s="4" t="str">
        <f>IF($C2388="","",_xlfn.XLOOKUP($C2388,Order!$C:$C,Order!$E:$E,"",0,1))</f>
        <v/>
      </c>
      <c r="F2388" s="4" t="str">
        <f>IF($C2388="","",_xlfn.XLOOKUP($C2388,Order!$C:$C,Order!$F:$F,"",0,1))</f>
        <v/>
      </c>
      <c r="G2388" s="4" t="str">
        <f>IF($C2388="","",_xlfn.XLOOKUP($C2388,Order!$C:$C,Order!$G:$G,"",0,1))</f>
        <v/>
      </c>
      <c r="H2388" s="4" t="str">
        <f>IF($C2388="","",_xlfn.XLOOKUP($C2388,Order!$C:$C,Order!$H:$H,"",0,1))</f>
        <v/>
      </c>
      <c r="I2388" s="36" t="str">
        <f>IF($C2388="","",_xlfn.XLOOKUP($C2388,Order!$C:$C,Order!$O:$O,"",0,1))</f>
        <v/>
      </c>
      <c r="J2388" s="4" t="str">
        <f>IF(C2388="","",Order!$O$16)</f>
        <v/>
      </c>
      <c r="K2388" s="36" t="str">
        <f>IF($C2388="","",_xlfn.XLOOKUP($C2388,Order!$C:$C,Order!$P:$P,"",0,1))</f>
        <v/>
      </c>
      <c r="L2388" s="4" t="str">
        <f t="shared" si="37"/>
        <v/>
      </c>
    </row>
    <row r="2389" spans="2:12" ht="23.25" hidden="1" customHeight="1" x14ac:dyDescent="0.25">
      <c r="B2389" s="4">
        <v>2384</v>
      </c>
      <c r="C2389" s="36" t="str">
        <f>IF(Order!$C$330="","",Order!$C$330)</f>
        <v/>
      </c>
      <c r="D2389" s="36" t="str">
        <f>IF($C2389="","",_xlfn.XLOOKUP($C2389,Order!$C:$C,Order!$D:$D,"",0,1))</f>
        <v/>
      </c>
      <c r="E2389" s="4" t="str">
        <f>IF($C2389="","",_xlfn.XLOOKUP($C2389,Order!$C:$C,Order!$E:$E,"",0,1))</f>
        <v/>
      </c>
      <c r="F2389" s="4" t="str">
        <f>IF($C2389="","",_xlfn.XLOOKUP($C2389,Order!$C:$C,Order!$F:$F,"",0,1))</f>
        <v/>
      </c>
      <c r="G2389" s="4" t="str">
        <f>IF($C2389="","",_xlfn.XLOOKUP($C2389,Order!$C:$C,Order!$G:$G,"",0,1))</f>
        <v/>
      </c>
      <c r="H2389" s="4" t="str">
        <f>IF($C2389="","",_xlfn.XLOOKUP($C2389,Order!$C:$C,Order!$H:$H,"",0,1))</f>
        <v/>
      </c>
      <c r="I2389" s="36" t="str">
        <f>IF($C2389="","",_xlfn.XLOOKUP($C2389,Order!$C:$C,Order!$O:$O,"",0,1))</f>
        <v/>
      </c>
      <c r="J2389" s="4" t="str">
        <f>IF(C2389="","",Order!$O$16)</f>
        <v/>
      </c>
      <c r="K2389" s="36" t="str">
        <f>IF($C2389="","",_xlfn.XLOOKUP($C2389,Order!$C:$C,Order!$P:$P,"",0,1))</f>
        <v/>
      </c>
      <c r="L2389" s="4" t="str">
        <f t="shared" si="37"/>
        <v/>
      </c>
    </row>
    <row r="2390" spans="2:12" ht="23.25" hidden="1" customHeight="1" x14ac:dyDescent="0.25">
      <c r="B2390" s="4">
        <v>2385</v>
      </c>
      <c r="C2390" s="36" t="str">
        <f>IF(Order!$C$331="","",Order!$C$331)</f>
        <v/>
      </c>
      <c r="D2390" s="36" t="str">
        <f>IF($C2390="","",_xlfn.XLOOKUP($C2390,Order!$C:$C,Order!$D:$D,"",0,1))</f>
        <v/>
      </c>
      <c r="E2390" s="4" t="str">
        <f>IF($C2390="","",_xlfn.XLOOKUP($C2390,Order!$C:$C,Order!$E:$E,"",0,1))</f>
        <v/>
      </c>
      <c r="F2390" s="4" t="str">
        <f>IF($C2390="","",_xlfn.XLOOKUP($C2390,Order!$C:$C,Order!$F:$F,"",0,1))</f>
        <v/>
      </c>
      <c r="G2390" s="4" t="str">
        <f>IF($C2390="","",_xlfn.XLOOKUP($C2390,Order!$C:$C,Order!$G:$G,"",0,1))</f>
        <v/>
      </c>
      <c r="H2390" s="4" t="str">
        <f>IF($C2390="","",_xlfn.XLOOKUP($C2390,Order!$C:$C,Order!$H:$H,"",0,1))</f>
        <v/>
      </c>
      <c r="I2390" s="36" t="str">
        <f>IF($C2390="","",_xlfn.XLOOKUP($C2390,Order!$C:$C,Order!$O:$O,"",0,1))</f>
        <v/>
      </c>
      <c r="J2390" s="4" t="str">
        <f>IF(C2390="","",Order!$O$16)</f>
        <v/>
      </c>
      <c r="K2390" s="36" t="str">
        <f>IF($C2390="","",_xlfn.XLOOKUP($C2390,Order!$C:$C,Order!$P:$P,"",0,1))</f>
        <v/>
      </c>
      <c r="L2390" s="4" t="str">
        <f t="shared" si="37"/>
        <v/>
      </c>
    </row>
    <row r="2391" spans="2:12" ht="23.25" hidden="1" customHeight="1" x14ac:dyDescent="0.25">
      <c r="B2391" s="4">
        <v>2386</v>
      </c>
      <c r="C2391" s="36" t="str">
        <f>IF(Order!$C$332="","",Order!$C$332)</f>
        <v/>
      </c>
      <c r="D2391" s="36" t="str">
        <f>IF($C2391="","",_xlfn.XLOOKUP($C2391,Order!$C:$C,Order!$D:$D,"",0,1))</f>
        <v/>
      </c>
      <c r="E2391" s="4" t="str">
        <f>IF($C2391="","",_xlfn.XLOOKUP($C2391,Order!$C:$C,Order!$E:$E,"",0,1))</f>
        <v/>
      </c>
      <c r="F2391" s="4" t="str">
        <f>IF($C2391="","",_xlfn.XLOOKUP($C2391,Order!$C:$C,Order!$F:$F,"",0,1))</f>
        <v/>
      </c>
      <c r="G2391" s="4" t="str">
        <f>IF($C2391="","",_xlfn.XLOOKUP($C2391,Order!$C:$C,Order!$G:$G,"",0,1))</f>
        <v/>
      </c>
      <c r="H2391" s="4" t="str">
        <f>IF($C2391="","",_xlfn.XLOOKUP($C2391,Order!$C:$C,Order!$H:$H,"",0,1))</f>
        <v/>
      </c>
      <c r="I2391" s="36" t="str">
        <f>IF($C2391="","",_xlfn.XLOOKUP($C2391,Order!$C:$C,Order!$O:$O,"",0,1))</f>
        <v/>
      </c>
      <c r="J2391" s="4" t="str">
        <f>IF(C2391="","",Order!$O$16)</f>
        <v/>
      </c>
      <c r="K2391" s="36" t="str">
        <f>IF($C2391="","",_xlfn.XLOOKUP($C2391,Order!$C:$C,Order!$P:$P,"",0,1))</f>
        <v/>
      </c>
      <c r="L2391" s="4" t="str">
        <f t="shared" si="37"/>
        <v/>
      </c>
    </row>
    <row r="2392" spans="2:12" ht="23.25" hidden="1" customHeight="1" x14ac:dyDescent="0.25">
      <c r="B2392" s="4">
        <v>2387</v>
      </c>
      <c r="C2392" s="36" t="str">
        <f>IF(Order!$C$333="","",Order!$C$333)</f>
        <v/>
      </c>
      <c r="D2392" s="36" t="str">
        <f>IF($C2392="","",_xlfn.XLOOKUP($C2392,Order!$C:$C,Order!$D:$D,"",0,1))</f>
        <v/>
      </c>
      <c r="E2392" s="4" t="str">
        <f>IF($C2392="","",_xlfn.XLOOKUP($C2392,Order!$C:$C,Order!$E:$E,"",0,1))</f>
        <v/>
      </c>
      <c r="F2392" s="4" t="str">
        <f>IF($C2392="","",_xlfn.XLOOKUP($C2392,Order!$C:$C,Order!$F:$F,"",0,1))</f>
        <v/>
      </c>
      <c r="G2392" s="4" t="str">
        <f>IF($C2392="","",_xlfn.XLOOKUP($C2392,Order!$C:$C,Order!$G:$G,"",0,1))</f>
        <v/>
      </c>
      <c r="H2392" s="4" t="str">
        <f>IF($C2392="","",_xlfn.XLOOKUP($C2392,Order!$C:$C,Order!$H:$H,"",0,1))</f>
        <v/>
      </c>
      <c r="I2392" s="36" t="str">
        <f>IF($C2392="","",_xlfn.XLOOKUP($C2392,Order!$C:$C,Order!$O:$O,"",0,1))</f>
        <v/>
      </c>
      <c r="J2392" s="4" t="str">
        <f>IF(C2392="","",Order!$O$16)</f>
        <v/>
      </c>
      <c r="K2392" s="36" t="str">
        <f>IF($C2392="","",_xlfn.XLOOKUP($C2392,Order!$C:$C,Order!$P:$P,"",0,1))</f>
        <v/>
      </c>
      <c r="L2392" s="4" t="str">
        <f t="shared" si="37"/>
        <v/>
      </c>
    </row>
    <row r="2393" spans="2:12" ht="23.25" hidden="1" customHeight="1" x14ac:dyDescent="0.25">
      <c r="B2393" s="4">
        <v>2388</v>
      </c>
      <c r="C2393" s="36" t="str">
        <f>IF(Order!$C$334="","",Order!$C$334)</f>
        <v/>
      </c>
      <c r="D2393" s="36" t="str">
        <f>IF($C2393="","",_xlfn.XLOOKUP($C2393,Order!$C:$C,Order!$D:$D,"",0,1))</f>
        <v/>
      </c>
      <c r="E2393" s="4" t="str">
        <f>IF($C2393="","",_xlfn.XLOOKUP($C2393,Order!$C:$C,Order!$E:$E,"",0,1))</f>
        <v/>
      </c>
      <c r="F2393" s="4" t="str">
        <f>IF($C2393="","",_xlfn.XLOOKUP($C2393,Order!$C:$C,Order!$F:$F,"",0,1))</f>
        <v/>
      </c>
      <c r="G2393" s="4" t="str">
        <f>IF($C2393="","",_xlfn.XLOOKUP($C2393,Order!$C:$C,Order!$G:$G,"",0,1))</f>
        <v/>
      </c>
      <c r="H2393" s="4" t="str">
        <f>IF($C2393="","",_xlfn.XLOOKUP($C2393,Order!$C:$C,Order!$H:$H,"",0,1))</f>
        <v/>
      </c>
      <c r="I2393" s="36" t="str">
        <f>IF($C2393="","",_xlfn.XLOOKUP($C2393,Order!$C:$C,Order!$O:$O,"",0,1))</f>
        <v/>
      </c>
      <c r="J2393" s="4" t="str">
        <f>IF(C2393="","",Order!$O$16)</f>
        <v/>
      </c>
      <c r="K2393" s="36" t="str">
        <f>IF($C2393="","",_xlfn.XLOOKUP($C2393,Order!$C:$C,Order!$P:$P,"",0,1))</f>
        <v/>
      </c>
      <c r="L2393" s="4" t="str">
        <f t="shared" si="37"/>
        <v/>
      </c>
    </row>
    <row r="2394" spans="2:12" ht="23.25" hidden="1" customHeight="1" x14ac:dyDescent="0.25">
      <c r="B2394" s="4">
        <v>2389</v>
      </c>
      <c r="C2394" s="36" t="str">
        <f>IF(Order!$C$335="","",Order!$C$335)</f>
        <v/>
      </c>
      <c r="D2394" s="36" t="str">
        <f>IF($C2394="","",_xlfn.XLOOKUP($C2394,Order!$C:$C,Order!$D:$D,"",0,1))</f>
        <v/>
      </c>
      <c r="E2394" s="4" t="str">
        <f>IF($C2394="","",_xlfn.XLOOKUP($C2394,Order!$C:$C,Order!$E:$E,"",0,1))</f>
        <v/>
      </c>
      <c r="F2394" s="4" t="str">
        <f>IF($C2394="","",_xlfn.XLOOKUP($C2394,Order!$C:$C,Order!$F:$F,"",0,1))</f>
        <v/>
      </c>
      <c r="G2394" s="4" t="str">
        <f>IF($C2394="","",_xlfn.XLOOKUP($C2394,Order!$C:$C,Order!$G:$G,"",0,1))</f>
        <v/>
      </c>
      <c r="H2394" s="4" t="str">
        <f>IF($C2394="","",_xlfn.XLOOKUP($C2394,Order!$C:$C,Order!$H:$H,"",0,1))</f>
        <v/>
      </c>
      <c r="I2394" s="36" t="str">
        <f>IF($C2394="","",_xlfn.XLOOKUP($C2394,Order!$C:$C,Order!$O:$O,"",0,1))</f>
        <v/>
      </c>
      <c r="J2394" s="4" t="str">
        <f>IF(C2394="","",Order!$O$16)</f>
        <v/>
      </c>
      <c r="K2394" s="36" t="str">
        <f>IF($C2394="","",_xlfn.XLOOKUP($C2394,Order!$C:$C,Order!$P:$P,"",0,1))</f>
        <v/>
      </c>
      <c r="L2394" s="4" t="str">
        <f t="shared" si="37"/>
        <v/>
      </c>
    </row>
    <row r="2395" spans="2:12" ht="23.25" hidden="1" customHeight="1" x14ac:dyDescent="0.25">
      <c r="B2395" s="4">
        <v>2390</v>
      </c>
      <c r="C2395" s="36" t="str">
        <f>IF(Order!$C$336="","",Order!$C$336)</f>
        <v/>
      </c>
      <c r="D2395" s="36" t="str">
        <f>IF($C2395="","",_xlfn.XLOOKUP($C2395,Order!$C:$C,Order!$D:$D,"",0,1))</f>
        <v/>
      </c>
      <c r="E2395" s="4" t="str">
        <f>IF($C2395="","",_xlfn.XLOOKUP($C2395,Order!$C:$C,Order!$E:$E,"",0,1))</f>
        <v/>
      </c>
      <c r="F2395" s="4" t="str">
        <f>IF($C2395="","",_xlfn.XLOOKUP($C2395,Order!$C:$C,Order!$F:$F,"",0,1))</f>
        <v/>
      </c>
      <c r="G2395" s="4" t="str">
        <f>IF($C2395="","",_xlfn.XLOOKUP($C2395,Order!$C:$C,Order!$G:$G,"",0,1))</f>
        <v/>
      </c>
      <c r="H2395" s="4" t="str">
        <f>IF($C2395="","",_xlfn.XLOOKUP($C2395,Order!$C:$C,Order!$H:$H,"",0,1))</f>
        <v/>
      </c>
      <c r="I2395" s="36" t="str">
        <f>IF($C2395="","",_xlfn.XLOOKUP($C2395,Order!$C:$C,Order!$O:$O,"",0,1))</f>
        <v/>
      </c>
      <c r="J2395" s="4" t="str">
        <f>IF(C2395="","",Order!$O$16)</f>
        <v/>
      </c>
      <c r="K2395" s="36" t="str">
        <f>IF($C2395="","",_xlfn.XLOOKUP($C2395,Order!$C:$C,Order!$P:$P,"",0,1))</f>
        <v/>
      </c>
      <c r="L2395" s="4" t="str">
        <f t="shared" si="37"/>
        <v/>
      </c>
    </row>
    <row r="2396" spans="2:12" ht="23.25" hidden="1" customHeight="1" x14ac:dyDescent="0.25">
      <c r="B2396" s="4">
        <v>2391</v>
      </c>
      <c r="C2396" s="36" t="str">
        <f>IF(Order!$C$337="","",Order!$C$337)</f>
        <v xml:space="preserve"> BX352 (MT0077-Perfilpara tela de mosquito)</v>
      </c>
      <c r="D2396" s="36" t="str">
        <f>IF($C2396="","",_xlfn.XLOOKUP($C2396,Order!$C:$C,Order!$D:$D,"",0,1))</f>
        <v>BX352</v>
      </c>
      <c r="E2396" s="4" t="e" vm="494">
        <f>IF($C2396="","",_xlfn.XLOOKUP($C2396,Order!$C:$C,Order!$E:$E,"",0,1))</f>
        <v>#VALUE!</v>
      </c>
      <c r="F2396" s="4">
        <f>IF($C2396="","",_xlfn.XLOOKUP($C2396,Order!$C:$C,Order!$F:$F,"",0,1))</f>
        <v>6000</v>
      </c>
      <c r="G2396" s="4" t="str">
        <f>IF($C2396="","",_xlfn.XLOOKUP($C2396,Order!$C:$C,Order!$G:$G,"",0,1))</f>
        <v>6063T5</v>
      </c>
      <c r="H2396" s="4">
        <f>IF($C2396="","",_xlfn.XLOOKUP($C2396,Order!$C:$C,Order!$H:$H,"",0,1))</f>
        <v>0.192</v>
      </c>
      <c r="I2396" s="36">
        <f>IF($C2396="","",_xlfn.XLOOKUP($C2396,Order!$C:$C,Order!$O:$O,"",0,1))</f>
        <v>0</v>
      </c>
      <c r="J2396" s="4" t="str">
        <f>IF(C2396="","",Order!$O$16)</f>
        <v>WOOD FINISH (BA)</v>
      </c>
      <c r="K2396" s="36">
        <f>IF($C2396="","",_xlfn.XLOOKUP($C2396,Order!$C:$C,Order!$P:$P,"",0,1))</f>
        <v>0</v>
      </c>
      <c r="L2396" s="4">
        <f t="shared" si="37"/>
        <v>0</v>
      </c>
    </row>
    <row r="2397" spans="2:12" ht="23.25" hidden="1" customHeight="1" x14ac:dyDescent="0.25">
      <c r="B2397" s="4">
        <v>2392</v>
      </c>
      <c r="C2397" s="36" t="str">
        <f>IF(Order!$C$338="","",Order!$C$338)</f>
        <v/>
      </c>
      <c r="D2397" s="36" t="str">
        <f>IF($C2397="","",_xlfn.XLOOKUP($C2397,Order!$C:$C,Order!$D:$D,"",0,1))</f>
        <v/>
      </c>
      <c r="E2397" s="4" t="str">
        <f>IF($C2397="","",_xlfn.XLOOKUP($C2397,Order!$C:$C,Order!$E:$E,"",0,1))</f>
        <v/>
      </c>
      <c r="F2397" s="4" t="str">
        <f>IF($C2397="","",_xlfn.XLOOKUP($C2397,Order!$C:$C,Order!$F:$F,"",0,1))</f>
        <v/>
      </c>
      <c r="G2397" s="4" t="str">
        <f>IF($C2397="","",_xlfn.XLOOKUP($C2397,Order!$C:$C,Order!$G:$G,"",0,1))</f>
        <v/>
      </c>
      <c r="H2397" s="4" t="str">
        <f>IF($C2397="","",_xlfn.XLOOKUP($C2397,Order!$C:$C,Order!$H:$H,"",0,1))</f>
        <v/>
      </c>
      <c r="I2397" s="36" t="str">
        <f>IF($C2397="","",_xlfn.XLOOKUP($C2397,Order!$C:$C,Order!$O:$O,"",0,1))</f>
        <v/>
      </c>
      <c r="J2397" s="4" t="str">
        <f>IF(C2397="","",Order!$O$16)</f>
        <v/>
      </c>
      <c r="K2397" s="36" t="str">
        <f>IF($C2397="","",_xlfn.XLOOKUP($C2397,Order!$C:$C,Order!$P:$P,"",0,1))</f>
        <v/>
      </c>
      <c r="L2397" s="4" t="str">
        <f t="shared" si="37"/>
        <v/>
      </c>
    </row>
    <row r="2398" spans="2:12" ht="23.25" hidden="1" customHeight="1" x14ac:dyDescent="0.25">
      <c r="B2398" s="4">
        <v>2393</v>
      </c>
      <c r="C2398" s="36" t="str">
        <f>IF(Order!$C$339="","",Order!$C$339)</f>
        <v/>
      </c>
      <c r="D2398" s="36" t="str">
        <f>IF($C2398="","",_xlfn.XLOOKUP($C2398,Order!$C:$C,Order!$D:$D,"",0,1))</f>
        <v/>
      </c>
      <c r="E2398" s="4" t="str">
        <f>IF($C2398="","",_xlfn.XLOOKUP($C2398,Order!$C:$C,Order!$E:$E,"",0,1))</f>
        <v/>
      </c>
      <c r="F2398" s="4" t="str">
        <f>IF($C2398="","",_xlfn.XLOOKUP($C2398,Order!$C:$C,Order!$F:$F,"",0,1))</f>
        <v/>
      </c>
      <c r="G2398" s="4" t="str">
        <f>IF($C2398="","",_xlfn.XLOOKUP($C2398,Order!$C:$C,Order!$G:$G,"",0,1))</f>
        <v/>
      </c>
      <c r="H2398" s="4" t="str">
        <f>IF($C2398="","",_xlfn.XLOOKUP($C2398,Order!$C:$C,Order!$H:$H,"",0,1))</f>
        <v/>
      </c>
      <c r="I2398" s="36" t="str">
        <f>IF($C2398="","",_xlfn.XLOOKUP($C2398,Order!$C:$C,Order!$O:$O,"",0,1))</f>
        <v/>
      </c>
      <c r="J2398" s="4" t="str">
        <f>IF(C2398="","",Order!$O$16)</f>
        <v/>
      </c>
      <c r="K2398" s="36" t="str">
        <f>IF($C2398="","",_xlfn.XLOOKUP($C2398,Order!$C:$C,Order!$P:$P,"",0,1))</f>
        <v/>
      </c>
      <c r="L2398" s="4" t="str">
        <f t="shared" si="37"/>
        <v/>
      </c>
    </row>
    <row r="2399" spans="2:12" ht="23.25" hidden="1" customHeight="1" x14ac:dyDescent="0.25">
      <c r="B2399" s="4">
        <v>2394</v>
      </c>
      <c r="C2399" s="36" t="str">
        <f>IF(Order!$C$340="","",Order!$C$340)</f>
        <v/>
      </c>
      <c r="D2399" s="36" t="str">
        <f>IF($C2399="","",_xlfn.XLOOKUP($C2399,Order!$C:$C,Order!$D:$D,"",0,1))</f>
        <v/>
      </c>
      <c r="E2399" s="4" t="str">
        <f>IF($C2399="","",_xlfn.XLOOKUP($C2399,Order!$C:$C,Order!$E:$E,"",0,1))</f>
        <v/>
      </c>
      <c r="F2399" s="4" t="str">
        <f>IF($C2399="","",_xlfn.XLOOKUP($C2399,Order!$C:$C,Order!$F:$F,"",0,1))</f>
        <v/>
      </c>
      <c r="G2399" s="4" t="str">
        <f>IF($C2399="","",_xlfn.XLOOKUP($C2399,Order!$C:$C,Order!$G:$G,"",0,1))</f>
        <v/>
      </c>
      <c r="H2399" s="4" t="str">
        <f>IF($C2399="","",_xlfn.XLOOKUP($C2399,Order!$C:$C,Order!$H:$H,"",0,1))</f>
        <v/>
      </c>
      <c r="I2399" s="36" t="str">
        <f>IF($C2399="","",_xlfn.XLOOKUP($C2399,Order!$C:$C,Order!$O:$O,"",0,1))</f>
        <v/>
      </c>
      <c r="J2399" s="4" t="str">
        <f>IF(C2399="","",Order!$O$16)</f>
        <v/>
      </c>
      <c r="K2399" s="36" t="str">
        <f>IF($C2399="","",_xlfn.XLOOKUP($C2399,Order!$C:$C,Order!$P:$P,"",0,1))</f>
        <v/>
      </c>
      <c r="L2399" s="4" t="str">
        <f t="shared" si="37"/>
        <v/>
      </c>
    </row>
    <row r="2400" spans="2:12" ht="23.25" hidden="1" customHeight="1" x14ac:dyDescent="0.25">
      <c r="B2400" s="4">
        <v>2395</v>
      </c>
      <c r="C2400" s="36" t="str">
        <f>IF(Order!$C$341="","",Order!$C$341)</f>
        <v xml:space="preserve"> U 15 (PU 004 5/8 x 1/16")  </v>
      </c>
      <c r="D2400" s="36" t="str">
        <f>IF($C2400="","",_xlfn.XLOOKUP($C2400,Order!$C:$C,Order!$D:$D,"",0,1))</f>
        <v>BX567</v>
      </c>
      <c r="E2400" s="4" t="e" vm="495">
        <f>IF($C2400="","",_xlfn.XLOOKUP($C2400,Order!$C:$C,Order!$E:$E,"",0,1))</f>
        <v>#VALUE!</v>
      </c>
      <c r="F2400" s="4">
        <f>IF($C2400="","",_xlfn.XLOOKUP($C2400,Order!$C:$C,Order!$F:$F,"",0,1))</f>
        <v>6000</v>
      </c>
      <c r="G2400" s="4" t="str">
        <f>IF($C2400="","",_xlfn.XLOOKUP($C2400,Order!$C:$C,Order!$G:$G,"",0,1))</f>
        <v>6063T5</v>
      </c>
      <c r="H2400" s="4">
        <f>IF($C2400="","",_xlfn.XLOOKUP($C2400,Order!$C:$C,Order!$H:$H,"",0,1))</f>
        <v>0.17100000000000001</v>
      </c>
      <c r="I2400" s="36">
        <f>IF($C2400="","",_xlfn.XLOOKUP($C2400,Order!$C:$C,Order!$O:$O,"",0,1))</f>
        <v>0</v>
      </c>
      <c r="J2400" s="4" t="str">
        <f>IF(C2400="","",Order!$O$16)</f>
        <v>WOOD FINISH (BA)</v>
      </c>
      <c r="K2400" s="36">
        <f>IF($C2400="","",_xlfn.XLOOKUP($C2400,Order!$C:$C,Order!$P:$P,"",0,1))</f>
        <v>0</v>
      </c>
      <c r="L2400" s="4">
        <f t="shared" si="37"/>
        <v>0</v>
      </c>
    </row>
    <row r="2401" spans="2:12" ht="23.25" hidden="1" customHeight="1" x14ac:dyDescent="0.25">
      <c r="B2401" s="4">
        <v>2396</v>
      </c>
      <c r="C2401" s="36" t="str">
        <f>IF(Order!$C$342="","",Order!$C$342)</f>
        <v/>
      </c>
      <c r="D2401" s="36" t="str">
        <f>IF($C2401="","",_xlfn.XLOOKUP($C2401,Order!$C:$C,Order!$D:$D,"",0,1))</f>
        <v/>
      </c>
      <c r="E2401" s="4" t="str">
        <f>IF($C2401="","",_xlfn.XLOOKUP($C2401,Order!$C:$C,Order!$E:$E,"",0,1))</f>
        <v/>
      </c>
      <c r="F2401" s="4" t="str">
        <f>IF($C2401="","",_xlfn.XLOOKUP($C2401,Order!$C:$C,Order!$F:$F,"",0,1))</f>
        <v/>
      </c>
      <c r="G2401" s="4" t="str">
        <f>IF($C2401="","",_xlfn.XLOOKUP($C2401,Order!$C:$C,Order!$G:$G,"",0,1))</f>
        <v/>
      </c>
      <c r="H2401" s="4" t="str">
        <f>IF($C2401="","",_xlfn.XLOOKUP($C2401,Order!$C:$C,Order!$H:$H,"",0,1))</f>
        <v/>
      </c>
      <c r="I2401" s="36" t="str">
        <f>IF($C2401="","",_xlfn.XLOOKUP($C2401,Order!$C:$C,Order!$O:$O,"",0,1))</f>
        <v/>
      </c>
      <c r="J2401" s="4" t="str">
        <f>IF(C2401="","",Order!$O$16)</f>
        <v/>
      </c>
      <c r="K2401" s="36" t="str">
        <f>IF($C2401="","",_xlfn.XLOOKUP($C2401,Order!$C:$C,Order!$P:$P,"",0,1))</f>
        <v/>
      </c>
      <c r="L2401" s="4" t="str">
        <f t="shared" si="37"/>
        <v/>
      </c>
    </row>
    <row r="2402" spans="2:12" ht="23.25" hidden="1" customHeight="1" x14ac:dyDescent="0.25">
      <c r="B2402" s="4">
        <v>2397</v>
      </c>
      <c r="C2402" s="36" t="str">
        <f>IF(Order!$C$343="","",Order!$C$343)</f>
        <v/>
      </c>
      <c r="D2402" s="36" t="str">
        <f>IF($C2402="","",_xlfn.XLOOKUP($C2402,Order!$C:$C,Order!$D:$D,"",0,1))</f>
        <v/>
      </c>
      <c r="E2402" s="4" t="str">
        <f>IF($C2402="","",_xlfn.XLOOKUP($C2402,Order!$C:$C,Order!$E:$E,"",0,1))</f>
        <v/>
      </c>
      <c r="F2402" s="4" t="str">
        <f>IF($C2402="","",_xlfn.XLOOKUP($C2402,Order!$C:$C,Order!$F:$F,"",0,1))</f>
        <v/>
      </c>
      <c r="G2402" s="4" t="str">
        <f>IF($C2402="","",_xlfn.XLOOKUP($C2402,Order!$C:$C,Order!$G:$G,"",0,1))</f>
        <v/>
      </c>
      <c r="H2402" s="4" t="str">
        <f>IF($C2402="","",_xlfn.XLOOKUP($C2402,Order!$C:$C,Order!$H:$H,"",0,1))</f>
        <v/>
      </c>
      <c r="I2402" s="36" t="str">
        <f>IF($C2402="","",_xlfn.XLOOKUP($C2402,Order!$C:$C,Order!$O:$O,"",0,1))</f>
        <v/>
      </c>
      <c r="J2402" s="4" t="str">
        <f>IF(C2402="","",Order!$O$16)</f>
        <v/>
      </c>
      <c r="K2402" s="36" t="str">
        <f>IF($C2402="","",_xlfn.XLOOKUP($C2402,Order!$C:$C,Order!$P:$P,"",0,1))</f>
        <v/>
      </c>
      <c r="L2402" s="4" t="str">
        <f t="shared" si="37"/>
        <v/>
      </c>
    </row>
    <row r="2403" spans="2:12" ht="23.25" hidden="1" customHeight="1" x14ac:dyDescent="0.25">
      <c r="B2403" s="4">
        <v>2398</v>
      </c>
      <c r="C2403" s="36" t="str">
        <f>IF(Order!$C$344="","",Order!$C$344)</f>
        <v/>
      </c>
      <c r="D2403" s="36" t="str">
        <f>IF($C2403="","",_xlfn.XLOOKUP($C2403,Order!$C:$C,Order!$D:$D,"",0,1))</f>
        <v/>
      </c>
      <c r="E2403" s="4" t="str">
        <f>IF($C2403="","",_xlfn.XLOOKUP($C2403,Order!$C:$C,Order!$E:$E,"",0,1))</f>
        <v/>
      </c>
      <c r="F2403" s="4" t="str">
        <f>IF($C2403="","",_xlfn.XLOOKUP($C2403,Order!$C:$C,Order!$F:$F,"",0,1))</f>
        <v/>
      </c>
      <c r="G2403" s="4" t="str">
        <f>IF($C2403="","",_xlfn.XLOOKUP($C2403,Order!$C:$C,Order!$G:$G,"",0,1))</f>
        <v/>
      </c>
      <c r="H2403" s="4" t="str">
        <f>IF($C2403="","",_xlfn.XLOOKUP($C2403,Order!$C:$C,Order!$H:$H,"",0,1))</f>
        <v/>
      </c>
      <c r="I2403" s="36" t="str">
        <f>IF($C2403="","",_xlfn.XLOOKUP($C2403,Order!$C:$C,Order!$O:$O,"",0,1))</f>
        <v/>
      </c>
      <c r="J2403" s="4" t="str">
        <f>IF(C2403="","",Order!$O$16)</f>
        <v/>
      </c>
      <c r="K2403" s="36" t="str">
        <f>IF($C2403="","",_xlfn.XLOOKUP($C2403,Order!$C:$C,Order!$P:$P,"",0,1))</f>
        <v/>
      </c>
      <c r="L2403" s="4" t="str">
        <f t="shared" si="37"/>
        <v/>
      </c>
    </row>
    <row r="2404" spans="2:12" ht="23.25" hidden="1" customHeight="1" x14ac:dyDescent="0.25">
      <c r="B2404" s="4">
        <v>2399</v>
      </c>
      <c r="C2404" s="36" t="str">
        <f>IF(Order!$C$345="","",Order!$C$345)</f>
        <v/>
      </c>
      <c r="D2404" s="36" t="str">
        <f>IF($C2404="","",_xlfn.XLOOKUP($C2404,Order!$C:$C,Order!$D:$D,"",0,1))</f>
        <v/>
      </c>
      <c r="E2404" s="4" t="str">
        <f>IF($C2404="","",_xlfn.XLOOKUP($C2404,Order!$C:$C,Order!$E:$E,"",0,1))</f>
        <v/>
      </c>
      <c r="F2404" s="4" t="str">
        <f>IF($C2404="","",_xlfn.XLOOKUP($C2404,Order!$C:$C,Order!$F:$F,"",0,1))</f>
        <v/>
      </c>
      <c r="G2404" s="4" t="str">
        <f>IF($C2404="","",_xlfn.XLOOKUP($C2404,Order!$C:$C,Order!$G:$G,"",0,1))</f>
        <v/>
      </c>
      <c r="H2404" s="4" t="str">
        <f>IF($C2404="","",_xlfn.XLOOKUP($C2404,Order!$C:$C,Order!$H:$H,"",0,1))</f>
        <v/>
      </c>
      <c r="I2404" s="36" t="str">
        <f>IF($C2404="","",_xlfn.XLOOKUP($C2404,Order!$C:$C,Order!$O:$O,"",0,1))</f>
        <v/>
      </c>
      <c r="J2404" s="4" t="str">
        <f>IF(C2404="","",Order!$O$16)</f>
        <v/>
      </c>
      <c r="K2404" s="36" t="str">
        <f>IF($C2404="","",_xlfn.XLOOKUP($C2404,Order!$C:$C,Order!$P:$P,"",0,1))</f>
        <v/>
      </c>
      <c r="L2404" s="4" t="str">
        <f t="shared" si="37"/>
        <v/>
      </c>
    </row>
    <row r="2405" spans="2:12" ht="23.25" hidden="1" customHeight="1" x14ac:dyDescent="0.25">
      <c r="B2405" s="4">
        <v>2400</v>
      </c>
      <c r="C2405" s="36" t="str">
        <f>IF(Order!$C$346="","",Order!$C$346)</f>
        <v/>
      </c>
      <c r="D2405" s="36" t="str">
        <f>IF($C2405="","",_xlfn.XLOOKUP($C2405,Order!$C:$C,Order!$D:$D,"",0,1))</f>
        <v/>
      </c>
      <c r="E2405" s="4" t="str">
        <f>IF($C2405="","",_xlfn.XLOOKUP($C2405,Order!$C:$C,Order!$E:$E,"",0,1))</f>
        <v/>
      </c>
      <c r="F2405" s="4" t="str">
        <f>IF($C2405="","",_xlfn.XLOOKUP($C2405,Order!$C:$C,Order!$F:$F,"",0,1))</f>
        <v/>
      </c>
      <c r="G2405" s="4" t="str">
        <f>IF($C2405="","",_xlfn.XLOOKUP($C2405,Order!$C:$C,Order!$G:$G,"",0,1))</f>
        <v/>
      </c>
      <c r="H2405" s="4" t="str">
        <f>IF($C2405="","",_xlfn.XLOOKUP($C2405,Order!$C:$C,Order!$H:$H,"",0,1))</f>
        <v/>
      </c>
      <c r="I2405" s="36" t="str">
        <f>IF($C2405="","",_xlfn.XLOOKUP($C2405,Order!$C:$C,Order!$O:$O,"",0,1))</f>
        <v/>
      </c>
      <c r="J2405" s="4" t="str">
        <f>IF(C2405="","",Order!$O$16)</f>
        <v/>
      </c>
      <c r="K2405" s="36" t="str">
        <f>IF($C2405="","",_xlfn.XLOOKUP($C2405,Order!$C:$C,Order!$P:$P,"",0,1))</f>
        <v/>
      </c>
      <c r="L2405" s="4" t="str">
        <f t="shared" si="37"/>
        <v/>
      </c>
    </row>
    <row r="2406" spans="2:12" ht="23.25" hidden="1" customHeight="1" x14ac:dyDescent="0.25">
      <c r="B2406" s="4">
        <v>2401</v>
      </c>
      <c r="C2406" s="36" t="str">
        <f>IF(Order!$C$347="","",Order!$C$347)</f>
        <v/>
      </c>
      <c r="D2406" s="36" t="str">
        <f>IF($C2406="","",_xlfn.XLOOKUP($C2406,Order!$C:$C,Order!$D:$D,"",0,1))</f>
        <v/>
      </c>
      <c r="E2406" s="4" t="str">
        <f>IF($C2406="","",_xlfn.XLOOKUP($C2406,Order!$C:$C,Order!$E:$E,"",0,1))</f>
        <v/>
      </c>
      <c r="F2406" s="4" t="str">
        <f>IF($C2406="","",_xlfn.XLOOKUP($C2406,Order!$C:$C,Order!$F:$F,"",0,1))</f>
        <v/>
      </c>
      <c r="G2406" s="4" t="str">
        <f>IF($C2406="","",_xlfn.XLOOKUP($C2406,Order!$C:$C,Order!$G:$G,"",0,1))</f>
        <v/>
      </c>
      <c r="H2406" s="4" t="str">
        <f>IF($C2406="","",_xlfn.XLOOKUP($C2406,Order!$C:$C,Order!$H:$H,"",0,1))</f>
        <v/>
      </c>
      <c r="I2406" s="36" t="str">
        <f>IF($C2406="","",_xlfn.XLOOKUP($C2406,Order!$C:$C,Order!$O:$O,"",0,1))</f>
        <v/>
      </c>
      <c r="J2406" s="4" t="str">
        <f>IF(C2406="","",Order!$O$16)</f>
        <v/>
      </c>
      <c r="K2406" s="36" t="str">
        <f>IF($C2406="","",_xlfn.XLOOKUP($C2406,Order!$C:$C,Order!$P:$P,"",0,1))</f>
        <v/>
      </c>
      <c r="L2406" s="4" t="str">
        <f t="shared" si="37"/>
        <v/>
      </c>
    </row>
    <row r="2407" spans="2:12" ht="23.25" hidden="1" customHeight="1" x14ac:dyDescent="0.25">
      <c r="B2407" s="4">
        <v>2402</v>
      </c>
      <c r="C2407" s="36" t="str">
        <f>IF(Order!$C$348="","",Order!$C$348)</f>
        <v/>
      </c>
      <c r="D2407" s="36" t="str">
        <f>IF($C2407="","",_xlfn.XLOOKUP($C2407,Order!$C:$C,Order!$D:$D,"",0,1))</f>
        <v/>
      </c>
      <c r="E2407" s="4" t="str">
        <f>IF($C2407="","",_xlfn.XLOOKUP($C2407,Order!$C:$C,Order!$E:$E,"",0,1))</f>
        <v/>
      </c>
      <c r="F2407" s="4" t="str">
        <f>IF($C2407="","",_xlfn.XLOOKUP($C2407,Order!$C:$C,Order!$F:$F,"",0,1))</f>
        <v/>
      </c>
      <c r="G2407" s="4" t="str">
        <f>IF($C2407="","",_xlfn.XLOOKUP($C2407,Order!$C:$C,Order!$G:$G,"",0,1))</f>
        <v/>
      </c>
      <c r="H2407" s="4" t="str">
        <f>IF($C2407="","",_xlfn.XLOOKUP($C2407,Order!$C:$C,Order!$H:$H,"",0,1))</f>
        <v/>
      </c>
      <c r="I2407" s="36" t="str">
        <f>IF($C2407="","",_xlfn.XLOOKUP($C2407,Order!$C:$C,Order!$O:$O,"",0,1))</f>
        <v/>
      </c>
      <c r="J2407" s="4" t="str">
        <f>IF(C2407="","",Order!$O$16)</f>
        <v/>
      </c>
      <c r="K2407" s="36" t="str">
        <f>IF($C2407="","",_xlfn.XLOOKUP($C2407,Order!$C:$C,Order!$P:$P,"",0,1))</f>
        <v/>
      </c>
      <c r="L2407" s="4" t="str">
        <f t="shared" si="37"/>
        <v/>
      </c>
    </row>
    <row r="2408" spans="2:12" ht="23.25" hidden="1" customHeight="1" x14ac:dyDescent="0.25">
      <c r="B2408" s="4">
        <v>2403</v>
      </c>
      <c r="C2408" s="36" t="str">
        <f>IF(Order!$C$349="","",Order!$C$349)</f>
        <v/>
      </c>
      <c r="D2408" s="36" t="str">
        <f>IF($C2408="","",_xlfn.XLOOKUP($C2408,Order!$C:$C,Order!$D:$D,"",0,1))</f>
        <v/>
      </c>
      <c r="E2408" s="4" t="str">
        <f>IF($C2408="","",_xlfn.XLOOKUP($C2408,Order!$C:$C,Order!$E:$E,"",0,1))</f>
        <v/>
      </c>
      <c r="F2408" s="4" t="str">
        <f>IF($C2408="","",_xlfn.XLOOKUP($C2408,Order!$C:$C,Order!$F:$F,"",0,1))</f>
        <v/>
      </c>
      <c r="G2408" s="4" t="str">
        <f>IF($C2408="","",_xlfn.XLOOKUP($C2408,Order!$C:$C,Order!$G:$G,"",0,1))</f>
        <v/>
      </c>
      <c r="H2408" s="4" t="str">
        <f>IF($C2408="","",_xlfn.XLOOKUP($C2408,Order!$C:$C,Order!$H:$H,"",0,1))</f>
        <v/>
      </c>
      <c r="I2408" s="36" t="str">
        <f>IF($C2408="","",_xlfn.XLOOKUP($C2408,Order!$C:$C,Order!$O:$O,"",0,1))</f>
        <v/>
      </c>
      <c r="J2408" s="4" t="str">
        <f>IF(C2408="","",Order!$O$16)</f>
        <v/>
      </c>
      <c r="K2408" s="36" t="str">
        <f>IF($C2408="","",_xlfn.XLOOKUP($C2408,Order!$C:$C,Order!$P:$P,"",0,1))</f>
        <v/>
      </c>
      <c r="L2408" s="4" t="str">
        <f t="shared" si="37"/>
        <v/>
      </c>
    </row>
    <row r="2409" spans="2:12" ht="23.25" hidden="1" customHeight="1" x14ac:dyDescent="0.25">
      <c r="B2409" s="4">
        <v>2404</v>
      </c>
      <c r="C2409" s="36" t="str">
        <f>IF(Order!$C$350="","",Order!$C$350)</f>
        <v/>
      </c>
      <c r="D2409" s="36" t="str">
        <f>IF($C2409="","",_xlfn.XLOOKUP($C2409,Order!$C:$C,Order!$D:$D,"",0,1))</f>
        <v/>
      </c>
      <c r="E2409" s="4" t="str">
        <f>IF($C2409="","",_xlfn.XLOOKUP($C2409,Order!$C:$C,Order!$E:$E,"",0,1))</f>
        <v/>
      </c>
      <c r="F2409" s="4" t="str">
        <f>IF($C2409="","",_xlfn.XLOOKUP($C2409,Order!$C:$C,Order!$F:$F,"",0,1))</f>
        <v/>
      </c>
      <c r="G2409" s="4" t="str">
        <f>IF($C2409="","",_xlfn.XLOOKUP($C2409,Order!$C:$C,Order!$G:$G,"",0,1))</f>
        <v/>
      </c>
      <c r="H2409" s="4" t="str">
        <f>IF($C2409="","",_xlfn.XLOOKUP($C2409,Order!$C:$C,Order!$H:$H,"",0,1))</f>
        <v/>
      </c>
      <c r="I2409" s="36" t="str">
        <f>IF($C2409="","",_xlfn.XLOOKUP($C2409,Order!$C:$C,Order!$O:$O,"",0,1))</f>
        <v/>
      </c>
      <c r="J2409" s="4" t="str">
        <f>IF(C2409="","",Order!$O$16)</f>
        <v/>
      </c>
      <c r="K2409" s="36" t="str">
        <f>IF($C2409="","",_xlfn.XLOOKUP($C2409,Order!$C:$C,Order!$P:$P,"",0,1))</f>
        <v/>
      </c>
      <c r="L2409" s="4" t="str">
        <f t="shared" si="37"/>
        <v/>
      </c>
    </row>
    <row r="2410" spans="2:12" ht="23.25" hidden="1" customHeight="1" x14ac:dyDescent="0.25">
      <c r="B2410" s="4">
        <v>2405</v>
      </c>
      <c r="C2410" s="36" t="str">
        <f>IF(Order!$C$351="","",Order!$C$351)</f>
        <v/>
      </c>
      <c r="D2410" s="36" t="str">
        <f>IF($C2410="","",_xlfn.XLOOKUP($C2410,Order!$C:$C,Order!$D:$D,"",0,1))</f>
        <v/>
      </c>
      <c r="E2410" s="4" t="str">
        <f>IF($C2410="","",_xlfn.XLOOKUP($C2410,Order!$C:$C,Order!$E:$E,"",0,1))</f>
        <v/>
      </c>
      <c r="F2410" s="4" t="str">
        <f>IF($C2410="","",_xlfn.XLOOKUP($C2410,Order!$C:$C,Order!$F:$F,"",0,1))</f>
        <v/>
      </c>
      <c r="G2410" s="4" t="str">
        <f>IF($C2410="","",_xlfn.XLOOKUP($C2410,Order!$C:$C,Order!$G:$G,"",0,1))</f>
        <v/>
      </c>
      <c r="H2410" s="4" t="str">
        <f>IF($C2410="","",_xlfn.XLOOKUP($C2410,Order!$C:$C,Order!$H:$H,"",0,1))</f>
        <v/>
      </c>
      <c r="I2410" s="36" t="str">
        <f>IF($C2410="","",_xlfn.XLOOKUP($C2410,Order!$C:$C,Order!$O:$O,"",0,1))</f>
        <v/>
      </c>
      <c r="J2410" s="4" t="str">
        <f>IF(C2410="","",Order!$O$16)</f>
        <v/>
      </c>
      <c r="K2410" s="36" t="str">
        <f>IF($C2410="","",_xlfn.XLOOKUP($C2410,Order!$C:$C,Order!$P:$P,"",0,1))</f>
        <v/>
      </c>
      <c r="L2410" s="4" t="str">
        <f t="shared" si="37"/>
        <v/>
      </c>
    </row>
    <row r="2411" spans="2:12" ht="23.25" hidden="1" customHeight="1" x14ac:dyDescent="0.25">
      <c r="B2411" s="4">
        <v>2406</v>
      </c>
      <c r="C2411" s="36" t="str">
        <f>IF(Order!$C$352="","",Order!$C$352)</f>
        <v/>
      </c>
      <c r="D2411" s="36" t="str">
        <f>IF($C2411="","",_xlfn.XLOOKUP($C2411,Order!$C:$C,Order!$D:$D,"",0,1))</f>
        <v/>
      </c>
      <c r="E2411" s="4" t="str">
        <f>IF($C2411="","",_xlfn.XLOOKUP($C2411,Order!$C:$C,Order!$E:$E,"",0,1))</f>
        <v/>
      </c>
      <c r="F2411" s="4" t="str">
        <f>IF($C2411="","",_xlfn.XLOOKUP($C2411,Order!$C:$C,Order!$F:$F,"",0,1))</f>
        <v/>
      </c>
      <c r="G2411" s="4" t="str">
        <f>IF($C2411="","",_xlfn.XLOOKUP($C2411,Order!$C:$C,Order!$G:$G,"",0,1))</f>
        <v/>
      </c>
      <c r="H2411" s="4" t="str">
        <f>IF($C2411="","",_xlfn.XLOOKUP($C2411,Order!$C:$C,Order!$H:$H,"",0,1))</f>
        <v/>
      </c>
      <c r="I2411" s="36" t="str">
        <f>IF($C2411="","",_xlfn.XLOOKUP($C2411,Order!$C:$C,Order!$O:$O,"",0,1))</f>
        <v/>
      </c>
      <c r="J2411" s="4" t="str">
        <f>IF(C2411="","",Order!$O$16)</f>
        <v/>
      </c>
      <c r="K2411" s="36" t="str">
        <f>IF($C2411="","",_xlfn.XLOOKUP($C2411,Order!$C:$C,Order!$P:$P,"",0,1))</f>
        <v/>
      </c>
      <c r="L2411" s="4" t="str">
        <f t="shared" si="37"/>
        <v/>
      </c>
    </row>
    <row r="2412" spans="2:12" ht="23.25" hidden="1" customHeight="1" x14ac:dyDescent="0.25">
      <c r="B2412" s="4">
        <v>2407</v>
      </c>
      <c r="C2412" s="36" t="str">
        <f>IF(Order!$C$353="","",Order!$C$353)</f>
        <v/>
      </c>
      <c r="D2412" s="36" t="str">
        <f>IF($C2412="","",_xlfn.XLOOKUP($C2412,Order!$C:$C,Order!$D:$D,"",0,1))</f>
        <v/>
      </c>
      <c r="E2412" s="4" t="str">
        <f>IF($C2412="","",_xlfn.XLOOKUP($C2412,Order!$C:$C,Order!$E:$E,"",0,1))</f>
        <v/>
      </c>
      <c r="F2412" s="4" t="str">
        <f>IF($C2412="","",_xlfn.XLOOKUP($C2412,Order!$C:$C,Order!$F:$F,"",0,1))</f>
        <v/>
      </c>
      <c r="G2412" s="4" t="str">
        <f>IF($C2412="","",_xlfn.XLOOKUP($C2412,Order!$C:$C,Order!$G:$G,"",0,1))</f>
        <v/>
      </c>
      <c r="H2412" s="4" t="str">
        <f>IF($C2412="","",_xlfn.XLOOKUP($C2412,Order!$C:$C,Order!$H:$H,"",0,1))</f>
        <v/>
      </c>
      <c r="I2412" s="36" t="str">
        <f>IF($C2412="","",_xlfn.XLOOKUP($C2412,Order!$C:$C,Order!$O:$O,"",0,1))</f>
        <v/>
      </c>
      <c r="J2412" s="4" t="str">
        <f>IF(C2412="","",Order!$O$16)</f>
        <v/>
      </c>
      <c r="K2412" s="36" t="str">
        <f>IF($C2412="","",_xlfn.XLOOKUP($C2412,Order!$C:$C,Order!$P:$P,"",0,1))</f>
        <v/>
      </c>
      <c r="L2412" s="4" t="str">
        <f t="shared" si="37"/>
        <v/>
      </c>
    </row>
    <row r="2413" spans="2:12" ht="23.25" hidden="1" customHeight="1" x14ac:dyDescent="0.25">
      <c r="B2413" s="4">
        <v>2408</v>
      </c>
      <c r="C2413" s="36" t="str">
        <f>IF(Order!$C$354="","",Order!$C$354)</f>
        <v/>
      </c>
      <c r="D2413" s="36" t="str">
        <f>IF($C2413="","",_xlfn.XLOOKUP($C2413,Order!$C:$C,Order!$D:$D,"",0,1))</f>
        <v/>
      </c>
      <c r="E2413" s="4" t="str">
        <f>IF($C2413="","",_xlfn.XLOOKUP($C2413,Order!$C:$C,Order!$E:$E,"",0,1))</f>
        <v/>
      </c>
      <c r="F2413" s="4" t="str">
        <f>IF($C2413="","",_xlfn.XLOOKUP($C2413,Order!$C:$C,Order!$F:$F,"",0,1))</f>
        <v/>
      </c>
      <c r="G2413" s="4" t="str">
        <f>IF($C2413="","",_xlfn.XLOOKUP($C2413,Order!$C:$C,Order!$G:$G,"",0,1))</f>
        <v/>
      </c>
      <c r="H2413" s="4" t="str">
        <f>IF($C2413="","",_xlfn.XLOOKUP($C2413,Order!$C:$C,Order!$H:$H,"",0,1))</f>
        <v/>
      </c>
      <c r="I2413" s="36" t="str">
        <f>IF($C2413="","",_xlfn.XLOOKUP($C2413,Order!$C:$C,Order!$O:$O,"",0,1))</f>
        <v/>
      </c>
      <c r="J2413" s="4" t="str">
        <f>IF(C2413="","",Order!$O$16)</f>
        <v/>
      </c>
      <c r="K2413" s="36" t="str">
        <f>IF($C2413="","",_xlfn.XLOOKUP($C2413,Order!$C:$C,Order!$P:$P,"",0,1))</f>
        <v/>
      </c>
      <c r="L2413" s="4" t="str">
        <f t="shared" si="37"/>
        <v/>
      </c>
    </row>
    <row r="2414" spans="2:12" ht="23.25" hidden="1" customHeight="1" x14ac:dyDescent="0.25">
      <c r="B2414" s="4">
        <v>2409</v>
      </c>
      <c r="C2414" s="36" t="str">
        <f>IF(Order!$C$355="","",Order!$C$355)</f>
        <v/>
      </c>
      <c r="D2414" s="36" t="str">
        <f>IF($C2414="","",_xlfn.XLOOKUP($C2414,Order!$C:$C,Order!$D:$D,"",0,1))</f>
        <v/>
      </c>
      <c r="E2414" s="4" t="str">
        <f>IF($C2414="","",_xlfn.XLOOKUP($C2414,Order!$C:$C,Order!$E:$E,"",0,1))</f>
        <v/>
      </c>
      <c r="F2414" s="4" t="str">
        <f>IF($C2414="","",_xlfn.XLOOKUP($C2414,Order!$C:$C,Order!$F:$F,"",0,1))</f>
        <v/>
      </c>
      <c r="G2414" s="4" t="str">
        <f>IF($C2414="","",_xlfn.XLOOKUP($C2414,Order!$C:$C,Order!$G:$G,"",0,1))</f>
        <v/>
      </c>
      <c r="H2414" s="4" t="str">
        <f>IF($C2414="","",_xlfn.XLOOKUP($C2414,Order!$C:$C,Order!$H:$H,"",0,1))</f>
        <v/>
      </c>
      <c r="I2414" s="36" t="str">
        <f>IF($C2414="","",_xlfn.XLOOKUP($C2414,Order!$C:$C,Order!$O:$O,"",0,1))</f>
        <v/>
      </c>
      <c r="J2414" s="4" t="str">
        <f>IF(C2414="","",Order!$O$16)</f>
        <v/>
      </c>
      <c r="K2414" s="36" t="str">
        <f>IF($C2414="","",_xlfn.XLOOKUP($C2414,Order!$C:$C,Order!$P:$P,"",0,1))</f>
        <v/>
      </c>
      <c r="L2414" s="4" t="str">
        <f t="shared" si="37"/>
        <v/>
      </c>
    </row>
    <row r="2415" spans="2:12" ht="23.25" hidden="1" customHeight="1" x14ac:dyDescent="0.25">
      <c r="B2415" s="4">
        <v>2410</v>
      </c>
      <c r="C2415" s="36" t="str">
        <f>IF(Order!$C$356="","",Order!$C$356)</f>
        <v/>
      </c>
      <c r="D2415" s="36" t="str">
        <f>IF($C2415="","",_xlfn.XLOOKUP($C2415,Order!$C:$C,Order!$D:$D,"",0,1))</f>
        <v/>
      </c>
      <c r="E2415" s="4" t="str">
        <f>IF($C2415="","",_xlfn.XLOOKUP($C2415,Order!$C:$C,Order!$E:$E,"",0,1))</f>
        <v/>
      </c>
      <c r="F2415" s="4" t="str">
        <f>IF($C2415="","",_xlfn.XLOOKUP($C2415,Order!$C:$C,Order!$F:$F,"",0,1))</f>
        <v/>
      </c>
      <c r="G2415" s="4" t="str">
        <f>IF($C2415="","",_xlfn.XLOOKUP($C2415,Order!$C:$C,Order!$G:$G,"",0,1))</f>
        <v/>
      </c>
      <c r="H2415" s="4" t="str">
        <f>IF($C2415="","",_xlfn.XLOOKUP($C2415,Order!$C:$C,Order!$H:$H,"",0,1))</f>
        <v/>
      </c>
      <c r="I2415" s="36" t="str">
        <f>IF($C2415="","",_xlfn.XLOOKUP($C2415,Order!$C:$C,Order!$O:$O,"",0,1))</f>
        <v/>
      </c>
      <c r="J2415" s="4" t="str">
        <f>IF(C2415="","",Order!$O$16)</f>
        <v/>
      </c>
      <c r="K2415" s="36" t="str">
        <f>IF($C2415="","",_xlfn.XLOOKUP($C2415,Order!$C:$C,Order!$P:$P,"",0,1))</f>
        <v/>
      </c>
      <c r="L2415" s="4" t="str">
        <f t="shared" si="37"/>
        <v/>
      </c>
    </row>
    <row r="2416" spans="2:12" ht="23.25" hidden="1" customHeight="1" x14ac:dyDescent="0.25">
      <c r="B2416" s="4">
        <v>2411</v>
      </c>
      <c r="C2416" s="36" t="str">
        <f>IF(Order!$C$357="","",Order!$C$357)</f>
        <v/>
      </c>
      <c r="D2416" s="36" t="str">
        <f>IF($C2416="","",_xlfn.XLOOKUP($C2416,Order!$C:$C,Order!$D:$D,"",0,1))</f>
        <v/>
      </c>
      <c r="E2416" s="4" t="str">
        <f>IF($C2416="","",_xlfn.XLOOKUP($C2416,Order!$C:$C,Order!$E:$E,"",0,1))</f>
        <v/>
      </c>
      <c r="F2416" s="4" t="str">
        <f>IF($C2416="","",_xlfn.XLOOKUP($C2416,Order!$C:$C,Order!$F:$F,"",0,1))</f>
        <v/>
      </c>
      <c r="G2416" s="4" t="str">
        <f>IF($C2416="","",_xlfn.XLOOKUP($C2416,Order!$C:$C,Order!$G:$G,"",0,1))</f>
        <v/>
      </c>
      <c r="H2416" s="4" t="str">
        <f>IF($C2416="","",_xlfn.XLOOKUP($C2416,Order!$C:$C,Order!$H:$H,"",0,1))</f>
        <v/>
      </c>
      <c r="I2416" s="36" t="str">
        <f>IF($C2416="","",_xlfn.XLOOKUP($C2416,Order!$C:$C,Order!$O:$O,"",0,1))</f>
        <v/>
      </c>
      <c r="J2416" s="4" t="str">
        <f>IF(C2416="","",Order!$O$16)</f>
        <v/>
      </c>
      <c r="K2416" s="36" t="str">
        <f>IF($C2416="","",_xlfn.XLOOKUP($C2416,Order!$C:$C,Order!$P:$P,"",0,1))</f>
        <v/>
      </c>
      <c r="L2416" s="4" t="str">
        <f t="shared" si="37"/>
        <v/>
      </c>
    </row>
    <row r="2417" spans="2:12" ht="23.25" hidden="1" customHeight="1" x14ac:dyDescent="0.25">
      <c r="B2417" s="4">
        <v>2412</v>
      </c>
      <c r="C2417" s="36" t="str">
        <f>IF(Order!$C$358="","",Order!$C$358)</f>
        <v/>
      </c>
      <c r="D2417" s="36" t="str">
        <f>IF($C2417="","",_xlfn.XLOOKUP($C2417,Order!$C:$C,Order!$D:$D,"",0,1))</f>
        <v/>
      </c>
      <c r="E2417" s="4" t="str">
        <f>IF($C2417="","",_xlfn.XLOOKUP($C2417,Order!$C:$C,Order!$E:$E,"",0,1))</f>
        <v/>
      </c>
      <c r="F2417" s="4" t="str">
        <f>IF($C2417="","",_xlfn.XLOOKUP($C2417,Order!$C:$C,Order!$F:$F,"",0,1))</f>
        <v/>
      </c>
      <c r="G2417" s="4" t="str">
        <f>IF($C2417="","",_xlfn.XLOOKUP($C2417,Order!$C:$C,Order!$G:$G,"",0,1))</f>
        <v/>
      </c>
      <c r="H2417" s="4" t="str">
        <f>IF($C2417="","",_xlfn.XLOOKUP($C2417,Order!$C:$C,Order!$H:$H,"",0,1))</f>
        <v/>
      </c>
      <c r="I2417" s="36" t="str">
        <f>IF($C2417="","",_xlfn.XLOOKUP($C2417,Order!$C:$C,Order!$O:$O,"",0,1))</f>
        <v/>
      </c>
      <c r="J2417" s="4" t="str">
        <f>IF(C2417="","",Order!$O$16)</f>
        <v/>
      </c>
      <c r="K2417" s="36" t="str">
        <f>IF($C2417="","",_xlfn.XLOOKUP($C2417,Order!$C:$C,Order!$P:$P,"",0,1))</f>
        <v/>
      </c>
      <c r="L2417" s="4" t="str">
        <f t="shared" si="37"/>
        <v/>
      </c>
    </row>
    <row r="2418" spans="2:12" ht="23.25" hidden="1" customHeight="1" x14ac:dyDescent="0.25">
      <c r="B2418" s="4">
        <v>2413</v>
      </c>
      <c r="C2418" s="36" t="str">
        <f>IF(Order!$C$359="","",Order!$C$359)</f>
        <v/>
      </c>
      <c r="D2418" s="36" t="str">
        <f>IF($C2418="","",_xlfn.XLOOKUP($C2418,Order!$C:$C,Order!$D:$D,"",0,1))</f>
        <v/>
      </c>
      <c r="E2418" s="4" t="str">
        <f>IF($C2418="","",_xlfn.XLOOKUP($C2418,Order!$C:$C,Order!$E:$E,"",0,1))</f>
        <v/>
      </c>
      <c r="F2418" s="4" t="str">
        <f>IF($C2418="","",_xlfn.XLOOKUP($C2418,Order!$C:$C,Order!$F:$F,"",0,1))</f>
        <v/>
      </c>
      <c r="G2418" s="4" t="str">
        <f>IF($C2418="","",_xlfn.XLOOKUP($C2418,Order!$C:$C,Order!$G:$G,"",0,1))</f>
        <v/>
      </c>
      <c r="H2418" s="4" t="str">
        <f>IF($C2418="","",_xlfn.XLOOKUP($C2418,Order!$C:$C,Order!$H:$H,"",0,1))</f>
        <v/>
      </c>
      <c r="I2418" s="36" t="str">
        <f>IF($C2418="","",_xlfn.XLOOKUP($C2418,Order!$C:$C,Order!$O:$O,"",0,1))</f>
        <v/>
      </c>
      <c r="J2418" s="4" t="str">
        <f>IF(C2418="","",Order!$O$16)</f>
        <v/>
      </c>
      <c r="K2418" s="36" t="str">
        <f>IF($C2418="","",_xlfn.XLOOKUP($C2418,Order!$C:$C,Order!$P:$P,"",0,1))</f>
        <v/>
      </c>
      <c r="L2418" s="4" t="str">
        <f t="shared" si="37"/>
        <v/>
      </c>
    </row>
    <row r="2419" spans="2:12" ht="23.25" hidden="1" customHeight="1" x14ac:dyDescent="0.25">
      <c r="B2419" s="4">
        <v>2414</v>
      </c>
      <c r="C2419" s="36" t="str">
        <f>IF(Order!$C$360="","",Order!$C$360)</f>
        <v/>
      </c>
      <c r="D2419" s="36" t="str">
        <f>IF($C2419="","",_xlfn.XLOOKUP($C2419,Order!$C:$C,Order!$D:$D,"",0,1))</f>
        <v/>
      </c>
      <c r="E2419" s="4" t="str">
        <f>IF($C2419="","",_xlfn.XLOOKUP($C2419,Order!$C:$C,Order!$E:$E,"",0,1))</f>
        <v/>
      </c>
      <c r="F2419" s="4" t="str">
        <f>IF($C2419="","",_xlfn.XLOOKUP($C2419,Order!$C:$C,Order!$F:$F,"",0,1))</f>
        <v/>
      </c>
      <c r="G2419" s="4" t="str">
        <f>IF($C2419="","",_xlfn.XLOOKUP($C2419,Order!$C:$C,Order!$G:$G,"",0,1))</f>
        <v/>
      </c>
      <c r="H2419" s="4" t="str">
        <f>IF($C2419="","",_xlfn.XLOOKUP($C2419,Order!$C:$C,Order!$H:$H,"",0,1))</f>
        <v/>
      </c>
      <c r="I2419" s="36" t="str">
        <f>IF($C2419="","",_xlfn.XLOOKUP($C2419,Order!$C:$C,Order!$O:$O,"",0,1))</f>
        <v/>
      </c>
      <c r="J2419" s="4" t="str">
        <f>IF(C2419="","",Order!$O$16)</f>
        <v/>
      </c>
      <c r="K2419" s="36" t="str">
        <f>IF($C2419="","",_xlfn.XLOOKUP($C2419,Order!$C:$C,Order!$P:$P,"",0,1))</f>
        <v/>
      </c>
      <c r="L2419" s="4" t="str">
        <f t="shared" si="37"/>
        <v/>
      </c>
    </row>
    <row r="2420" spans="2:12" ht="23.25" hidden="1" customHeight="1" x14ac:dyDescent="0.25">
      <c r="B2420" s="4">
        <v>2415</v>
      </c>
      <c r="C2420" s="36" t="str">
        <f>IF(Order!$C$361="","",Order!$C$361)</f>
        <v/>
      </c>
      <c r="D2420" s="36" t="str">
        <f>IF($C2420="","",_xlfn.XLOOKUP($C2420,Order!$C:$C,Order!$D:$D,"",0,1))</f>
        <v/>
      </c>
      <c r="E2420" s="4" t="str">
        <f>IF($C2420="","",_xlfn.XLOOKUP($C2420,Order!$C:$C,Order!$E:$E,"",0,1))</f>
        <v/>
      </c>
      <c r="F2420" s="4" t="str">
        <f>IF($C2420="","",_xlfn.XLOOKUP($C2420,Order!$C:$C,Order!$F:$F,"",0,1))</f>
        <v/>
      </c>
      <c r="G2420" s="4" t="str">
        <f>IF($C2420="","",_xlfn.XLOOKUP($C2420,Order!$C:$C,Order!$G:$G,"",0,1))</f>
        <v/>
      </c>
      <c r="H2420" s="4" t="str">
        <f>IF($C2420="","",_xlfn.XLOOKUP($C2420,Order!$C:$C,Order!$H:$H,"",0,1))</f>
        <v/>
      </c>
      <c r="I2420" s="36" t="str">
        <f>IF($C2420="","",_xlfn.XLOOKUP($C2420,Order!$C:$C,Order!$O:$O,"",0,1))</f>
        <v/>
      </c>
      <c r="J2420" s="4" t="str">
        <f>IF(C2420="","",Order!$O$16)</f>
        <v/>
      </c>
      <c r="K2420" s="36" t="str">
        <f>IF($C2420="","",_xlfn.XLOOKUP($C2420,Order!$C:$C,Order!$P:$P,"",0,1))</f>
        <v/>
      </c>
      <c r="L2420" s="4" t="str">
        <f t="shared" si="37"/>
        <v/>
      </c>
    </row>
    <row r="2421" spans="2:12" ht="23.25" hidden="1" customHeight="1" x14ac:dyDescent="0.25">
      <c r="B2421" s="4">
        <v>2430</v>
      </c>
      <c r="C2421" s="36" t="str">
        <f>IF(Order!$C$31="","",Order!$C$31)</f>
        <v/>
      </c>
      <c r="D2421" s="36" t="str">
        <f>IF($C2421="","",_xlfn.XLOOKUP($C2421,Order!$C:$C,Order!$D:$D,"",0,1))</f>
        <v/>
      </c>
      <c r="E2421" s="4" t="str">
        <f>IF($C2421="","",_xlfn.XLOOKUP($C2421,Order!$C:$C,Order!$E:$E,"",0,1))</f>
        <v/>
      </c>
      <c r="F2421" s="4" t="str">
        <f>IF($C2421="","",_xlfn.XLOOKUP($C2421,Order!$C:$C,Order!$F:$F,"",0,1))</f>
        <v/>
      </c>
      <c r="G2421" s="4" t="str">
        <f>IF($C2421="","",_xlfn.XLOOKUP($C2421,Order!$C:$C,Order!$G:$G,"",0,1))</f>
        <v/>
      </c>
      <c r="H2421" s="4" t="str">
        <f>IF($C2421="","",_xlfn.XLOOKUP($C2421,Order!$C:$C,Order!$H:$H,"",0,1))</f>
        <v/>
      </c>
      <c r="I2421" s="36" t="str">
        <f>IF($C2421="","",_xlfn.XLOOKUP($C2421,Order!$C:$C,Order!#REF!,"",0,1))</f>
        <v/>
      </c>
      <c r="J2421" s="4" t="str">
        <f>IF(C2421="","",Order!#REF!)</f>
        <v/>
      </c>
      <c r="K2421" s="36" t="str">
        <f>IF($C2421="","",_xlfn.XLOOKUP($C2421,Order!$C:$C,Order!$P:$P,"",0,1))</f>
        <v/>
      </c>
      <c r="L2421" s="4" t="str">
        <f t="shared" si="37"/>
        <v/>
      </c>
    </row>
    <row r="2422" spans="2:12" ht="23.25" hidden="1" customHeight="1" x14ac:dyDescent="0.25">
      <c r="B2422" s="4">
        <v>2465</v>
      </c>
      <c r="C2422" s="36" t="str">
        <f>IF(Order!$C$66="","",Order!$C$66)</f>
        <v/>
      </c>
      <c r="D2422" s="36" t="str">
        <f>IF($C2422="","",_xlfn.XLOOKUP($C2422,Order!$C:$C,Order!$D:$D,"",0,1))</f>
        <v/>
      </c>
      <c r="E2422" s="4" t="str">
        <f>IF($C2422="","",_xlfn.XLOOKUP($C2422,Order!$C:$C,Order!$E:$E,"",0,1))</f>
        <v/>
      </c>
      <c r="F2422" s="4" t="str">
        <f>IF($C2422="","",_xlfn.XLOOKUP($C2422,Order!$C:$C,Order!$F:$F,"",0,1))</f>
        <v/>
      </c>
      <c r="G2422" s="4" t="str">
        <f>IF($C2422="","",_xlfn.XLOOKUP($C2422,Order!$C:$C,Order!$G:$G,"",0,1))</f>
        <v/>
      </c>
      <c r="H2422" s="4" t="str">
        <f>IF($C2422="","",_xlfn.XLOOKUP($C2422,Order!$C:$C,Order!$H:$H,"",0,1))</f>
        <v/>
      </c>
      <c r="I2422" s="36" t="str">
        <f>IF($C2422="","",_xlfn.XLOOKUP($C2422,Order!$C:$C,Order!#REF!,"",0,1))</f>
        <v/>
      </c>
      <c r="J2422" s="4" t="str">
        <f>IF(C2422="","",Order!#REF!)</f>
        <v/>
      </c>
      <c r="K2422" s="36" t="str">
        <f>IF($C2422="","",_xlfn.XLOOKUP($C2422,Order!$C:$C,Order!$P:$P,"",0,1))</f>
        <v/>
      </c>
      <c r="L2422" s="4" t="str">
        <f t="shared" ref="L2422:L2429" si="38">IF(C2422="","",F2422/1000*H2422*I2422)</f>
        <v/>
      </c>
    </row>
    <row r="2423" spans="2:12" ht="23.25" hidden="1" customHeight="1" x14ac:dyDescent="0.25">
      <c r="B2423" s="4">
        <v>2466</v>
      </c>
      <c r="C2423" s="36" t="str">
        <f>IF(Order!$C$67="","",Order!$C$67)</f>
        <v/>
      </c>
      <c r="D2423" s="36" t="str">
        <f>IF($C2423="","",_xlfn.XLOOKUP($C2423,Order!$C:$C,Order!$D:$D,"",0,1))</f>
        <v/>
      </c>
      <c r="E2423" s="4" t="str">
        <f>IF($C2423="","",_xlfn.XLOOKUP($C2423,Order!$C:$C,Order!$E:$E,"",0,1))</f>
        <v/>
      </c>
      <c r="F2423" s="4" t="str">
        <f>IF($C2423="","",_xlfn.XLOOKUP($C2423,Order!$C:$C,Order!$F:$F,"",0,1))</f>
        <v/>
      </c>
      <c r="G2423" s="4" t="str">
        <f>IF($C2423="","",_xlfn.XLOOKUP($C2423,Order!$C:$C,Order!$G:$G,"",0,1))</f>
        <v/>
      </c>
      <c r="H2423" s="4" t="str">
        <f>IF($C2423="","",_xlfn.XLOOKUP($C2423,Order!$C:$C,Order!$H:$H,"",0,1))</f>
        <v/>
      </c>
      <c r="I2423" s="36" t="str">
        <f>IF($C2423="","",_xlfn.XLOOKUP($C2423,Order!$C:$C,Order!#REF!,"",0,1))</f>
        <v/>
      </c>
      <c r="J2423" s="4" t="str">
        <f>IF(C2423="","",Order!#REF!)</f>
        <v/>
      </c>
      <c r="K2423" s="36" t="str">
        <f>IF($C2423="","",_xlfn.XLOOKUP($C2423,Order!$C:$C,Order!$P:$P,"",0,1))</f>
        <v/>
      </c>
      <c r="L2423" s="4" t="str">
        <f t="shared" si="38"/>
        <v/>
      </c>
    </row>
    <row r="2424" spans="2:12" ht="23.25" hidden="1" customHeight="1" x14ac:dyDescent="0.25">
      <c r="B2424" s="4">
        <v>2467</v>
      </c>
      <c r="C2424" s="36" t="str">
        <f>IF(Order!$C$68="","",Order!$C$68)</f>
        <v/>
      </c>
      <c r="D2424" s="36" t="str">
        <f>IF($C2424="","",_xlfn.XLOOKUP($C2424,Order!$C:$C,Order!$D:$D,"",0,1))</f>
        <v/>
      </c>
      <c r="E2424" s="4" t="str">
        <f>IF($C2424="","",_xlfn.XLOOKUP($C2424,Order!$C:$C,Order!$E:$E,"",0,1))</f>
        <v/>
      </c>
      <c r="F2424" s="4" t="str">
        <f>IF($C2424="","",_xlfn.XLOOKUP($C2424,Order!$C:$C,Order!$F:$F,"",0,1))</f>
        <v/>
      </c>
      <c r="G2424" s="4" t="str">
        <f>IF($C2424="","",_xlfn.XLOOKUP($C2424,Order!$C:$C,Order!$G:$G,"",0,1))</f>
        <v/>
      </c>
      <c r="H2424" s="4" t="str">
        <f>IF($C2424="","",_xlfn.XLOOKUP($C2424,Order!$C:$C,Order!$H:$H,"",0,1))</f>
        <v/>
      </c>
      <c r="I2424" s="36" t="str">
        <f>IF($C2424="","",_xlfn.XLOOKUP($C2424,Order!$C:$C,Order!#REF!,"",0,1))</f>
        <v/>
      </c>
      <c r="J2424" s="4" t="str">
        <f>IF(C2424="","",Order!#REF!)</f>
        <v/>
      </c>
      <c r="K2424" s="36" t="str">
        <f>IF($C2424="","",_xlfn.XLOOKUP($C2424,Order!$C:$C,Order!$P:$P,"",0,1))</f>
        <v/>
      </c>
      <c r="L2424" s="4" t="str">
        <f t="shared" si="38"/>
        <v/>
      </c>
    </row>
    <row r="2425" spans="2:12" ht="23.25" hidden="1" customHeight="1" x14ac:dyDescent="0.25">
      <c r="B2425" s="4">
        <v>2468</v>
      </c>
      <c r="C2425" s="36" t="str">
        <f>IF(Order!$C$69="","",Order!$C$69)</f>
        <v/>
      </c>
      <c r="D2425" s="36" t="str">
        <f>IF($C2425="","",_xlfn.XLOOKUP($C2425,Order!$C:$C,Order!$D:$D,"",0,1))</f>
        <v/>
      </c>
      <c r="E2425" s="4" t="str">
        <f>IF($C2425="","",_xlfn.XLOOKUP($C2425,Order!$C:$C,Order!$E:$E,"",0,1))</f>
        <v/>
      </c>
      <c r="F2425" s="4" t="str">
        <f>IF($C2425="","",_xlfn.XLOOKUP($C2425,Order!$C:$C,Order!$F:$F,"",0,1))</f>
        <v/>
      </c>
      <c r="G2425" s="4" t="str">
        <f>IF($C2425="","",_xlfn.XLOOKUP($C2425,Order!$C:$C,Order!$G:$G,"",0,1))</f>
        <v/>
      </c>
      <c r="H2425" s="4" t="str">
        <f>IF($C2425="","",_xlfn.XLOOKUP($C2425,Order!$C:$C,Order!$H:$H,"",0,1))</f>
        <v/>
      </c>
      <c r="I2425" s="36" t="str">
        <f>IF($C2425="","",_xlfn.XLOOKUP($C2425,Order!$C:$C,Order!#REF!,"",0,1))</f>
        <v/>
      </c>
      <c r="J2425" s="4" t="str">
        <f>IF(C2425="","",Order!#REF!)</f>
        <v/>
      </c>
      <c r="K2425" s="36" t="str">
        <f>IF($C2425="","",_xlfn.XLOOKUP($C2425,Order!$C:$C,Order!$P:$P,"",0,1))</f>
        <v/>
      </c>
      <c r="L2425" s="4" t="str">
        <f t="shared" si="38"/>
        <v/>
      </c>
    </row>
    <row r="2426" spans="2:12" ht="23.25" hidden="1" customHeight="1" x14ac:dyDescent="0.25">
      <c r="B2426" s="4">
        <v>2469</v>
      </c>
      <c r="C2426" s="36" t="str">
        <f>IF(Order!$C$70="","",Order!$C$70)</f>
        <v/>
      </c>
      <c r="D2426" s="36" t="str">
        <f>IF($C2426="","",_xlfn.XLOOKUP($C2426,Order!$C:$C,Order!$D:$D,"",0,1))</f>
        <v/>
      </c>
      <c r="E2426" s="4" t="str">
        <f>IF($C2426="","",_xlfn.XLOOKUP($C2426,Order!$C:$C,Order!$E:$E,"",0,1))</f>
        <v/>
      </c>
      <c r="F2426" s="4" t="str">
        <f>IF($C2426="","",_xlfn.XLOOKUP($C2426,Order!$C:$C,Order!$F:$F,"",0,1))</f>
        <v/>
      </c>
      <c r="G2426" s="4" t="str">
        <f>IF($C2426="","",_xlfn.XLOOKUP($C2426,Order!$C:$C,Order!$G:$G,"",0,1))</f>
        <v/>
      </c>
      <c r="H2426" s="4" t="str">
        <f>IF($C2426="","",_xlfn.XLOOKUP($C2426,Order!$C:$C,Order!$H:$H,"",0,1))</f>
        <v/>
      </c>
      <c r="I2426" s="36" t="str">
        <f>IF($C2426="","",_xlfn.XLOOKUP($C2426,Order!$C:$C,Order!#REF!,"",0,1))</f>
        <v/>
      </c>
      <c r="J2426" s="4" t="str">
        <f>IF(C2426="","",Order!#REF!)</f>
        <v/>
      </c>
      <c r="K2426" s="36" t="str">
        <f>IF($C2426="","",_xlfn.XLOOKUP($C2426,Order!$C:$C,Order!$P:$P,"",0,1))</f>
        <v/>
      </c>
      <c r="L2426" s="4" t="str">
        <f t="shared" si="38"/>
        <v/>
      </c>
    </row>
    <row r="2427" spans="2:12" ht="23.25" hidden="1" customHeight="1" x14ac:dyDescent="0.25">
      <c r="B2427" s="4">
        <v>2470</v>
      </c>
      <c r="C2427" s="36" t="str">
        <f>IF(Order!$C$71="","",Order!$C$71)</f>
        <v/>
      </c>
      <c r="D2427" s="36" t="str">
        <f>IF($C2427="","",_xlfn.XLOOKUP($C2427,Order!$C:$C,Order!$D:$D,"",0,1))</f>
        <v/>
      </c>
      <c r="E2427" s="4" t="str">
        <f>IF($C2427="","",_xlfn.XLOOKUP($C2427,Order!$C:$C,Order!$E:$E,"",0,1))</f>
        <v/>
      </c>
      <c r="F2427" s="4" t="str">
        <f>IF($C2427="","",_xlfn.XLOOKUP($C2427,Order!$C:$C,Order!$F:$F,"",0,1))</f>
        <v/>
      </c>
      <c r="G2427" s="4" t="str">
        <f>IF($C2427="","",_xlfn.XLOOKUP($C2427,Order!$C:$C,Order!$G:$G,"",0,1))</f>
        <v/>
      </c>
      <c r="H2427" s="4" t="str">
        <f>IF($C2427="","",_xlfn.XLOOKUP($C2427,Order!$C:$C,Order!$H:$H,"",0,1))</f>
        <v/>
      </c>
      <c r="I2427" s="36" t="str">
        <f>IF($C2427="","",_xlfn.XLOOKUP($C2427,Order!$C:$C,Order!#REF!,"",0,1))</f>
        <v/>
      </c>
      <c r="J2427" s="4" t="str">
        <f>IF(C2427="","",Order!#REF!)</f>
        <v/>
      </c>
      <c r="K2427" s="36" t="str">
        <f>IF($C2427="","",_xlfn.XLOOKUP($C2427,Order!$C:$C,Order!$P:$P,"",0,1))</f>
        <v/>
      </c>
      <c r="L2427" s="4" t="str">
        <f t="shared" si="38"/>
        <v/>
      </c>
    </row>
    <row r="2428" spans="2:12" ht="23.25" hidden="1" customHeight="1" x14ac:dyDescent="0.25">
      <c r="B2428" s="4">
        <v>2471</v>
      </c>
      <c r="C2428" s="36" t="str">
        <f>IF(Order!$C$72="","",Order!$C$72)</f>
        <v/>
      </c>
      <c r="D2428" s="36" t="str">
        <f>IF($C2428="","",_xlfn.XLOOKUP($C2428,Order!$C:$C,Order!$D:$D,"",0,1))</f>
        <v/>
      </c>
      <c r="E2428" s="4" t="str">
        <f>IF($C2428="","",_xlfn.XLOOKUP($C2428,Order!$C:$C,Order!$E:$E,"",0,1))</f>
        <v/>
      </c>
      <c r="F2428" s="4" t="str">
        <f>IF($C2428="","",_xlfn.XLOOKUP($C2428,Order!$C:$C,Order!$F:$F,"",0,1))</f>
        <v/>
      </c>
      <c r="G2428" s="4" t="str">
        <f>IF($C2428="","",_xlfn.XLOOKUP($C2428,Order!$C:$C,Order!$G:$G,"",0,1))</f>
        <v/>
      </c>
      <c r="H2428" s="4" t="str">
        <f>IF($C2428="","",_xlfn.XLOOKUP($C2428,Order!$C:$C,Order!$H:$H,"",0,1))</f>
        <v/>
      </c>
      <c r="I2428" s="36" t="str">
        <f>IF($C2428="","",_xlfn.XLOOKUP($C2428,Order!$C:$C,Order!#REF!,"",0,1))</f>
        <v/>
      </c>
      <c r="J2428" s="4" t="str">
        <f>IF(C2428="","",Order!#REF!)</f>
        <v/>
      </c>
      <c r="K2428" s="36" t="str">
        <f>IF($C2428="","",_xlfn.XLOOKUP($C2428,Order!$C:$C,Order!$P:$P,"",0,1))</f>
        <v/>
      </c>
      <c r="L2428" s="4" t="str">
        <f t="shared" si="38"/>
        <v/>
      </c>
    </row>
    <row r="2429" spans="2:12" ht="23.25" hidden="1" customHeight="1" x14ac:dyDescent="0.25">
      <c r="B2429" s="4">
        <v>2472</v>
      </c>
      <c r="C2429" s="36" t="str">
        <f>IF(Order!$C$73="","",Order!$C$73)</f>
        <v/>
      </c>
      <c r="D2429" s="36" t="str">
        <f>IF($C2429="","",_xlfn.XLOOKUP($C2429,Order!$C:$C,Order!$D:$D,"",0,1))</f>
        <v/>
      </c>
      <c r="E2429" s="4" t="str">
        <f>IF($C2429="","",_xlfn.XLOOKUP($C2429,Order!$C:$C,Order!$E:$E,"",0,1))</f>
        <v/>
      </c>
      <c r="F2429" s="4" t="str">
        <f>IF($C2429="","",_xlfn.XLOOKUP($C2429,Order!$C:$C,Order!$F:$F,"",0,1))</f>
        <v/>
      </c>
      <c r="G2429" s="4" t="str">
        <f>IF($C2429="","",_xlfn.XLOOKUP($C2429,Order!$C:$C,Order!$G:$G,"",0,1))</f>
        <v/>
      </c>
      <c r="H2429" s="4" t="str">
        <f>IF($C2429="","",_xlfn.XLOOKUP($C2429,Order!$C:$C,Order!$H:$H,"",0,1))</f>
        <v/>
      </c>
      <c r="I2429" s="36" t="str">
        <f>IF($C2429="","",_xlfn.XLOOKUP($C2429,Order!$C:$C,Order!#REF!,"",0,1))</f>
        <v/>
      </c>
      <c r="J2429" s="4" t="str">
        <f>IF(C2429="","",Order!#REF!)</f>
        <v/>
      </c>
      <c r="K2429" s="36" t="str">
        <f>IF($C2429="","",_xlfn.XLOOKUP($C2429,Order!$C:$C,Order!$P:$P,"",0,1))</f>
        <v/>
      </c>
      <c r="L2429" s="4" t="str">
        <f t="shared" si="38"/>
        <v/>
      </c>
    </row>
    <row r="2430" spans="2:12" ht="23.25" hidden="1" customHeight="1" x14ac:dyDescent="0.25">
      <c r="B2430" s="4">
        <v>2556</v>
      </c>
      <c r="C2430" s="36" t="str">
        <f>IF(Order!$C$157="","",Order!$C$157)</f>
        <v/>
      </c>
      <c r="D2430" s="36" t="str">
        <f>IF($C2430="","",_xlfn.XLOOKUP($C2430,Order!$C:$C,Order!$D:$D,"",0,1))</f>
        <v/>
      </c>
      <c r="E2430" s="4" t="str">
        <f>IF($C2430="","",_xlfn.XLOOKUP($C2430,Order!$C:$C,Order!$E:$E,"",0,1))</f>
        <v/>
      </c>
      <c r="F2430" s="4" t="str">
        <f>IF($C2430="","",_xlfn.XLOOKUP($C2430,Order!$C:$C,Order!$F:$F,"",0,1))</f>
        <v/>
      </c>
      <c r="G2430" s="4" t="str">
        <f>IF($C2430="","",_xlfn.XLOOKUP($C2430,Order!$C:$C,Order!$G:$G,"",0,1))</f>
        <v/>
      </c>
      <c r="H2430" s="4" t="str">
        <f>IF($C2430="","",_xlfn.XLOOKUP($C2430,Order!$C:$C,Order!$H:$H,"",0,1))</f>
        <v/>
      </c>
      <c r="I2430" s="36" t="str">
        <f>IF($C2430="","",_xlfn.XLOOKUP($C2430,Order!$C:$C,Order!#REF!,"",0,1))</f>
        <v/>
      </c>
      <c r="J2430" s="4" t="str">
        <f>IF(C2430="","",Order!#REF!)</f>
        <v/>
      </c>
      <c r="K2430" s="36" t="str">
        <f>IF($C2430="","",_xlfn.XLOOKUP($C2430,Order!$C:$C,Order!$P:$P,"",0,1))</f>
        <v/>
      </c>
      <c r="L2430" s="4" t="str">
        <f>IF(C2430="","",F2430/1000*H2430*I2430)</f>
        <v/>
      </c>
    </row>
    <row r="2431" spans="2:12" ht="23.25" hidden="1" customHeight="1" x14ac:dyDescent="0.25">
      <c r="B2431" s="4">
        <v>2559</v>
      </c>
      <c r="C2431" s="36" t="str">
        <f>IF(Order!$C$160="","",Order!$C$160)</f>
        <v/>
      </c>
      <c r="D2431" s="36" t="str">
        <f>IF($C2431="","",_xlfn.XLOOKUP($C2431,Order!$C:$C,Order!$D:$D,"",0,1))</f>
        <v/>
      </c>
      <c r="E2431" s="4" t="str">
        <f>IF($C2431="","",_xlfn.XLOOKUP($C2431,Order!$C:$C,Order!$E:$E,"",0,1))</f>
        <v/>
      </c>
      <c r="F2431" s="4" t="str">
        <f>IF($C2431="","",_xlfn.XLOOKUP($C2431,Order!$C:$C,Order!$F:$F,"",0,1))</f>
        <v/>
      </c>
      <c r="G2431" s="4" t="str">
        <f>IF($C2431="","",_xlfn.XLOOKUP($C2431,Order!$C:$C,Order!$G:$G,"",0,1))</f>
        <v/>
      </c>
      <c r="H2431" s="4" t="str">
        <f>IF($C2431="","",_xlfn.XLOOKUP($C2431,Order!$C:$C,Order!$H:$H,"",0,1))</f>
        <v/>
      </c>
      <c r="I2431" s="36" t="str">
        <f>IF($C2431="","",_xlfn.XLOOKUP($C2431,Order!$C:$C,Order!#REF!,"",0,1))</f>
        <v/>
      </c>
      <c r="J2431" s="4" t="str">
        <f>IF(C2431="","",Order!#REF!)</f>
        <v/>
      </c>
      <c r="K2431" s="36" t="str">
        <f>IF($C2431="","",_xlfn.XLOOKUP($C2431,Order!$C:$C,Order!$P:$P,"",0,1))</f>
        <v/>
      </c>
      <c r="L2431" s="4" t="str">
        <f>IF(C2431="","",F2431/1000*H2431*I2431)</f>
        <v/>
      </c>
    </row>
    <row r="2432" spans="2:12" ht="23.25" hidden="1" customHeight="1" x14ac:dyDescent="0.25">
      <c r="B2432" s="4">
        <v>2593</v>
      </c>
      <c r="C2432" s="36" t="str">
        <f>IF(Order!$C$194="","",Order!$C$194)</f>
        <v/>
      </c>
      <c r="D2432" s="36" t="str">
        <f>IF($C2432="","",_xlfn.XLOOKUP($C2432,Order!$C:$C,Order!$D:$D,"",0,1))</f>
        <v/>
      </c>
      <c r="E2432" s="4" t="str">
        <f>IF($C2432="","",_xlfn.XLOOKUP($C2432,Order!$C:$C,Order!$E:$E,"",0,1))</f>
        <v/>
      </c>
      <c r="F2432" s="4" t="str">
        <f>IF($C2432="","",_xlfn.XLOOKUP($C2432,Order!$C:$C,Order!$F:$F,"",0,1))</f>
        <v/>
      </c>
      <c r="G2432" s="4" t="str">
        <f>IF($C2432="","",_xlfn.XLOOKUP($C2432,Order!$C:$C,Order!$G:$G,"",0,1))</f>
        <v/>
      </c>
      <c r="H2432" s="4" t="str">
        <f>IF($C2432="","",_xlfn.XLOOKUP($C2432,Order!$C:$C,Order!$H:$H,"",0,1))</f>
        <v/>
      </c>
      <c r="I2432" s="36" t="str">
        <f>IF($C2432="","",_xlfn.XLOOKUP($C2432,Order!$C:$C,Order!#REF!,"",0,1))</f>
        <v/>
      </c>
      <c r="J2432" s="4" t="str">
        <f>IF(C2432="","",Order!#REF!)</f>
        <v/>
      </c>
      <c r="K2432" s="36" t="str">
        <f>IF($C2432="","",_xlfn.XLOOKUP($C2432,Order!$C:$C,Order!$P:$P,"",0,1))</f>
        <v/>
      </c>
      <c r="L2432" s="4" t="str">
        <f>IF(C2432="","",F2432/1000*H2432*I2432)</f>
        <v/>
      </c>
    </row>
    <row r="2433" spans="2:12" ht="23.25" hidden="1" customHeight="1" x14ac:dyDescent="0.25">
      <c r="B2433" s="4">
        <v>2648</v>
      </c>
      <c r="C2433" s="36" t="str">
        <f>IF(Order!$C$249="","",Order!$C$249)</f>
        <v/>
      </c>
      <c r="D2433" s="36" t="str">
        <f>IF($C2433="","",_xlfn.XLOOKUP($C2433,Order!$C:$C,Order!$D:$D,"",0,1))</f>
        <v/>
      </c>
      <c r="E2433" s="4" t="str">
        <f>IF($C2433="","",_xlfn.XLOOKUP($C2433,Order!$C:$C,Order!$E:$E,"",0,1))</f>
        <v/>
      </c>
      <c r="F2433" s="4" t="str">
        <f>IF($C2433="","",_xlfn.XLOOKUP($C2433,Order!$C:$C,Order!$F:$F,"",0,1))</f>
        <v/>
      </c>
      <c r="G2433" s="4" t="str">
        <f>IF($C2433="","",_xlfn.XLOOKUP($C2433,Order!$C:$C,Order!$G:$G,"",0,1))</f>
        <v/>
      </c>
      <c r="H2433" s="4" t="str">
        <f>IF($C2433="","",_xlfn.XLOOKUP($C2433,Order!$C:$C,Order!$H:$H,"",0,1))</f>
        <v/>
      </c>
      <c r="I2433" s="36" t="str">
        <f>IF($C2433="","",_xlfn.XLOOKUP($C2433,Order!$C:$C,Order!#REF!,"",0,1))</f>
        <v/>
      </c>
      <c r="J2433" s="4" t="str">
        <f>IF(C2433="","",Order!#REF!)</f>
        <v/>
      </c>
      <c r="K2433" s="36" t="str">
        <f>IF($C2433="","",_xlfn.XLOOKUP($C2433,Order!$C:$C,Order!$P:$P,"",0,1))</f>
        <v/>
      </c>
      <c r="L2433" s="4" t="str">
        <f>IF(C2433="","",F2433/1000*H2433*I2433)</f>
        <v/>
      </c>
    </row>
    <row r="2434" spans="2:12" ht="23.25" hidden="1" customHeight="1" x14ac:dyDescent="0.25">
      <c r="B2434" s="4">
        <v>2694</v>
      </c>
      <c r="C2434" s="36" t="str">
        <f>IF(Order!$C$295="","",Order!$C$295)</f>
        <v/>
      </c>
      <c r="D2434" s="36" t="str">
        <f>IF($C2434="","",_xlfn.XLOOKUP($C2434,Order!$C:$C,Order!$D:$D,"",0,1))</f>
        <v/>
      </c>
      <c r="E2434" s="4" t="str">
        <f>IF($C2434="","",_xlfn.XLOOKUP($C2434,Order!$C:$C,Order!$E:$E,"",0,1))</f>
        <v/>
      </c>
      <c r="F2434" s="4" t="str">
        <f>IF($C2434="","",_xlfn.XLOOKUP($C2434,Order!$C:$C,Order!$F:$F,"",0,1))</f>
        <v/>
      </c>
      <c r="G2434" s="4" t="str">
        <f>IF($C2434="","",_xlfn.XLOOKUP($C2434,Order!$C:$C,Order!$G:$G,"",0,1))</f>
        <v/>
      </c>
      <c r="H2434" s="4" t="str">
        <f>IF($C2434="","",_xlfn.XLOOKUP($C2434,Order!$C:$C,Order!$H:$H,"",0,1))</f>
        <v/>
      </c>
      <c r="I2434" s="36" t="str">
        <f>IF($C2434="","",_xlfn.XLOOKUP($C2434,Order!$C:$C,Order!#REF!,"",0,1))</f>
        <v/>
      </c>
      <c r="J2434" s="4" t="str">
        <f>IF(C2434="","",Order!#REF!)</f>
        <v/>
      </c>
      <c r="K2434" s="36" t="str">
        <f>IF($C2434="","",_xlfn.XLOOKUP($C2434,Order!$C:$C,Order!$P:$P,"",0,1))</f>
        <v/>
      </c>
      <c r="L2434" s="4" t="str">
        <f t="shared" ref="L2434:L2475" si="39">IF(C2434="","",F2434/1000*H2434*I2434)</f>
        <v/>
      </c>
    </row>
    <row r="2435" spans="2:12" ht="23.25" hidden="1" customHeight="1" x14ac:dyDescent="0.25">
      <c r="B2435" s="4">
        <v>2695</v>
      </c>
      <c r="C2435" s="36" t="str">
        <f>IF(Order!$C$296="","",Order!$C$296)</f>
        <v/>
      </c>
      <c r="D2435" s="36" t="str">
        <f>IF($C2435="","",_xlfn.XLOOKUP($C2435,Order!$C:$C,Order!$D:$D,"",0,1))</f>
        <v/>
      </c>
      <c r="E2435" s="4" t="str">
        <f>IF($C2435="","",_xlfn.XLOOKUP($C2435,Order!$C:$C,Order!$E:$E,"",0,1))</f>
        <v/>
      </c>
      <c r="F2435" s="4" t="str">
        <f>IF($C2435="","",_xlfn.XLOOKUP($C2435,Order!$C:$C,Order!$F:$F,"",0,1))</f>
        <v/>
      </c>
      <c r="G2435" s="4" t="str">
        <f>IF($C2435="","",_xlfn.XLOOKUP($C2435,Order!$C:$C,Order!$G:$G,"",0,1))</f>
        <v/>
      </c>
      <c r="H2435" s="4" t="str">
        <f>IF($C2435="","",_xlfn.XLOOKUP($C2435,Order!$C:$C,Order!$H:$H,"",0,1))</f>
        <v/>
      </c>
      <c r="I2435" s="36" t="str">
        <f>IF($C2435="","",_xlfn.XLOOKUP($C2435,Order!$C:$C,Order!#REF!,"",0,1))</f>
        <v/>
      </c>
      <c r="J2435" s="4" t="str">
        <f>IF(C2435="","",Order!#REF!)</f>
        <v/>
      </c>
      <c r="K2435" s="36" t="str">
        <f>IF($C2435="","",_xlfn.XLOOKUP($C2435,Order!$C:$C,Order!$P:$P,"",0,1))</f>
        <v/>
      </c>
      <c r="L2435" s="4" t="str">
        <f t="shared" si="39"/>
        <v/>
      </c>
    </row>
    <row r="2436" spans="2:12" ht="23.25" hidden="1" customHeight="1" x14ac:dyDescent="0.25">
      <c r="B2436" s="4">
        <v>2696</v>
      </c>
      <c r="C2436" s="36" t="str">
        <f>IF(Order!$C$297="","",Order!$C$297)</f>
        <v/>
      </c>
      <c r="D2436" s="36" t="str">
        <f>IF($C2436="","",_xlfn.XLOOKUP($C2436,Order!$C:$C,Order!$D:$D,"",0,1))</f>
        <v/>
      </c>
      <c r="E2436" s="4" t="str">
        <f>IF($C2436="","",_xlfn.XLOOKUP($C2436,Order!$C:$C,Order!$E:$E,"",0,1))</f>
        <v/>
      </c>
      <c r="F2436" s="4" t="str">
        <f>IF($C2436="","",_xlfn.XLOOKUP($C2436,Order!$C:$C,Order!$F:$F,"",0,1))</f>
        <v/>
      </c>
      <c r="G2436" s="4" t="str">
        <f>IF($C2436="","",_xlfn.XLOOKUP($C2436,Order!$C:$C,Order!$G:$G,"",0,1))</f>
        <v/>
      </c>
      <c r="H2436" s="4" t="str">
        <f>IF($C2436="","",_xlfn.XLOOKUP($C2436,Order!$C:$C,Order!$H:$H,"",0,1))</f>
        <v/>
      </c>
      <c r="I2436" s="36" t="str">
        <f>IF($C2436="","",_xlfn.XLOOKUP($C2436,Order!$C:$C,Order!#REF!,"",0,1))</f>
        <v/>
      </c>
      <c r="J2436" s="4" t="str">
        <f>IF(C2436="","",Order!#REF!)</f>
        <v/>
      </c>
      <c r="K2436" s="36" t="str">
        <f>IF($C2436="","",_xlfn.XLOOKUP($C2436,Order!$C:$C,Order!$P:$P,"",0,1))</f>
        <v/>
      </c>
      <c r="L2436" s="4" t="str">
        <f t="shared" si="39"/>
        <v/>
      </c>
    </row>
    <row r="2437" spans="2:12" ht="23.25" hidden="1" customHeight="1" x14ac:dyDescent="0.25">
      <c r="B2437" s="4">
        <v>2697</v>
      </c>
      <c r="C2437" s="36" t="str">
        <f>IF(Order!$C$298="","",Order!$C$298)</f>
        <v/>
      </c>
      <c r="D2437" s="36" t="str">
        <f>IF($C2437="","",_xlfn.XLOOKUP($C2437,Order!$C:$C,Order!$D:$D,"",0,1))</f>
        <v/>
      </c>
      <c r="E2437" s="4" t="str">
        <f>IF($C2437="","",_xlfn.XLOOKUP($C2437,Order!$C:$C,Order!$E:$E,"",0,1))</f>
        <v/>
      </c>
      <c r="F2437" s="4" t="str">
        <f>IF($C2437="","",_xlfn.XLOOKUP($C2437,Order!$C:$C,Order!$F:$F,"",0,1))</f>
        <v/>
      </c>
      <c r="G2437" s="4" t="str">
        <f>IF($C2437="","",_xlfn.XLOOKUP($C2437,Order!$C:$C,Order!$G:$G,"",0,1))</f>
        <v/>
      </c>
      <c r="H2437" s="4" t="str">
        <f>IF($C2437="","",_xlfn.XLOOKUP($C2437,Order!$C:$C,Order!$H:$H,"",0,1))</f>
        <v/>
      </c>
      <c r="I2437" s="36" t="str">
        <f>IF($C2437="","",_xlfn.XLOOKUP($C2437,Order!$C:$C,Order!#REF!,"",0,1))</f>
        <v/>
      </c>
      <c r="J2437" s="4" t="str">
        <f>IF(C2437="","",Order!#REF!)</f>
        <v/>
      </c>
      <c r="K2437" s="36" t="str">
        <f>IF($C2437="","",_xlfn.XLOOKUP($C2437,Order!$C:$C,Order!$P:$P,"",0,1))</f>
        <v/>
      </c>
      <c r="L2437" s="4" t="str">
        <f t="shared" si="39"/>
        <v/>
      </c>
    </row>
    <row r="2438" spans="2:12" ht="23.25" hidden="1" customHeight="1" x14ac:dyDescent="0.25">
      <c r="B2438" s="4">
        <v>2698</v>
      </c>
      <c r="C2438" s="36" t="str">
        <f>IF(Order!$C$299="","",Order!$C$299)</f>
        <v/>
      </c>
      <c r="D2438" s="36" t="str">
        <f>IF($C2438="","",_xlfn.XLOOKUP($C2438,Order!$C:$C,Order!$D:$D,"",0,1))</f>
        <v/>
      </c>
      <c r="E2438" s="4" t="str">
        <f>IF($C2438="","",_xlfn.XLOOKUP($C2438,Order!$C:$C,Order!$E:$E,"",0,1))</f>
        <v/>
      </c>
      <c r="F2438" s="4" t="str">
        <f>IF($C2438="","",_xlfn.XLOOKUP($C2438,Order!$C:$C,Order!$F:$F,"",0,1))</f>
        <v/>
      </c>
      <c r="G2438" s="4" t="str">
        <f>IF($C2438="","",_xlfn.XLOOKUP($C2438,Order!$C:$C,Order!$G:$G,"",0,1))</f>
        <v/>
      </c>
      <c r="H2438" s="4" t="str">
        <f>IF($C2438="","",_xlfn.XLOOKUP($C2438,Order!$C:$C,Order!$H:$H,"",0,1))</f>
        <v/>
      </c>
      <c r="I2438" s="36" t="str">
        <f>IF($C2438="","",_xlfn.XLOOKUP($C2438,Order!$C:$C,Order!#REF!,"",0,1))</f>
        <v/>
      </c>
      <c r="J2438" s="4" t="str">
        <f>IF(C2438="","",Order!#REF!)</f>
        <v/>
      </c>
      <c r="K2438" s="36" t="str">
        <f>IF($C2438="","",_xlfn.XLOOKUP($C2438,Order!$C:$C,Order!$P:$P,"",0,1))</f>
        <v/>
      </c>
      <c r="L2438" s="4" t="str">
        <f t="shared" si="39"/>
        <v/>
      </c>
    </row>
    <row r="2439" spans="2:12" ht="23.25" hidden="1" customHeight="1" x14ac:dyDescent="0.25">
      <c r="B2439" s="4">
        <v>2699</v>
      </c>
      <c r="C2439" s="36" t="str">
        <f>IF(Order!$C$300="","",Order!$C$300)</f>
        <v/>
      </c>
      <c r="D2439" s="36" t="str">
        <f>IF($C2439="","",_xlfn.XLOOKUP($C2439,Order!$C:$C,Order!$D:$D,"",0,1))</f>
        <v/>
      </c>
      <c r="E2439" s="4" t="str">
        <f>IF($C2439="","",_xlfn.XLOOKUP($C2439,Order!$C:$C,Order!$E:$E,"",0,1))</f>
        <v/>
      </c>
      <c r="F2439" s="4" t="str">
        <f>IF($C2439="","",_xlfn.XLOOKUP($C2439,Order!$C:$C,Order!$F:$F,"",0,1))</f>
        <v/>
      </c>
      <c r="G2439" s="4" t="str">
        <f>IF($C2439="","",_xlfn.XLOOKUP($C2439,Order!$C:$C,Order!$G:$G,"",0,1))</f>
        <v/>
      </c>
      <c r="H2439" s="4" t="str">
        <f>IF($C2439="","",_xlfn.XLOOKUP($C2439,Order!$C:$C,Order!$H:$H,"",0,1))</f>
        <v/>
      </c>
      <c r="I2439" s="36" t="str">
        <f>IF($C2439="","",_xlfn.XLOOKUP($C2439,Order!$C:$C,Order!#REF!,"",0,1))</f>
        <v/>
      </c>
      <c r="J2439" s="4" t="str">
        <f>IF(C2439="","",Order!#REF!)</f>
        <v/>
      </c>
      <c r="K2439" s="36" t="str">
        <f>IF($C2439="","",_xlfn.XLOOKUP($C2439,Order!$C:$C,Order!$P:$P,"",0,1))</f>
        <v/>
      </c>
      <c r="L2439" s="4" t="str">
        <f t="shared" si="39"/>
        <v/>
      </c>
    </row>
    <row r="2440" spans="2:12" ht="23.25" hidden="1" customHeight="1" x14ac:dyDescent="0.25">
      <c r="B2440" s="4">
        <v>2700</v>
      </c>
      <c r="C2440" s="36" t="str">
        <f>IF(Order!$C$301="","",Order!$C$301)</f>
        <v/>
      </c>
      <c r="D2440" s="36" t="str">
        <f>IF($C2440="","",_xlfn.XLOOKUP($C2440,Order!$C:$C,Order!$D:$D,"",0,1))</f>
        <v/>
      </c>
      <c r="E2440" s="4" t="str">
        <f>IF($C2440="","",_xlfn.XLOOKUP($C2440,Order!$C:$C,Order!$E:$E,"",0,1))</f>
        <v/>
      </c>
      <c r="F2440" s="4" t="str">
        <f>IF($C2440="","",_xlfn.XLOOKUP($C2440,Order!$C:$C,Order!$F:$F,"",0,1))</f>
        <v/>
      </c>
      <c r="G2440" s="4" t="str">
        <f>IF($C2440="","",_xlfn.XLOOKUP($C2440,Order!$C:$C,Order!$G:$G,"",0,1))</f>
        <v/>
      </c>
      <c r="H2440" s="4" t="str">
        <f>IF($C2440="","",_xlfn.XLOOKUP($C2440,Order!$C:$C,Order!$H:$H,"",0,1))</f>
        <v/>
      </c>
      <c r="I2440" s="36" t="str">
        <f>IF($C2440="","",_xlfn.XLOOKUP($C2440,Order!$C:$C,Order!#REF!,"",0,1))</f>
        <v/>
      </c>
      <c r="J2440" s="4" t="str">
        <f>IF(C2440="","",Order!#REF!)</f>
        <v/>
      </c>
      <c r="K2440" s="36" t="str">
        <f>IF($C2440="","",_xlfn.XLOOKUP($C2440,Order!$C:$C,Order!$P:$P,"",0,1))</f>
        <v/>
      </c>
      <c r="L2440" s="4" t="str">
        <f t="shared" si="39"/>
        <v/>
      </c>
    </row>
    <row r="2441" spans="2:12" ht="23.25" hidden="1" customHeight="1" x14ac:dyDescent="0.25">
      <c r="B2441" s="4">
        <v>2701</v>
      </c>
      <c r="C2441" s="36" t="str">
        <f>IF(Order!$C$302="","",Order!$C$302)</f>
        <v/>
      </c>
      <c r="D2441" s="36" t="str">
        <f>IF($C2441="","",_xlfn.XLOOKUP($C2441,Order!$C:$C,Order!$D:$D,"",0,1))</f>
        <v/>
      </c>
      <c r="E2441" s="4" t="str">
        <f>IF($C2441="","",_xlfn.XLOOKUP($C2441,Order!$C:$C,Order!$E:$E,"",0,1))</f>
        <v/>
      </c>
      <c r="F2441" s="4" t="str">
        <f>IF($C2441="","",_xlfn.XLOOKUP($C2441,Order!$C:$C,Order!$F:$F,"",0,1))</f>
        <v/>
      </c>
      <c r="G2441" s="4" t="str">
        <f>IF($C2441="","",_xlfn.XLOOKUP($C2441,Order!$C:$C,Order!$G:$G,"",0,1))</f>
        <v/>
      </c>
      <c r="H2441" s="4" t="str">
        <f>IF($C2441="","",_xlfn.XLOOKUP($C2441,Order!$C:$C,Order!$H:$H,"",0,1))</f>
        <v/>
      </c>
      <c r="I2441" s="36" t="str">
        <f>IF($C2441="","",_xlfn.XLOOKUP($C2441,Order!$C:$C,Order!#REF!,"",0,1))</f>
        <v/>
      </c>
      <c r="J2441" s="4" t="str">
        <f>IF(C2441="","",Order!#REF!)</f>
        <v/>
      </c>
      <c r="K2441" s="36" t="str">
        <f>IF($C2441="","",_xlfn.XLOOKUP($C2441,Order!$C:$C,Order!$P:$P,"",0,1))</f>
        <v/>
      </c>
      <c r="L2441" s="4" t="str">
        <f t="shared" si="39"/>
        <v/>
      </c>
    </row>
    <row r="2442" spans="2:12" ht="23.25" hidden="1" customHeight="1" x14ac:dyDescent="0.25">
      <c r="B2442" s="4">
        <v>2702</v>
      </c>
      <c r="C2442" s="36" t="str">
        <f>IF(Order!$C$303="","",Order!$C$303)</f>
        <v/>
      </c>
      <c r="D2442" s="36" t="str">
        <f>IF($C2442="","",_xlfn.XLOOKUP($C2442,Order!$C:$C,Order!$D:$D,"",0,1))</f>
        <v/>
      </c>
      <c r="E2442" s="4" t="str">
        <f>IF($C2442="","",_xlfn.XLOOKUP($C2442,Order!$C:$C,Order!$E:$E,"",0,1))</f>
        <v/>
      </c>
      <c r="F2442" s="4" t="str">
        <f>IF($C2442="","",_xlfn.XLOOKUP($C2442,Order!$C:$C,Order!$F:$F,"",0,1))</f>
        <v/>
      </c>
      <c r="G2442" s="4" t="str">
        <f>IF($C2442="","",_xlfn.XLOOKUP($C2442,Order!$C:$C,Order!$G:$G,"",0,1))</f>
        <v/>
      </c>
      <c r="H2442" s="4" t="str">
        <f>IF($C2442="","",_xlfn.XLOOKUP($C2442,Order!$C:$C,Order!$H:$H,"",0,1))</f>
        <v/>
      </c>
      <c r="I2442" s="36" t="str">
        <f>IF($C2442="","",_xlfn.XLOOKUP($C2442,Order!$C:$C,Order!#REF!,"",0,1))</f>
        <v/>
      </c>
      <c r="J2442" s="4" t="str">
        <f>IF(C2442="","",Order!#REF!)</f>
        <v/>
      </c>
      <c r="K2442" s="36" t="str">
        <f>IF($C2442="","",_xlfn.XLOOKUP($C2442,Order!$C:$C,Order!$P:$P,"",0,1))</f>
        <v/>
      </c>
      <c r="L2442" s="4" t="str">
        <f t="shared" si="39"/>
        <v/>
      </c>
    </row>
    <row r="2443" spans="2:12" ht="23.25" hidden="1" customHeight="1" x14ac:dyDescent="0.25">
      <c r="B2443" s="4">
        <v>2703</v>
      </c>
      <c r="C2443" s="36" t="str">
        <f>IF(Order!$C$304="","",Order!$C$304)</f>
        <v/>
      </c>
      <c r="D2443" s="36" t="str">
        <f>IF($C2443="","",_xlfn.XLOOKUP($C2443,Order!$C:$C,Order!$D:$D,"",0,1))</f>
        <v/>
      </c>
      <c r="E2443" s="4" t="str">
        <f>IF($C2443="","",_xlfn.XLOOKUP($C2443,Order!$C:$C,Order!$E:$E,"",0,1))</f>
        <v/>
      </c>
      <c r="F2443" s="4" t="str">
        <f>IF($C2443="","",_xlfn.XLOOKUP($C2443,Order!$C:$C,Order!$F:$F,"",0,1))</f>
        <v/>
      </c>
      <c r="G2443" s="4" t="str">
        <f>IF($C2443="","",_xlfn.XLOOKUP($C2443,Order!$C:$C,Order!$G:$G,"",0,1))</f>
        <v/>
      </c>
      <c r="H2443" s="4" t="str">
        <f>IF($C2443="","",_xlfn.XLOOKUP($C2443,Order!$C:$C,Order!$H:$H,"",0,1))</f>
        <v/>
      </c>
      <c r="I2443" s="36" t="str">
        <f>IF($C2443="","",_xlfn.XLOOKUP($C2443,Order!$C:$C,Order!#REF!,"",0,1))</f>
        <v/>
      </c>
      <c r="J2443" s="4" t="str">
        <f>IF(C2443="","",Order!#REF!)</f>
        <v/>
      </c>
      <c r="K2443" s="36" t="str">
        <f>IF($C2443="","",_xlfn.XLOOKUP($C2443,Order!$C:$C,Order!$P:$P,"",0,1))</f>
        <v/>
      </c>
      <c r="L2443" s="4" t="str">
        <f t="shared" si="39"/>
        <v/>
      </c>
    </row>
    <row r="2444" spans="2:12" ht="23.25" hidden="1" customHeight="1" x14ac:dyDescent="0.25">
      <c r="B2444" s="4">
        <v>2704</v>
      </c>
      <c r="C2444" s="36" t="str">
        <f>IF(Order!$C$305="","",Order!$C$305)</f>
        <v/>
      </c>
      <c r="D2444" s="36" t="str">
        <f>IF($C2444="","",_xlfn.XLOOKUP($C2444,Order!$C:$C,Order!$D:$D,"",0,1))</f>
        <v/>
      </c>
      <c r="E2444" s="4" t="str">
        <f>IF($C2444="","",_xlfn.XLOOKUP($C2444,Order!$C:$C,Order!$E:$E,"",0,1))</f>
        <v/>
      </c>
      <c r="F2444" s="4" t="str">
        <f>IF($C2444="","",_xlfn.XLOOKUP($C2444,Order!$C:$C,Order!$F:$F,"",0,1))</f>
        <v/>
      </c>
      <c r="G2444" s="4" t="str">
        <f>IF($C2444="","",_xlfn.XLOOKUP($C2444,Order!$C:$C,Order!$G:$G,"",0,1))</f>
        <v/>
      </c>
      <c r="H2444" s="4" t="str">
        <f>IF($C2444="","",_xlfn.XLOOKUP($C2444,Order!$C:$C,Order!$H:$H,"",0,1))</f>
        <v/>
      </c>
      <c r="I2444" s="36" t="str">
        <f>IF($C2444="","",_xlfn.XLOOKUP($C2444,Order!$C:$C,Order!#REF!,"",0,1))</f>
        <v/>
      </c>
      <c r="J2444" s="4" t="str">
        <f>IF(C2444="","",Order!#REF!)</f>
        <v/>
      </c>
      <c r="K2444" s="36" t="str">
        <f>IF($C2444="","",_xlfn.XLOOKUP($C2444,Order!$C:$C,Order!$P:$P,"",0,1))</f>
        <v/>
      </c>
      <c r="L2444" s="4" t="str">
        <f t="shared" si="39"/>
        <v/>
      </c>
    </row>
    <row r="2445" spans="2:12" ht="23.25" hidden="1" customHeight="1" x14ac:dyDescent="0.25">
      <c r="B2445" s="4">
        <v>2718</v>
      </c>
      <c r="C2445" s="36" t="str">
        <f>IF(Order!$C$319="","",Order!$C$319)</f>
        <v/>
      </c>
      <c r="D2445" s="36" t="str">
        <f>IF($C2445="","",_xlfn.XLOOKUP($C2445,Order!$C:$C,Order!$D:$D,"",0,1))</f>
        <v/>
      </c>
      <c r="E2445" s="4" t="str">
        <f>IF($C2445="","",_xlfn.XLOOKUP($C2445,Order!$C:$C,Order!$E:$E,"",0,1))</f>
        <v/>
      </c>
      <c r="F2445" s="4" t="str">
        <f>IF($C2445="","",_xlfn.XLOOKUP($C2445,Order!$C:$C,Order!$F:$F,"",0,1))</f>
        <v/>
      </c>
      <c r="G2445" s="4" t="str">
        <f>IF($C2445="","",_xlfn.XLOOKUP($C2445,Order!$C:$C,Order!$G:$G,"",0,1))</f>
        <v/>
      </c>
      <c r="H2445" s="4" t="str">
        <f>IF($C2445="","",_xlfn.XLOOKUP($C2445,Order!$C:$C,Order!$H:$H,"",0,1))</f>
        <v/>
      </c>
      <c r="I2445" s="36" t="str">
        <f>IF($C2445="","",_xlfn.XLOOKUP($C2445,Order!$C:$C,Order!#REF!,"",0,1))</f>
        <v/>
      </c>
      <c r="J2445" s="4" t="str">
        <f>IF(C2445="","",Order!#REF!)</f>
        <v/>
      </c>
      <c r="K2445" s="36" t="str">
        <f>IF($C2445="","",_xlfn.XLOOKUP($C2445,Order!$C:$C,Order!$P:$P,"",0,1))</f>
        <v/>
      </c>
      <c r="L2445" s="4" t="str">
        <f t="shared" si="39"/>
        <v/>
      </c>
    </row>
    <row r="2446" spans="2:12" ht="23.25" hidden="1" customHeight="1" x14ac:dyDescent="0.25">
      <c r="B2446" s="4">
        <v>2719</v>
      </c>
      <c r="C2446" s="36" t="str">
        <f>IF(Order!$C$320="","",Order!$C$320)</f>
        <v/>
      </c>
      <c r="D2446" s="36" t="str">
        <f>IF($C2446="","",_xlfn.XLOOKUP($C2446,Order!$C:$C,Order!$D:$D,"",0,1))</f>
        <v/>
      </c>
      <c r="E2446" s="4" t="str">
        <f>IF($C2446="","",_xlfn.XLOOKUP($C2446,Order!$C:$C,Order!$E:$E,"",0,1))</f>
        <v/>
      </c>
      <c r="F2446" s="4" t="str">
        <f>IF($C2446="","",_xlfn.XLOOKUP($C2446,Order!$C:$C,Order!$F:$F,"",0,1))</f>
        <v/>
      </c>
      <c r="G2446" s="4" t="str">
        <f>IF($C2446="","",_xlfn.XLOOKUP($C2446,Order!$C:$C,Order!$G:$G,"",0,1))</f>
        <v/>
      </c>
      <c r="H2446" s="4" t="str">
        <f>IF($C2446="","",_xlfn.XLOOKUP($C2446,Order!$C:$C,Order!$H:$H,"",0,1))</f>
        <v/>
      </c>
      <c r="I2446" s="36" t="str">
        <f>IF($C2446="","",_xlfn.XLOOKUP($C2446,Order!$C:$C,Order!#REF!,"",0,1))</f>
        <v/>
      </c>
      <c r="J2446" s="4" t="str">
        <f>IF(C2446="","",Order!#REF!)</f>
        <v/>
      </c>
      <c r="K2446" s="36" t="str">
        <f>IF($C2446="","",_xlfn.XLOOKUP($C2446,Order!$C:$C,Order!$P:$P,"",0,1))</f>
        <v/>
      </c>
      <c r="L2446" s="4" t="str">
        <f t="shared" si="39"/>
        <v/>
      </c>
    </row>
    <row r="2447" spans="2:12" ht="23.25" hidden="1" customHeight="1" x14ac:dyDescent="0.25">
      <c r="B2447" s="4">
        <v>2720</v>
      </c>
      <c r="C2447" s="36" t="str">
        <f>IF(Order!$C$321="","",Order!$C$321)</f>
        <v/>
      </c>
      <c r="D2447" s="36" t="str">
        <f>IF($C2447="","",_xlfn.XLOOKUP($C2447,Order!$C:$C,Order!$D:$D,"",0,1))</f>
        <v/>
      </c>
      <c r="E2447" s="4" t="str">
        <f>IF($C2447="","",_xlfn.XLOOKUP($C2447,Order!$C:$C,Order!$E:$E,"",0,1))</f>
        <v/>
      </c>
      <c r="F2447" s="4" t="str">
        <f>IF($C2447="","",_xlfn.XLOOKUP($C2447,Order!$C:$C,Order!$F:$F,"",0,1))</f>
        <v/>
      </c>
      <c r="G2447" s="4" t="str">
        <f>IF($C2447="","",_xlfn.XLOOKUP($C2447,Order!$C:$C,Order!$G:$G,"",0,1))</f>
        <v/>
      </c>
      <c r="H2447" s="4" t="str">
        <f>IF($C2447="","",_xlfn.XLOOKUP($C2447,Order!$C:$C,Order!$H:$H,"",0,1))</f>
        <v/>
      </c>
      <c r="I2447" s="36" t="str">
        <f>IF($C2447="","",_xlfn.XLOOKUP($C2447,Order!$C:$C,Order!#REF!,"",0,1))</f>
        <v/>
      </c>
      <c r="J2447" s="4" t="str">
        <f>IF(C2447="","",Order!#REF!)</f>
        <v/>
      </c>
      <c r="K2447" s="36" t="str">
        <f>IF($C2447="","",_xlfn.XLOOKUP($C2447,Order!$C:$C,Order!$P:$P,"",0,1))</f>
        <v/>
      </c>
      <c r="L2447" s="4" t="str">
        <f t="shared" si="39"/>
        <v/>
      </c>
    </row>
    <row r="2448" spans="2:12" ht="23.25" hidden="1" customHeight="1" x14ac:dyDescent="0.25">
      <c r="B2448" s="4">
        <v>2721</v>
      </c>
      <c r="C2448" s="36" t="str">
        <f>IF(Order!$C$322="","",Order!$C$322)</f>
        <v/>
      </c>
      <c r="D2448" s="36" t="str">
        <f>IF($C2448="","",_xlfn.XLOOKUP($C2448,Order!$C:$C,Order!$D:$D,"",0,1))</f>
        <v/>
      </c>
      <c r="E2448" s="4" t="str">
        <f>IF($C2448="","",_xlfn.XLOOKUP($C2448,Order!$C:$C,Order!$E:$E,"",0,1))</f>
        <v/>
      </c>
      <c r="F2448" s="4" t="str">
        <f>IF($C2448="","",_xlfn.XLOOKUP($C2448,Order!$C:$C,Order!$F:$F,"",0,1))</f>
        <v/>
      </c>
      <c r="G2448" s="4" t="str">
        <f>IF($C2448="","",_xlfn.XLOOKUP($C2448,Order!$C:$C,Order!$G:$G,"",0,1))</f>
        <v/>
      </c>
      <c r="H2448" s="4" t="str">
        <f>IF($C2448="","",_xlfn.XLOOKUP($C2448,Order!$C:$C,Order!$H:$H,"",0,1))</f>
        <v/>
      </c>
      <c r="I2448" s="36" t="str">
        <f>IF($C2448="","",_xlfn.XLOOKUP($C2448,Order!$C:$C,Order!#REF!,"",0,1))</f>
        <v/>
      </c>
      <c r="J2448" s="4" t="str">
        <f>IF(C2448="","",Order!#REF!)</f>
        <v/>
      </c>
      <c r="K2448" s="36" t="str">
        <f>IF($C2448="","",_xlfn.XLOOKUP($C2448,Order!$C:$C,Order!$P:$P,"",0,1))</f>
        <v/>
      </c>
      <c r="L2448" s="4" t="str">
        <f t="shared" si="39"/>
        <v/>
      </c>
    </row>
    <row r="2449" spans="2:12" ht="23.25" hidden="1" customHeight="1" x14ac:dyDescent="0.25">
      <c r="B2449" s="4">
        <v>2722</v>
      </c>
      <c r="C2449" s="36" t="str">
        <f>IF(Order!$C$323="","",Order!$C$323)</f>
        <v/>
      </c>
      <c r="D2449" s="36" t="str">
        <f>IF($C2449="","",_xlfn.XLOOKUP($C2449,Order!$C:$C,Order!$D:$D,"",0,1))</f>
        <v/>
      </c>
      <c r="E2449" s="4" t="str">
        <f>IF($C2449="","",_xlfn.XLOOKUP($C2449,Order!$C:$C,Order!$E:$E,"",0,1))</f>
        <v/>
      </c>
      <c r="F2449" s="4" t="str">
        <f>IF($C2449="","",_xlfn.XLOOKUP($C2449,Order!$C:$C,Order!$F:$F,"",0,1))</f>
        <v/>
      </c>
      <c r="G2449" s="4" t="str">
        <f>IF($C2449="","",_xlfn.XLOOKUP($C2449,Order!$C:$C,Order!$G:$G,"",0,1))</f>
        <v/>
      </c>
      <c r="H2449" s="4" t="str">
        <f>IF($C2449="","",_xlfn.XLOOKUP($C2449,Order!$C:$C,Order!$H:$H,"",0,1))</f>
        <v/>
      </c>
      <c r="I2449" s="36" t="str">
        <f>IF($C2449="","",_xlfn.XLOOKUP($C2449,Order!$C:$C,Order!#REF!,"",0,1))</f>
        <v/>
      </c>
      <c r="J2449" s="4" t="str">
        <f>IF(C2449="","",Order!#REF!)</f>
        <v/>
      </c>
      <c r="K2449" s="36" t="str">
        <f>IF($C2449="","",_xlfn.XLOOKUP($C2449,Order!$C:$C,Order!$P:$P,"",0,1))</f>
        <v/>
      </c>
      <c r="L2449" s="4" t="str">
        <f t="shared" si="39"/>
        <v/>
      </c>
    </row>
    <row r="2450" spans="2:12" ht="23.25" hidden="1" customHeight="1" x14ac:dyDescent="0.25">
      <c r="B2450" s="4">
        <v>2726</v>
      </c>
      <c r="C2450" s="36" t="str">
        <f>IF(Order!$C$327="","",Order!$C$327)</f>
        <v/>
      </c>
      <c r="D2450" s="36" t="str">
        <f>IF($C2450="","",_xlfn.XLOOKUP($C2450,Order!$C:$C,Order!$D:$D,"",0,1))</f>
        <v/>
      </c>
      <c r="E2450" s="4" t="str">
        <f>IF($C2450="","",_xlfn.XLOOKUP($C2450,Order!$C:$C,Order!$E:$E,"",0,1))</f>
        <v/>
      </c>
      <c r="F2450" s="4" t="str">
        <f>IF($C2450="","",_xlfn.XLOOKUP($C2450,Order!$C:$C,Order!$F:$F,"",0,1))</f>
        <v/>
      </c>
      <c r="G2450" s="4" t="str">
        <f>IF($C2450="","",_xlfn.XLOOKUP($C2450,Order!$C:$C,Order!$G:$G,"",0,1))</f>
        <v/>
      </c>
      <c r="H2450" s="4" t="str">
        <f>IF($C2450="","",_xlfn.XLOOKUP($C2450,Order!$C:$C,Order!$H:$H,"",0,1))</f>
        <v/>
      </c>
      <c r="I2450" s="36" t="str">
        <f>IF($C2450="","",_xlfn.XLOOKUP($C2450,Order!$C:$C,Order!#REF!,"",0,1))</f>
        <v/>
      </c>
      <c r="J2450" s="4" t="str">
        <f>IF(C2450="","",Order!#REF!)</f>
        <v/>
      </c>
      <c r="K2450" s="36" t="str">
        <f>IF($C2450="","",_xlfn.XLOOKUP($C2450,Order!$C:$C,Order!$P:$P,"",0,1))</f>
        <v/>
      </c>
      <c r="L2450" s="4" t="str">
        <f t="shared" si="39"/>
        <v/>
      </c>
    </row>
    <row r="2451" spans="2:12" ht="23.25" hidden="1" customHeight="1" x14ac:dyDescent="0.25">
      <c r="B2451" s="4">
        <v>2727</v>
      </c>
      <c r="C2451" s="36" t="str">
        <f>IF(Order!$C$328="","",Order!$C$328)</f>
        <v/>
      </c>
      <c r="D2451" s="36" t="str">
        <f>IF($C2451="","",_xlfn.XLOOKUP($C2451,Order!$C:$C,Order!$D:$D,"",0,1))</f>
        <v/>
      </c>
      <c r="E2451" s="4" t="str">
        <f>IF($C2451="","",_xlfn.XLOOKUP($C2451,Order!$C:$C,Order!$E:$E,"",0,1))</f>
        <v/>
      </c>
      <c r="F2451" s="4" t="str">
        <f>IF($C2451="","",_xlfn.XLOOKUP($C2451,Order!$C:$C,Order!$F:$F,"",0,1))</f>
        <v/>
      </c>
      <c r="G2451" s="4" t="str">
        <f>IF($C2451="","",_xlfn.XLOOKUP($C2451,Order!$C:$C,Order!$G:$G,"",0,1))</f>
        <v/>
      </c>
      <c r="H2451" s="4" t="str">
        <f>IF($C2451="","",_xlfn.XLOOKUP($C2451,Order!$C:$C,Order!$H:$H,"",0,1))</f>
        <v/>
      </c>
      <c r="I2451" s="36" t="str">
        <f>IF($C2451="","",_xlfn.XLOOKUP($C2451,Order!$C:$C,Order!#REF!,"",0,1))</f>
        <v/>
      </c>
      <c r="J2451" s="4" t="str">
        <f>IF(C2451="","",Order!#REF!)</f>
        <v/>
      </c>
      <c r="K2451" s="36" t="str">
        <f>IF($C2451="","",_xlfn.XLOOKUP($C2451,Order!$C:$C,Order!$P:$P,"",0,1))</f>
        <v/>
      </c>
      <c r="L2451" s="4" t="str">
        <f t="shared" si="39"/>
        <v/>
      </c>
    </row>
    <row r="2452" spans="2:12" ht="23.25" hidden="1" customHeight="1" x14ac:dyDescent="0.25">
      <c r="B2452" s="4">
        <v>2728</v>
      </c>
      <c r="C2452" s="36" t="str">
        <f>IF(Order!$C$329="","",Order!$C$329)</f>
        <v/>
      </c>
      <c r="D2452" s="36" t="str">
        <f>IF($C2452="","",_xlfn.XLOOKUP($C2452,Order!$C:$C,Order!$D:$D,"",0,1))</f>
        <v/>
      </c>
      <c r="E2452" s="4" t="str">
        <f>IF($C2452="","",_xlfn.XLOOKUP($C2452,Order!$C:$C,Order!$E:$E,"",0,1))</f>
        <v/>
      </c>
      <c r="F2452" s="4" t="str">
        <f>IF($C2452="","",_xlfn.XLOOKUP($C2452,Order!$C:$C,Order!$F:$F,"",0,1))</f>
        <v/>
      </c>
      <c r="G2452" s="4" t="str">
        <f>IF($C2452="","",_xlfn.XLOOKUP($C2452,Order!$C:$C,Order!$G:$G,"",0,1))</f>
        <v/>
      </c>
      <c r="H2452" s="4" t="str">
        <f>IF($C2452="","",_xlfn.XLOOKUP($C2452,Order!$C:$C,Order!$H:$H,"",0,1))</f>
        <v/>
      </c>
      <c r="I2452" s="36" t="str">
        <f>IF($C2452="","",_xlfn.XLOOKUP($C2452,Order!$C:$C,Order!#REF!,"",0,1))</f>
        <v/>
      </c>
      <c r="J2452" s="4" t="str">
        <f>IF(C2452="","",Order!#REF!)</f>
        <v/>
      </c>
      <c r="K2452" s="36" t="str">
        <f>IF($C2452="","",_xlfn.XLOOKUP($C2452,Order!$C:$C,Order!$P:$P,"",0,1))</f>
        <v/>
      </c>
      <c r="L2452" s="4" t="str">
        <f t="shared" si="39"/>
        <v/>
      </c>
    </row>
    <row r="2453" spans="2:12" ht="23.25" hidden="1" customHeight="1" x14ac:dyDescent="0.25">
      <c r="B2453" s="4">
        <v>2729</v>
      </c>
      <c r="C2453" s="36" t="str">
        <f>IF(Order!$C$330="","",Order!$C$330)</f>
        <v/>
      </c>
      <c r="D2453" s="36" t="str">
        <f>IF($C2453="","",_xlfn.XLOOKUP($C2453,Order!$C:$C,Order!$D:$D,"",0,1))</f>
        <v/>
      </c>
      <c r="E2453" s="4" t="str">
        <f>IF($C2453="","",_xlfn.XLOOKUP($C2453,Order!$C:$C,Order!$E:$E,"",0,1))</f>
        <v/>
      </c>
      <c r="F2453" s="4" t="str">
        <f>IF($C2453="","",_xlfn.XLOOKUP($C2453,Order!$C:$C,Order!$F:$F,"",0,1))</f>
        <v/>
      </c>
      <c r="G2453" s="4" t="str">
        <f>IF($C2453="","",_xlfn.XLOOKUP($C2453,Order!$C:$C,Order!$G:$G,"",0,1))</f>
        <v/>
      </c>
      <c r="H2453" s="4" t="str">
        <f>IF($C2453="","",_xlfn.XLOOKUP($C2453,Order!$C:$C,Order!$H:$H,"",0,1))</f>
        <v/>
      </c>
      <c r="I2453" s="36" t="str">
        <f>IF($C2453="","",_xlfn.XLOOKUP($C2453,Order!$C:$C,Order!#REF!,"",0,1))</f>
        <v/>
      </c>
      <c r="J2453" s="4" t="str">
        <f>IF(C2453="","",Order!#REF!)</f>
        <v/>
      </c>
      <c r="K2453" s="36" t="str">
        <f>IF($C2453="","",_xlfn.XLOOKUP($C2453,Order!$C:$C,Order!$P:$P,"",0,1))</f>
        <v/>
      </c>
      <c r="L2453" s="4" t="str">
        <f t="shared" si="39"/>
        <v/>
      </c>
    </row>
    <row r="2454" spans="2:12" ht="23.25" hidden="1" customHeight="1" x14ac:dyDescent="0.25">
      <c r="B2454" s="4">
        <v>2730</v>
      </c>
      <c r="C2454" s="36" t="str">
        <f>IF(Order!$C$331="","",Order!$C$331)</f>
        <v/>
      </c>
      <c r="D2454" s="36" t="str">
        <f>IF($C2454="","",_xlfn.XLOOKUP($C2454,Order!$C:$C,Order!$D:$D,"",0,1))</f>
        <v/>
      </c>
      <c r="E2454" s="4" t="str">
        <f>IF($C2454="","",_xlfn.XLOOKUP($C2454,Order!$C:$C,Order!$E:$E,"",0,1))</f>
        <v/>
      </c>
      <c r="F2454" s="4" t="str">
        <f>IF($C2454="","",_xlfn.XLOOKUP($C2454,Order!$C:$C,Order!$F:$F,"",0,1))</f>
        <v/>
      </c>
      <c r="G2454" s="4" t="str">
        <f>IF($C2454="","",_xlfn.XLOOKUP($C2454,Order!$C:$C,Order!$G:$G,"",0,1))</f>
        <v/>
      </c>
      <c r="H2454" s="4" t="str">
        <f>IF($C2454="","",_xlfn.XLOOKUP($C2454,Order!$C:$C,Order!$H:$H,"",0,1))</f>
        <v/>
      </c>
      <c r="I2454" s="36" t="str">
        <f>IF($C2454="","",_xlfn.XLOOKUP($C2454,Order!$C:$C,Order!#REF!,"",0,1))</f>
        <v/>
      </c>
      <c r="J2454" s="4" t="str">
        <f>IF(C2454="","",Order!#REF!)</f>
        <v/>
      </c>
      <c r="K2454" s="36" t="str">
        <f>IF($C2454="","",_xlfn.XLOOKUP($C2454,Order!$C:$C,Order!$P:$P,"",0,1))</f>
        <v/>
      </c>
      <c r="L2454" s="4" t="str">
        <f t="shared" si="39"/>
        <v/>
      </c>
    </row>
    <row r="2455" spans="2:12" ht="23.25" hidden="1" customHeight="1" x14ac:dyDescent="0.25">
      <c r="B2455" s="4">
        <v>2731</v>
      </c>
      <c r="C2455" s="36" t="str">
        <f>IF(Order!$C$332="","",Order!$C$332)</f>
        <v/>
      </c>
      <c r="D2455" s="36" t="str">
        <f>IF($C2455="","",_xlfn.XLOOKUP($C2455,Order!$C:$C,Order!$D:$D,"",0,1))</f>
        <v/>
      </c>
      <c r="E2455" s="4" t="str">
        <f>IF($C2455="","",_xlfn.XLOOKUP($C2455,Order!$C:$C,Order!$E:$E,"",0,1))</f>
        <v/>
      </c>
      <c r="F2455" s="4" t="str">
        <f>IF($C2455="","",_xlfn.XLOOKUP($C2455,Order!$C:$C,Order!$F:$F,"",0,1))</f>
        <v/>
      </c>
      <c r="G2455" s="4" t="str">
        <f>IF($C2455="","",_xlfn.XLOOKUP($C2455,Order!$C:$C,Order!$G:$G,"",0,1))</f>
        <v/>
      </c>
      <c r="H2455" s="4" t="str">
        <f>IF($C2455="","",_xlfn.XLOOKUP($C2455,Order!$C:$C,Order!$H:$H,"",0,1))</f>
        <v/>
      </c>
      <c r="I2455" s="36" t="str">
        <f>IF($C2455="","",_xlfn.XLOOKUP($C2455,Order!$C:$C,Order!#REF!,"",0,1))</f>
        <v/>
      </c>
      <c r="J2455" s="4" t="str">
        <f>IF(C2455="","",Order!#REF!)</f>
        <v/>
      </c>
      <c r="K2455" s="36" t="str">
        <f>IF($C2455="","",_xlfn.XLOOKUP($C2455,Order!$C:$C,Order!$P:$P,"",0,1))</f>
        <v/>
      </c>
      <c r="L2455" s="4" t="str">
        <f t="shared" si="39"/>
        <v/>
      </c>
    </row>
    <row r="2456" spans="2:12" ht="23.25" hidden="1" customHeight="1" x14ac:dyDescent="0.25">
      <c r="B2456" s="4">
        <v>2732</v>
      </c>
      <c r="C2456" s="36" t="str">
        <f>IF(Order!$C$333="","",Order!$C$333)</f>
        <v/>
      </c>
      <c r="D2456" s="36" t="str">
        <f>IF($C2456="","",_xlfn.XLOOKUP($C2456,Order!$C:$C,Order!$D:$D,"",0,1))</f>
        <v/>
      </c>
      <c r="E2456" s="4" t="str">
        <f>IF($C2456="","",_xlfn.XLOOKUP($C2456,Order!$C:$C,Order!$E:$E,"",0,1))</f>
        <v/>
      </c>
      <c r="F2456" s="4" t="str">
        <f>IF($C2456="","",_xlfn.XLOOKUP($C2456,Order!$C:$C,Order!$F:$F,"",0,1))</f>
        <v/>
      </c>
      <c r="G2456" s="4" t="str">
        <f>IF($C2456="","",_xlfn.XLOOKUP($C2456,Order!$C:$C,Order!$G:$G,"",0,1))</f>
        <v/>
      </c>
      <c r="H2456" s="4" t="str">
        <f>IF($C2456="","",_xlfn.XLOOKUP($C2456,Order!$C:$C,Order!$H:$H,"",0,1))</f>
        <v/>
      </c>
      <c r="I2456" s="36" t="str">
        <f>IF($C2456="","",_xlfn.XLOOKUP($C2456,Order!$C:$C,Order!#REF!,"",0,1))</f>
        <v/>
      </c>
      <c r="J2456" s="4" t="str">
        <f>IF(C2456="","",Order!#REF!)</f>
        <v/>
      </c>
      <c r="K2456" s="36" t="str">
        <f>IF($C2456="","",_xlfn.XLOOKUP($C2456,Order!$C:$C,Order!$P:$P,"",0,1))</f>
        <v/>
      </c>
      <c r="L2456" s="4" t="str">
        <f t="shared" si="39"/>
        <v/>
      </c>
    </row>
    <row r="2457" spans="2:12" ht="23.25" hidden="1" customHeight="1" x14ac:dyDescent="0.25">
      <c r="B2457" s="4">
        <v>2733</v>
      </c>
      <c r="C2457" s="36" t="str">
        <f>IF(Order!$C$334="","",Order!$C$334)</f>
        <v/>
      </c>
      <c r="D2457" s="36" t="str">
        <f>IF($C2457="","",_xlfn.XLOOKUP($C2457,Order!$C:$C,Order!$D:$D,"",0,1))</f>
        <v/>
      </c>
      <c r="E2457" s="4" t="str">
        <f>IF($C2457="","",_xlfn.XLOOKUP($C2457,Order!$C:$C,Order!$E:$E,"",0,1))</f>
        <v/>
      </c>
      <c r="F2457" s="4" t="str">
        <f>IF($C2457="","",_xlfn.XLOOKUP($C2457,Order!$C:$C,Order!$F:$F,"",0,1))</f>
        <v/>
      </c>
      <c r="G2457" s="4" t="str">
        <f>IF($C2457="","",_xlfn.XLOOKUP($C2457,Order!$C:$C,Order!$G:$G,"",0,1))</f>
        <v/>
      </c>
      <c r="H2457" s="4" t="str">
        <f>IF($C2457="","",_xlfn.XLOOKUP($C2457,Order!$C:$C,Order!$H:$H,"",0,1))</f>
        <v/>
      </c>
      <c r="I2457" s="36" t="str">
        <f>IF($C2457="","",_xlfn.XLOOKUP($C2457,Order!$C:$C,Order!#REF!,"",0,1))</f>
        <v/>
      </c>
      <c r="J2457" s="4" t="str">
        <f>IF(C2457="","",Order!#REF!)</f>
        <v/>
      </c>
      <c r="K2457" s="36" t="str">
        <f>IF($C2457="","",_xlfn.XLOOKUP($C2457,Order!$C:$C,Order!$P:$P,"",0,1))</f>
        <v/>
      </c>
      <c r="L2457" s="4" t="str">
        <f t="shared" si="39"/>
        <v/>
      </c>
    </row>
    <row r="2458" spans="2:12" ht="23.25" hidden="1" customHeight="1" x14ac:dyDescent="0.25">
      <c r="B2458" s="4">
        <v>2734</v>
      </c>
      <c r="C2458" s="36" t="str">
        <f>IF(Order!$C$335="","",Order!$C$335)</f>
        <v/>
      </c>
      <c r="D2458" s="36" t="str">
        <f>IF($C2458="","",_xlfn.XLOOKUP($C2458,Order!$C:$C,Order!$D:$D,"",0,1))</f>
        <v/>
      </c>
      <c r="E2458" s="4" t="str">
        <f>IF($C2458="","",_xlfn.XLOOKUP($C2458,Order!$C:$C,Order!$E:$E,"",0,1))</f>
        <v/>
      </c>
      <c r="F2458" s="4" t="str">
        <f>IF($C2458="","",_xlfn.XLOOKUP($C2458,Order!$C:$C,Order!$F:$F,"",0,1))</f>
        <v/>
      </c>
      <c r="G2458" s="4" t="str">
        <f>IF($C2458="","",_xlfn.XLOOKUP($C2458,Order!$C:$C,Order!$G:$G,"",0,1))</f>
        <v/>
      </c>
      <c r="H2458" s="4" t="str">
        <f>IF($C2458="","",_xlfn.XLOOKUP($C2458,Order!$C:$C,Order!$H:$H,"",0,1))</f>
        <v/>
      </c>
      <c r="I2458" s="36" t="str">
        <f>IF($C2458="","",_xlfn.XLOOKUP($C2458,Order!$C:$C,Order!#REF!,"",0,1))</f>
        <v/>
      </c>
      <c r="J2458" s="4" t="str">
        <f>IF(C2458="","",Order!#REF!)</f>
        <v/>
      </c>
      <c r="K2458" s="36" t="str">
        <f>IF($C2458="","",_xlfn.XLOOKUP($C2458,Order!$C:$C,Order!$P:$P,"",0,1))</f>
        <v/>
      </c>
      <c r="L2458" s="4" t="str">
        <f t="shared" si="39"/>
        <v/>
      </c>
    </row>
    <row r="2459" spans="2:12" ht="23.25" hidden="1" customHeight="1" x14ac:dyDescent="0.25">
      <c r="B2459" s="4">
        <v>2735</v>
      </c>
      <c r="C2459" s="36" t="str">
        <f>IF(Order!$C$336="","",Order!$C$336)</f>
        <v/>
      </c>
      <c r="D2459" s="36" t="str">
        <f>IF($C2459="","",_xlfn.XLOOKUP($C2459,Order!$C:$C,Order!$D:$D,"",0,1))</f>
        <v/>
      </c>
      <c r="E2459" s="4" t="str">
        <f>IF($C2459="","",_xlfn.XLOOKUP($C2459,Order!$C:$C,Order!$E:$E,"",0,1))</f>
        <v/>
      </c>
      <c r="F2459" s="4" t="str">
        <f>IF($C2459="","",_xlfn.XLOOKUP($C2459,Order!$C:$C,Order!$F:$F,"",0,1))</f>
        <v/>
      </c>
      <c r="G2459" s="4" t="str">
        <f>IF($C2459="","",_xlfn.XLOOKUP($C2459,Order!$C:$C,Order!$G:$G,"",0,1))</f>
        <v/>
      </c>
      <c r="H2459" s="4" t="str">
        <f>IF($C2459="","",_xlfn.XLOOKUP($C2459,Order!$C:$C,Order!$H:$H,"",0,1))</f>
        <v/>
      </c>
      <c r="I2459" s="36" t="str">
        <f>IF($C2459="","",_xlfn.XLOOKUP($C2459,Order!$C:$C,Order!#REF!,"",0,1))</f>
        <v/>
      </c>
      <c r="J2459" s="4" t="str">
        <f>IF(C2459="","",Order!#REF!)</f>
        <v/>
      </c>
      <c r="K2459" s="36" t="str">
        <f>IF($C2459="","",_xlfn.XLOOKUP($C2459,Order!$C:$C,Order!$P:$P,"",0,1))</f>
        <v/>
      </c>
      <c r="L2459" s="4" t="str">
        <f t="shared" si="39"/>
        <v/>
      </c>
    </row>
    <row r="2460" spans="2:12" ht="23.25" hidden="1" customHeight="1" x14ac:dyDescent="0.25">
      <c r="B2460" s="4">
        <v>2737</v>
      </c>
      <c r="C2460" s="36" t="str">
        <f>IF(Order!$C$338="","",Order!$C$338)</f>
        <v/>
      </c>
      <c r="D2460" s="36" t="str">
        <f>IF($C2460="","",_xlfn.XLOOKUP($C2460,Order!$C:$C,Order!$D:$D,"",0,1))</f>
        <v/>
      </c>
      <c r="E2460" s="4" t="str">
        <f>IF($C2460="","",_xlfn.XLOOKUP($C2460,Order!$C:$C,Order!$E:$E,"",0,1))</f>
        <v/>
      </c>
      <c r="F2460" s="4" t="str">
        <f>IF($C2460="","",_xlfn.XLOOKUP($C2460,Order!$C:$C,Order!$F:$F,"",0,1))</f>
        <v/>
      </c>
      <c r="G2460" s="4" t="str">
        <f>IF($C2460="","",_xlfn.XLOOKUP($C2460,Order!$C:$C,Order!$G:$G,"",0,1))</f>
        <v/>
      </c>
      <c r="H2460" s="4" t="str">
        <f>IF($C2460="","",_xlfn.XLOOKUP($C2460,Order!$C:$C,Order!$H:$H,"",0,1))</f>
        <v/>
      </c>
      <c r="I2460" s="36" t="str">
        <f>IF($C2460="","",_xlfn.XLOOKUP($C2460,Order!$C:$C,Order!#REF!,"",0,1))</f>
        <v/>
      </c>
      <c r="J2460" s="4" t="str">
        <f>IF(C2460="","",Order!#REF!)</f>
        <v/>
      </c>
      <c r="K2460" s="36" t="str">
        <f>IF($C2460="","",_xlfn.XLOOKUP($C2460,Order!$C:$C,Order!$P:$P,"",0,1))</f>
        <v/>
      </c>
      <c r="L2460" s="4" t="str">
        <f t="shared" si="39"/>
        <v/>
      </c>
    </row>
    <row r="2461" spans="2:12" ht="23.25" hidden="1" customHeight="1" x14ac:dyDescent="0.25">
      <c r="B2461" s="4">
        <v>2738</v>
      </c>
      <c r="C2461" s="36" t="str">
        <f>IF(Order!$C$339="","",Order!$C$339)</f>
        <v/>
      </c>
      <c r="D2461" s="36" t="str">
        <f>IF($C2461="","",_xlfn.XLOOKUP($C2461,Order!$C:$C,Order!$D:$D,"",0,1))</f>
        <v/>
      </c>
      <c r="E2461" s="4" t="str">
        <f>IF($C2461="","",_xlfn.XLOOKUP($C2461,Order!$C:$C,Order!$E:$E,"",0,1))</f>
        <v/>
      </c>
      <c r="F2461" s="4" t="str">
        <f>IF($C2461="","",_xlfn.XLOOKUP($C2461,Order!$C:$C,Order!$F:$F,"",0,1))</f>
        <v/>
      </c>
      <c r="G2461" s="4" t="str">
        <f>IF($C2461="","",_xlfn.XLOOKUP($C2461,Order!$C:$C,Order!$G:$G,"",0,1))</f>
        <v/>
      </c>
      <c r="H2461" s="4" t="str">
        <f>IF($C2461="","",_xlfn.XLOOKUP($C2461,Order!$C:$C,Order!$H:$H,"",0,1))</f>
        <v/>
      </c>
      <c r="I2461" s="36" t="str">
        <f>IF($C2461="","",_xlfn.XLOOKUP($C2461,Order!$C:$C,Order!#REF!,"",0,1))</f>
        <v/>
      </c>
      <c r="J2461" s="4" t="str">
        <f>IF(C2461="","",Order!#REF!)</f>
        <v/>
      </c>
      <c r="K2461" s="36" t="str">
        <f>IF($C2461="","",_xlfn.XLOOKUP($C2461,Order!$C:$C,Order!$P:$P,"",0,1))</f>
        <v/>
      </c>
      <c r="L2461" s="4" t="str">
        <f t="shared" si="39"/>
        <v/>
      </c>
    </row>
    <row r="2462" spans="2:12" ht="23.25" hidden="1" customHeight="1" x14ac:dyDescent="0.25">
      <c r="B2462" s="4">
        <v>2739</v>
      </c>
      <c r="C2462" s="36" t="str">
        <f>IF(Order!$C$340="","",Order!$C$340)</f>
        <v/>
      </c>
      <c r="D2462" s="36" t="str">
        <f>IF($C2462="","",_xlfn.XLOOKUP($C2462,Order!$C:$C,Order!$D:$D,"",0,1))</f>
        <v/>
      </c>
      <c r="E2462" s="4" t="str">
        <f>IF($C2462="","",_xlfn.XLOOKUP($C2462,Order!$C:$C,Order!$E:$E,"",0,1))</f>
        <v/>
      </c>
      <c r="F2462" s="4" t="str">
        <f>IF($C2462="","",_xlfn.XLOOKUP($C2462,Order!$C:$C,Order!$F:$F,"",0,1))</f>
        <v/>
      </c>
      <c r="G2462" s="4" t="str">
        <f>IF($C2462="","",_xlfn.XLOOKUP($C2462,Order!$C:$C,Order!$G:$G,"",0,1))</f>
        <v/>
      </c>
      <c r="H2462" s="4" t="str">
        <f>IF($C2462="","",_xlfn.XLOOKUP($C2462,Order!$C:$C,Order!$H:$H,"",0,1))</f>
        <v/>
      </c>
      <c r="I2462" s="36" t="str">
        <f>IF($C2462="","",_xlfn.XLOOKUP($C2462,Order!$C:$C,Order!#REF!,"",0,1))</f>
        <v/>
      </c>
      <c r="J2462" s="4" t="str">
        <f>IF(C2462="","",Order!#REF!)</f>
        <v/>
      </c>
      <c r="K2462" s="36" t="str">
        <f>IF($C2462="","",_xlfn.XLOOKUP($C2462,Order!$C:$C,Order!$P:$P,"",0,1))</f>
        <v/>
      </c>
      <c r="L2462" s="4" t="str">
        <f t="shared" si="39"/>
        <v/>
      </c>
    </row>
    <row r="2463" spans="2:12" ht="23.25" hidden="1" customHeight="1" x14ac:dyDescent="0.25">
      <c r="B2463" s="4">
        <v>2741</v>
      </c>
      <c r="C2463" s="36" t="str">
        <f>IF(Order!$C$342="","",Order!$C$342)</f>
        <v/>
      </c>
      <c r="D2463" s="36" t="str">
        <f>IF($C2463="","",_xlfn.XLOOKUP($C2463,Order!$C:$C,Order!$D:$D,"",0,1))</f>
        <v/>
      </c>
      <c r="E2463" s="4" t="str">
        <f>IF($C2463="","",_xlfn.XLOOKUP($C2463,Order!$C:$C,Order!$E:$E,"",0,1))</f>
        <v/>
      </c>
      <c r="F2463" s="4" t="str">
        <f>IF($C2463="","",_xlfn.XLOOKUP($C2463,Order!$C:$C,Order!$F:$F,"",0,1))</f>
        <v/>
      </c>
      <c r="G2463" s="4" t="str">
        <f>IF($C2463="","",_xlfn.XLOOKUP($C2463,Order!$C:$C,Order!$G:$G,"",0,1))</f>
        <v/>
      </c>
      <c r="H2463" s="4" t="str">
        <f>IF($C2463="","",_xlfn.XLOOKUP($C2463,Order!$C:$C,Order!$H:$H,"",0,1))</f>
        <v/>
      </c>
      <c r="I2463" s="36" t="str">
        <f>IF($C2463="","",_xlfn.XLOOKUP($C2463,Order!$C:$C,Order!#REF!,"",0,1))</f>
        <v/>
      </c>
      <c r="J2463" s="4" t="str">
        <f>IF(C2463="","",Order!#REF!)</f>
        <v/>
      </c>
      <c r="K2463" s="36" t="str">
        <f>IF($C2463="","",_xlfn.XLOOKUP($C2463,Order!$C:$C,Order!$P:$P,"",0,1))</f>
        <v/>
      </c>
      <c r="L2463" s="4" t="str">
        <f t="shared" si="39"/>
        <v/>
      </c>
    </row>
    <row r="2464" spans="2:12" ht="23.25" hidden="1" customHeight="1" x14ac:dyDescent="0.25">
      <c r="B2464" s="4">
        <v>2742</v>
      </c>
      <c r="C2464" s="36" t="str">
        <f>IF(Order!$C$343="","",Order!$C$343)</f>
        <v/>
      </c>
      <c r="D2464" s="36" t="str">
        <f>IF($C2464="","",_xlfn.XLOOKUP($C2464,Order!$C:$C,Order!$D:$D,"",0,1))</f>
        <v/>
      </c>
      <c r="E2464" s="4" t="str">
        <f>IF($C2464="","",_xlfn.XLOOKUP($C2464,Order!$C:$C,Order!$E:$E,"",0,1))</f>
        <v/>
      </c>
      <c r="F2464" s="4" t="str">
        <f>IF($C2464="","",_xlfn.XLOOKUP($C2464,Order!$C:$C,Order!$F:$F,"",0,1))</f>
        <v/>
      </c>
      <c r="G2464" s="4" t="str">
        <f>IF($C2464="","",_xlfn.XLOOKUP($C2464,Order!$C:$C,Order!$G:$G,"",0,1))</f>
        <v/>
      </c>
      <c r="H2464" s="4" t="str">
        <f>IF($C2464="","",_xlfn.XLOOKUP($C2464,Order!$C:$C,Order!$H:$H,"",0,1))</f>
        <v/>
      </c>
      <c r="I2464" s="36" t="str">
        <f>IF($C2464="","",_xlfn.XLOOKUP($C2464,Order!$C:$C,Order!#REF!,"",0,1))</f>
        <v/>
      </c>
      <c r="J2464" s="4" t="str">
        <f>IF(C2464="","",Order!#REF!)</f>
        <v/>
      </c>
      <c r="K2464" s="36" t="str">
        <f>IF($C2464="","",_xlfn.XLOOKUP($C2464,Order!$C:$C,Order!$P:$P,"",0,1))</f>
        <v/>
      </c>
      <c r="L2464" s="4" t="str">
        <f t="shared" si="39"/>
        <v/>
      </c>
    </row>
    <row r="2465" spans="2:12" ht="23.25" hidden="1" customHeight="1" x14ac:dyDescent="0.25">
      <c r="B2465" s="4">
        <v>2743</v>
      </c>
      <c r="C2465" s="36" t="str">
        <f>IF(Order!$C$344="","",Order!$C$344)</f>
        <v/>
      </c>
      <c r="D2465" s="36" t="str">
        <f>IF($C2465="","",_xlfn.XLOOKUP($C2465,Order!$C:$C,Order!$D:$D,"",0,1))</f>
        <v/>
      </c>
      <c r="E2465" s="4" t="str">
        <f>IF($C2465="","",_xlfn.XLOOKUP($C2465,Order!$C:$C,Order!$E:$E,"",0,1))</f>
        <v/>
      </c>
      <c r="F2465" s="4" t="str">
        <f>IF($C2465="","",_xlfn.XLOOKUP($C2465,Order!$C:$C,Order!$F:$F,"",0,1))</f>
        <v/>
      </c>
      <c r="G2465" s="4" t="str">
        <f>IF($C2465="","",_xlfn.XLOOKUP($C2465,Order!$C:$C,Order!$G:$G,"",0,1))</f>
        <v/>
      </c>
      <c r="H2465" s="4" t="str">
        <f>IF($C2465="","",_xlfn.XLOOKUP($C2465,Order!$C:$C,Order!$H:$H,"",0,1))</f>
        <v/>
      </c>
      <c r="I2465" s="36" t="str">
        <f>IF($C2465="","",_xlfn.XLOOKUP($C2465,Order!$C:$C,Order!#REF!,"",0,1))</f>
        <v/>
      </c>
      <c r="J2465" s="4" t="str">
        <f>IF(C2465="","",Order!#REF!)</f>
        <v/>
      </c>
      <c r="K2465" s="36" t="str">
        <f>IF($C2465="","",_xlfn.XLOOKUP($C2465,Order!$C:$C,Order!$P:$P,"",0,1))</f>
        <v/>
      </c>
      <c r="L2465" s="4" t="str">
        <f t="shared" si="39"/>
        <v/>
      </c>
    </row>
    <row r="2466" spans="2:12" ht="23.25" hidden="1" customHeight="1" x14ac:dyDescent="0.25">
      <c r="B2466" s="4">
        <v>2744</v>
      </c>
      <c r="C2466" s="36" t="str">
        <f>IF(Order!$C$345="","",Order!$C$345)</f>
        <v/>
      </c>
      <c r="D2466" s="36" t="str">
        <f>IF($C2466="","",_xlfn.XLOOKUP($C2466,Order!$C:$C,Order!$D:$D,"",0,1))</f>
        <v/>
      </c>
      <c r="E2466" s="4" t="str">
        <f>IF($C2466="","",_xlfn.XLOOKUP($C2466,Order!$C:$C,Order!$E:$E,"",0,1))</f>
        <v/>
      </c>
      <c r="F2466" s="4" t="str">
        <f>IF($C2466="","",_xlfn.XLOOKUP($C2466,Order!$C:$C,Order!$F:$F,"",0,1))</f>
        <v/>
      </c>
      <c r="G2466" s="4" t="str">
        <f>IF($C2466="","",_xlfn.XLOOKUP($C2466,Order!$C:$C,Order!$G:$G,"",0,1))</f>
        <v/>
      </c>
      <c r="H2466" s="4" t="str">
        <f>IF($C2466="","",_xlfn.XLOOKUP($C2466,Order!$C:$C,Order!$H:$H,"",0,1))</f>
        <v/>
      </c>
      <c r="I2466" s="36" t="str">
        <f>IF($C2466="","",_xlfn.XLOOKUP($C2466,Order!$C:$C,Order!#REF!,"",0,1))</f>
        <v/>
      </c>
      <c r="J2466" s="4" t="str">
        <f>IF(C2466="","",Order!#REF!)</f>
        <v/>
      </c>
      <c r="K2466" s="36" t="str">
        <f>IF($C2466="","",_xlfn.XLOOKUP($C2466,Order!$C:$C,Order!$P:$P,"",0,1))</f>
        <v/>
      </c>
      <c r="L2466" s="4" t="str">
        <f t="shared" si="39"/>
        <v/>
      </c>
    </row>
    <row r="2467" spans="2:12" ht="23.25" hidden="1" customHeight="1" x14ac:dyDescent="0.25">
      <c r="B2467" s="4">
        <v>2745</v>
      </c>
      <c r="C2467" s="36" t="str">
        <f>IF(Order!$C$346="","",Order!$C$346)</f>
        <v/>
      </c>
      <c r="D2467" s="36" t="str">
        <f>IF($C2467="","",_xlfn.XLOOKUP($C2467,Order!$C:$C,Order!$D:$D,"",0,1))</f>
        <v/>
      </c>
      <c r="E2467" s="4" t="str">
        <f>IF($C2467="","",_xlfn.XLOOKUP($C2467,Order!$C:$C,Order!$E:$E,"",0,1))</f>
        <v/>
      </c>
      <c r="F2467" s="4" t="str">
        <f>IF($C2467="","",_xlfn.XLOOKUP($C2467,Order!$C:$C,Order!$F:$F,"",0,1))</f>
        <v/>
      </c>
      <c r="G2467" s="4" t="str">
        <f>IF($C2467="","",_xlfn.XLOOKUP($C2467,Order!$C:$C,Order!$G:$G,"",0,1))</f>
        <v/>
      </c>
      <c r="H2467" s="4" t="str">
        <f>IF($C2467="","",_xlfn.XLOOKUP($C2467,Order!$C:$C,Order!$H:$H,"",0,1))</f>
        <v/>
      </c>
      <c r="I2467" s="36" t="str">
        <f>IF($C2467="","",_xlfn.XLOOKUP($C2467,Order!$C:$C,Order!#REF!,"",0,1))</f>
        <v/>
      </c>
      <c r="J2467" s="4" t="str">
        <f>IF(C2467="","",Order!#REF!)</f>
        <v/>
      </c>
      <c r="K2467" s="36" t="str">
        <f>IF($C2467="","",_xlfn.XLOOKUP($C2467,Order!$C:$C,Order!$P:$P,"",0,1))</f>
        <v/>
      </c>
      <c r="L2467" s="4" t="str">
        <f t="shared" si="39"/>
        <v/>
      </c>
    </row>
    <row r="2468" spans="2:12" ht="23.25" hidden="1" customHeight="1" x14ac:dyDescent="0.25">
      <c r="B2468" s="4">
        <v>2746</v>
      </c>
      <c r="C2468" s="36" t="str">
        <f>IF(Order!$C$347="","",Order!$C$347)</f>
        <v/>
      </c>
      <c r="D2468" s="36" t="str">
        <f>IF($C2468="","",_xlfn.XLOOKUP($C2468,Order!$C:$C,Order!$D:$D,"",0,1))</f>
        <v/>
      </c>
      <c r="E2468" s="4" t="str">
        <f>IF($C2468="","",_xlfn.XLOOKUP($C2468,Order!$C:$C,Order!$E:$E,"",0,1))</f>
        <v/>
      </c>
      <c r="F2468" s="4" t="str">
        <f>IF($C2468="","",_xlfn.XLOOKUP($C2468,Order!$C:$C,Order!$F:$F,"",0,1))</f>
        <v/>
      </c>
      <c r="G2468" s="4" t="str">
        <f>IF($C2468="","",_xlfn.XLOOKUP($C2468,Order!$C:$C,Order!$G:$G,"",0,1))</f>
        <v/>
      </c>
      <c r="H2468" s="4" t="str">
        <f>IF($C2468="","",_xlfn.XLOOKUP($C2468,Order!$C:$C,Order!$H:$H,"",0,1))</f>
        <v/>
      </c>
      <c r="I2468" s="36" t="str">
        <f>IF($C2468="","",_xlfn.XLOOKUP($C2468,Order!$C:$C,Order!#REF!,"",0,1))</f>
        <v/>
      </c>
      <c r="J2468" s="4" t="str">
        <f>IF(C2468="","",Order!#REF!)</f>
        <v/>
      </c>
      <c r="K2468" s="36" t="str">
        <f>IF($C2468="","",_xlfn.XLOOKUP($C2468,Order!$C:$C,Order!$P:$P,"",0,1))</f>
        <v/>
      </c>
      <c r="L2468" s="4" t="str">
        <f t="shared" si="39"/>
        <v/>
      </c>
    </row>
    <row r="2469" spans="2:12" ht="23.25" hidden="1" customHeight="1" x14ac:dyDescent="0.25">
      <c r="B2469" s="4">
        <v>2747</v>
      </c>
      <c r="C2469" s="36" t="str">
        <f>IF(Order!$C$348="","",Order!$C$348)</f>
        <v/>
      </c>
      <c r="D2469" s="36" t="str">
        <f>IF($C2469="","",_xlfn.XLOOKUP($C2469,Order!$C:$C,Order!$D:$D,"",0,1))</f>
        <v/>
      </c>
      <c r="E2469" s="4" t="str">
        <f>IF($C2469="","",_xlfn.XLOOKUP($C2469,Order!$C:$C,Order!$E:$E,"",0,1))</f>
        <v/>
      </c>
      <c r="F2469" s="4" t="str">
        <f>IF($C2469="","",_xlfn.XLOOKUP($C2469,Order!$C:$C,Order!$F:$F,"",0,1))</f>
        <v/>
      </c>
      <c r="G2469" s="4" t="str">
        <f>IF($C2469="","",_xlfn.XLOOKUP($C2469,Order!$C:$C,Order!$G:$G,"",0,1))</f>
        <v/>
      </c>
      <c r="H2469" s="4" t="str">
        <f>IF($C2469="","",_xlfn.XLOOKUP($C2469,Order!$C:$C,Order!$H:$H,"",0,1))</f>
        <v/>
      </c>
      <c r="I2469" s="36" t="str">
        <f>IF($C2469="","",_xlfn.XLOOKUP($C2469,Order!$C:$C,Order!#REF!,"",0,1))</f>
        <v/>
      </c>
      <c r="J2469" s="4" t="str">
        <f>IF(C2469="","",Order!#REF!)</f>
        <v/>
      </c>
      <c r="K2469" s="36" t="str">
        <f>IF($C2469="","",_xlfn.XLOOKUP($C2469,Order!$C:$C,Order!$P:$P,"",0,1))</f>
        <v/>
      </c>
      <c r="L2469" s="4" t="str">
        <f t="shared" si="39"/>
        <v/>
      </c>
    </row>
    <row r="2470" spans="2:12" ht="23.25" hidden="1" customHeight="1" x14ac:dyDescent="0.25">
      <c r="B2470" s="4">
        <v>2748</v>
      </c>
      <c r="C2470" s="36" t="str">
        <f>IF(Order!$C$349="","",Order!$C$349)</f>
        <v/>
      </c>
      <c r="D2470" s="36" t="str">
        <f>IF($C2470="","",_xlfn.XLOOKUP($C2470,Order!$C:$C,Order!$D:$D,"",0,1))</f>
        <v/>
      </c>
      <c r="E2470" s="4" t="str">
        <f>IF($C2470="","",_xlfn.XLOOKUP($C2470,Order!$C:$C,Order!$E:$E,"",0,1))</f>
        <v/>
      </c>
      <c r="F2470" s="4" t="str">
        <f>IF($C2470="","",_xlfn.XLOOKUP($C2470,Order!$C:$C,Order!$F:$F,"",0,1))</f>
        <v/>
      </c>
      <c r="G2470" s="4" t="str">
        <f>IF($C2470="","",_xlfn.XLOOKUP($C2470,Order!$C:$C,Order!$G:$G,"",0,1))</f>
        <v/>
      </c>
      <c r="H2470" s="4" t="str">
        <f>IF($C2470="","",_xlfn.XLOOKUP($C2470,Order!$C:$C,Order!$H:$H,"",0,1))</f>
        <v/>
      </c>
      <c r="I2470" s="36" t="str">
        <f>IF($C2470="","",_xlfn.XLOOKUP($C2470,Order!$C:$C,Order!#REF!,"",0,1))</f>
        <v/>
      </c>
      <c r="J2470" s="4" t="str">
        <f>IF(C2470="","",Order!#REF!)</f>
        <v/>
      </c>
      <c r="K2470" s="36" t="str">
        <f>IF($C2470="","",_xlfn.XLOOKUP($C2470,Order!$C:$C,Order!$P:$P,"",0,1))</f>
        <v/>
      </c>
      <c r="L2470" s="4" t="str">
        <f t="shared" si="39"/>
        <v/>
      </c>
    </row>
    <row r="2471" spans="2:12" ht="23.25" hidden="1" customHeight="1" x14ac:dyDescent="0.25">
      <c r="B2471" s="4">
        <v>2749</v>
      </c>
      <c r="C2471" s="36" t="str">
        <f>IF(Order!$C$350="","",Order!$C$350)</f>
        <v/>
      </c>
      <c r="D2471" s="36" t="str">
        <f>IF($C2471="","",_xlfn.XLOOKUP($C2471,Order!$C:$C,Order!$D:$D,"",0,1))</f>
        <v/>
      </c>
      <c r="E2471" s="4" t="str">
        <f>IF($C2471="","",_xlfn.XLOOKUP($C2471,Order!$C:$C,Order!$E:$E,"",0,1))</f>
        <v/>
      </c>
      <c r="F2471" s="4" t="str">
        <f>IF($C2471="","",_xlfn.XLOOKUP($C2471,Order!$C:$C,Order!$F:$F,"",0,1))</f>
        <v/>
      </c>
      <c r="G2471" s="4" t="str">
        <f>IF($C2471="","",_xlfn.XLOOKUP($C2471,Order!$C:$C,Order!$G:$G,"",0,1))</f>
        <v/>
      </c>
      <c r="H2471" s="4" t="str">
        <f>IF($C2471="","",_xlfn.XLOOKUP($C2471,Order!$C:$C,Order!$H:$H,"",0,1))</f>
        <v/>
      </c>
      <c r="I2471" s="36" t="str">
        <f>IF($C2471="","",_xlfn.XLOOKUP($C2471,Order!$C:$C,Order!#REF!,"",0,1))</f>
        <v/>
      </c>
      <c r="J2471" s="4" t="str">
        <f>IF(C2471="","",Order!#REF!)</f>
        <v/>
      </c>
      <c r="K2471" s="36" t="str">
        <f>IF($C2471="","",_xlfn.XLOOKUP($C2471,Order!$C:$C,Order!$P:$P,"",0,1))</f>
        <v/>
      </c>
      <c r="L2471" s="4" t="str">
        <f t="shared" si="39"/>
        <v/>
      </c>
    </row>
    <row r="2472" spans="2:12" ht="23.25" hidden="1" customHeight="1" x14ac:dyDescent="0.25">
      <c r="B2472" s="4">
        <v>2750</v>
      </c>
      <c r="C2472" s="36" t="str">
        <f>IF(Order!$C$351="","",Order!$C$351)</f>
        <v/>
      </c>
      <c r="D2472" s="36" t="str">
        <f>IF($C2472="","",_xlfn.XLOOKUP($C2472,Order!$C:$C,Order!$D:$D,"",0,1))</f>
        <v/>
      </c>
      <c r="E2472" s="4" t="str">
        <f>IF($C2472="","",_xlfn.XLOOKUP($C2472,Order!$C:$C,Order!$E:$E,"",0,1))</f>
        <v/>
      </c>
      <c r="F2472" s="4" t="str">
        <f>IF($C2472="","",_xlfn.XLOOKUP($C2472,Order!$C:$C,Order!$F:$F,"",0,1))</f>
        <v/>
      </c>
      <c r="G2472" s="4" t="str">
        <f>IF($C2472="","",_xlfn.XLOOKUP($C2472,Order!$C:$C,Order!$G:$G,"",0,1))</f>
        <v/>
      </c>
      <c r="H2472" s="4" t="str">
        <f>IF($C2472="","",_xlfn.XLOOKUP($C2472,Order!$C:$C,Order!$H:$H,"",0,1))</f>
        <v/>
      </c>
      <c r="I2472" s="36" t="str">
        <f>IF($C2472="","",_xlfn.XLOOKUP($C2472,Order!$C:$C,Order!#REF!,"",0,1))</f>
        <v/>
      </c>
      <c r="J2472" s="4" t="str">
        <f>IF(C2472="","",Order!#REF!)</f>
        <v/>
      </c>
      <c r="K2472" s="36" t="str">
        <f>IF($C2472="","",_xlfn.XLOOKUP($C2472,Order!$C:$C,Order!$P:$P,"",0,1))</f>
        <v/>
      </c>
      <c r="L2472" s="4" t="str">
        <f t="shared" si="39"/>
        <v/>
      </c>
    </row>
    <row r="2473" spans="2:12" ht="23.25" hidden="1" customHeight="1" x14ac:dyDescent="0.25">
      <c r="B2473" s="4">
        <v>2751</v>
      </c>
      <c r="C2473" s="36" t="str">
        <f>IF(Order!$C$352="","",Order!$C$352)</f>
        <v/>
      </c>
      <c r="D2473" s="36" t="str">
        <f>IF($C2473="","",_xlfn.XLOOKUP($C2473,Order!$C:$C,Order!$D:$D,"",0,1))</f>
        <v/>
      </c>
      <c r="E2473" s="4" t="str">
        <f>IF($C2473="","",_xlfn.XLOOKUP($C2473,Order!$C:$C,Order!$E:$E,"",0,1))</f>
        <v/>
      </c>
      <c r="F2473" s="4" t="str">
        <f>IF($C2473="","",_xlfn.XLOOKUP($C2473,Order!$C:$C,Order!$F:$F,"",0,1))</f>
        <v/>
      </c>
      <c r="G2473" s="4" t="str">
        <f>IF($C2473="","",_xlfn.XLOOKUP($C2473,Order!$C:$C,Order!$G:$G,"",0,1))</f>
        <v/>
      </c>
      <c r="H2473" s="4" t="str">
        <f>IF($C2473="","",_xlfn.XLOOKUP($C2473,Order!$C:$C,Order!$H:$H,"",0,1))</f>
        <v/>
      </c>
      <c r="I2473" s="36" t="str">
        <f>IF($C2473="","",_xlfn.XLOOKUP($C2473,Order!$C:$C,Order!#REF!,"",0,1))</f>
        <v/>
      </c>
      <c r="J2473" s="4" t="str">
        <f>IF(C2473="","",Order!#REF!)</f>
        <v/>
      </c>
      <c r="K2473" s="36" t="str">
        <f>IF($C2473="","",_xlfn.XLOOKUP($C2473,Order!$C:$C,Order!$P:$P,"",0,1))</f>
        <v/>
      </c>
      <c r="L2473" s="4" t="str">
        <f t="shared" si="39"/>
        <v/>
      </c>
    </row>
    <row r="2474" spans="2:12" ht="23.25" hidden="1" customHeight="1" x14ac:dyDescent="0.25">
      <c r="B2474" s="4">
        <v>2752</v>
      </c>
      <c r="C2474" s="36" t="str">
        <f>IF(Order!$C$353="","",Order!$C$353)</f>
        <v/>
      </c>
      <c r="D2474" s="36" t="str">
        <f>IF($C2474="","",_xlfn.XLOOKUP($C2474,Order!$C:$C,Order!$D:$D,"",0,1))</f>
        <v/>
      </c>
      <c r="E2474" s="4" t="str">
        <f>IF($C2474="","",_xlfn.XLOOKUP($C2474,Order!$C:$C,Order!$E:$E,"",0,1))</f>
        <v/>
      </c>
      <c r="F2474" s="4" t="str">
        <f>IF($C2474="","",_xlfn.XLOOKUP($C2474,Order!$C:$C,Order!$F:$F,"",0,1))</f>
        <v/>
      </c>
      <c r="G2474" s="4" t="str">
        <f>IF($C2474="","",_xlfn.XLOOKUP($C2474,Order!$C:$C,Order!$G:$G,"",0,1))</f>
        <v/>
      </c>
      <c r="H2474" s="4" t="str">
        <f>IF($C2474="","",_xlfn.XLOOKUP($C2474,Order!$C:$C,Order!$H:$H,"",0,1))</f>
        <v/>
      </c>
      <c r="I2474" s="36" t="str">
        <f>IF($C2474="","",_xlfn.XLOOKUP($C2474,Order!$C:$C,Order!#REF!,"",0,1))</f>
        <v/>
      </c>
      <c r="J2474" s="4" t="str">
        <f>IF(C2474="","",Order!#REF!)</f>
        <v/>
      </c>
      <c r="K2474" s="36" t="str">
        <f>IF($C2474="","",_xlfn.XLOOKUP($C2474,Order!$C:$C,Order!$P:$P,"",0,1))</f>
        <v/>
      </c>
      <c r="L2474" s="4" t="str">
        <f t="shared" si="39"/>
        <v/>
      </c>
    </row>
    <row r="2475" spans="2:12" ht="23.25" hidden="1" customHeight="1" x14ac:dyDescent="0.25">
      <c r="B2475" s="4">
        <v>2753</v>
      </c>
      <c r="C2475" s="36" t="str">
        <f>IF(Order!$C$354="","",Order!$C$354)</f>
        <v/>
      </c>
      <c r="D2475" s="36" t="str">
        <f>IF($C2475="","",_xlfn.XLOOKUP($C2475,Order!$C:$C,Order!$D:$D,"",0,1))</f>
        <v/>
      </c>
      <c r="E2475" s="4" t="str">
        <f>IF($C2475="","",_xlfn.XLOOKUP($C2475,Order!$C:$C,Order!$E:$E,"",0,1))</f>
        <v/>
      </c>
      <c r="F2475" s="4" t="str">
        <f>IF($C2475="","",_xlfn.XLOOKUP($C2475,Order!$C:$C,Order!$F:$F,"",0,1))</f>
        <v/>
      </c>
      <c r="G2475" s="4" t="str">
        <f>IF($C2475="","",_xlfn.XLOOKUP($C2475,Order!$C:$C,Order!$G:$G,"",0,1))</f>
        <v/>
      </c>
      <c r="H2475" s="4" t="str">
        <f>IF($C2475="","",_xlfn.XLOOKUP($C2475,Order!$C:$C,Order!$H:$H,"",0,1))</f>
        <v/>
      </c>
      <c r="I2475" s="36" t="str">
        <f>IF($C2475="","",_xlfn.XLOOKUP($C2475,Order!$C:$C,Order!#REF!,"",0,1))</f>
        <v/>
      </c>
      <c r="J2475" s="4" t="str">
        <f>IF(C2475="","",Order!#REF!)</f>
        <v/>
      </c>
      <c r="K2475" s="36" t="str">
        <f>IF($C2475="","",_xlfn.XLOOKUP($C2475,Order!$C:$C,Order!$P:$P,"",0,1))</f>
        <v/>
      </c>
      <c r="L2475" s="4" t="str">
        <f t="shared" si="39"/>
        <v/>
      </c>
    </row>
    <row r="2476" spans="2:12" ht="23.25" hidden="1" customHeight="1" x14ac:dyDescent="0.25">
      <c r="B2476" s="4">
        <v>2754</v>
      </c>
      <c r="C2476" s="36" t="str">
        <f>IF(Order!$C$355="","",Order!$C$355)</f>
        <v/>
      </c>
      <c r="D2476" s="36" t="str">
        <f>IF($C2476="","",_xlfn.XLOOKUP($C2476,Order!$C:$C,Order!$D:$D,"",0,1))</f>
        <v/>
      </c>
      <c r="E2476" s="4" t="str">
        <f>IF($C2476="","",_xlfn.XLOOKUP($C2476,Order!$C:$C,Order!$E:$E,"",0,1))</f>
        <v/>
      </c>
      <c r="F2476" s="4" t="str">
        <f>IF($C2476="","",_xlfn.XLOOKUP($C2476,Order!$C:$C,Order!$F:$F,"",0,1))</f>
        <v/>
      </c>
      <c r="G2476" s="4" t="str">
        <f>IF($C2476="","",_xlfn.XLOOKUP($C2476,Order!$C:$C,Order!$G:$G,"",0,1))</f>
        <v/>
      </c>
      <c r="H2476" s="4" t="str">
        <f>IF($C2476="","",_xlfn.XLOOKUP($C2476,Order!$C:$C,Order!$H:$H,"",0,1))</f>
        <v/>
      </c>
      <c r="I2476" s="36" t="str">
        <f>IF($C2476="","",_xlfn.XLOOKUP($C2476,Order!$C:$C,Order!#REF!,"",0,1))</f>
        <v/>
      </c>
      <c r="J2476" s="4" t="str">
        <f>IF(C2476="","",Order!#REF!)</f>
        <v/>
      </c>
      <c r="K2476" s="36" t="str">
        <f>IF($C2476="","",_xlfn.XLOOKUP($C2476,Order!$C:$C,Order!$P:$P,"",0,1))</f>
        <v/>
      </c>
      <c r="L2476" s="4" t="str">
        <f t="shared" ref="L2476:L2491" si="40">IF(C2476="","",F2476/1000*H2476*I2476)</f>
        <v/>
      </c>
    </row>
    <row r="2477" spans="2:12" ht="23.25" hidden="1" customHeight="1" x14ac:dyDescent="0.25">
      <c r="B2477" s="4">
        <v>2755</v>
      </c>
      <c r="C2477" s="36" t="str">
        <f>IF(Order!$C$356="","",Order!$C$356)</f>
        <v/>
      </c>
      <c r="D2477" s="36" t="str">
        <f>IF($C2477="","",_xlfn.XLOOKUP($C2477,Order!$C:$C,Order!$D:$D,"",0,1))</f>
        <v/>
      </c>
      <c r="E2477" s="4" t="str">
        <f>IF($C2477="","",_xlfn.XLOOKUP($C2477,Order!$C:$C,Order!$E:$E,"",0,1))</f>
        <v/>
      </c>
      <c r="F2477" s="4" t="str">
        <f>IF($C2477="","",_xlfn.XLOOKUP($C2477,Order!$C:$C,Order!$F:$F,"",0,1))</f>
        <v/>
      </c>
      <c r="G2477" s="4" t="str">
        <f>IF($C2477="","",_xlfn.XLOOKUP($C2477,Order!$C:$C,Order!$G:$G,"",0,1))</f>
        <v/>
      </c>
      <c r="H2477" s="4" t="str">
        <f>IF($C2477="","",_xlfn.XLOOKUP($C2477,Order!$C:$C,Order!$H:$H,"",0,1))</f>
        <v/>
      </c>
      <c r="I2477" s="36" t="str">
        <f>IF($C2477="","",_xlfn.XLOOKUP($C2477,Order!$C:$C,Order!#REF!,"",0,1))</f>
        <v/>
      </c>
      <c r="J2477" s="4" t="str">
        <f>IF(C2477="","",Order!#REF!)</f>
        <v/>
      </c>
      <c r="K2477" s="36" t="str">
        <f>IF($C2477="","",_xlfn.XLOOKUP($C2477,Order!$C:$C,Order!$P:$P,"",0,1))</f>
        <v/>
      </c>
      <c r="L2477" s="4" t="str">
        <f t="shared" si="40"/>
        <v/>
      </c>
    </row>
    <row r="2478" spans="2:12" ht="23.25" hidden="1" customHeight="1" x14ac:dyDescent="0.25">
      <c r="B2478" s="4">
        <v>2756</v>
      </c>
      <c r="C2478" s="36" t="str">
        <f>IF(Order!$C$357="","",Order!$C$357)</f>
        <v/>
      </c>
      <c r="D2478" s="36" t="str">
        <f>IF($C2478="","",_xlfn.XLOOKUP($C2478,Order!$C:$C,Order!$D:$D,"",0,1))</f>
        <v/>
      </c>
      <c r="E2478" s="4" t="str">
        <f>IF($C2478="","",_xlfn.XLOOKUP($C2478,Order!$C:$C,Order!$E:$E,"",0,1))</f>
        <v/>
      </c>
      <c r="F2478" s="4" t="str">
        <f>IF($C2478="","",_xlfn.XLOOKUP($C2478,Order!$C:$C,Order!$F:$F,"",0,1))</f>
        <v/>
      </c>
      <c r="G2478" s="4" t="str">
        <f>IF($C2478="","",_xlfn.XLOOKUP($C2478,Order!$C:$C,Order!$G:$G,"",0,1))</f>
        <v/>
      </c>
      <c r="H2478" s="4" t="str">
        <f>IF($C2478="","",_xlfn.XLOOKUP($C2478,Order!$C:$C,Order!$H:$H,"",0,1))</f>
        <v/>
      </c>
      <c r="I2478" s="36" t="str">
        <f>IF($C2478="","",_xlfn.XLOOKUP($C2478,Order!$C:$C,Order!#REF!,"",0,1))</f>
        <v/>
      </c>
      <c r="J2478" s="4" t="str">
        <f>IF(C2478="","",Order!#REF!)</f>
        <v/>
      </c>
      <c r="K2478" s="36" t="str">
        <f>IF($C2478="","",_xlfn.XLOOKUP($C2478,Order!$C:$C,Order!$P:$P,"",0,1))</f>
        <v/>
      </c>
      <c r="L2478" s="4" t="str">
        <f t="shared" si="40"/>
        <v/>
      </c>
    </row>
    <row r="2479" spans="2:12" ht="23.25" hidden="1" customHeight="1" x14ac:dyDescent="0.25">
      <c r="B2479" s="4">
        <v>2757</v>
      </c>
      <c r="C2479" s="36" t="str">
        <f>IF(Order!$C$358="","",Order!$C$358)</f>
        <v/>
      </c>
      <c r="D2479" s="36" t="str">
        <f>IF($C2479="","",_xlfn.XLOOKUP($C2479,Order!$C:$C,Order!$D:$D,"",0,1))</f>
        <v/>
      </c>
      <c r="E2479" s="4" t="str">
        <f>IF($C2479="","",_xlfn.XLOOKUP($C2479,Order!$C:$C,Order!$E:$E,"",0,1))</f>
        <v/>
      </c>
      <c r="F2479" s="4" t="str">
        <f>IF($C2479="","",_xlfn.XLOOKUP($C2479,Order!$C:$C,Order!$F:$F,"",0,1))</f>
        <v/>
      </c>
      <c r="G2479" s="4" t="str">
        <f>IF($C2479="","",_xlfn.XLOOKUP($C2479,Order!$C:$C,Order!$G:$G,"",0,1))</f>
        <v/>
      </c>
      <c r="H2479" s="4" t="str">
        <f>IF($C2479="","",_xlfn.XLOOKUP($C2479,Order!$C:$C,Order!$H:$H,"",0,1))</f>
        <v/>
      </c>
      <c r="I2479" s="36" t="str">
        <f>IF($C2479="","",_xlfn.XLOOKUP($C2479,Order!$C:$C,Order!#REF!,"",0,1))</f>
        <v/>
      </c>
      <c r="J2479" s="4" t="str">
        <f>IF(C2479="","",Order!#REF!)</f>
        <v/>
      </c>
      <c r="K2479" s="36" t="str">
        <f>IF($C2479="","",_xlfn.XLOOKUP($C2479,Order!$C:$C,Order!$P:$P,"",0,1))</f>
        <v/>
      </c>
      <c r="L2479" s="4" t="str">
        <f t="shared" si="40"/>
        <v/>
      </c>
    </row>
    <row r="2480" spans="2:12" ht="23.25" hidden="1" customHeight="1" x14ac:dyDescent="0.25">
      <c r="B2480" s="4">
        <v>2758</v>
      </c>
      <c r="C2480" s="36" t="str">
        <f>IF(Order!$C$359="","",Order!$C$359)</f>
        <v/>
      </c>
      <c r="D2480" s="36" t="str">
        <f>IF($C2480="","",_xlfn.XLOOKUP($C2480,Order!$C:$C,Order!$D:$D,"",0,1))</f>
        <v/>
      </c>
      <c r="E2480" s="4" t="str">
        <f>IF($C2480="","",_xlfn.XLOOKUP($C2480,Order!$C:$C,Order!$E:$E,"",0,1))</f>
        <v/>
      </c>
      <c r="F2480" s="4" t="str">
        <f>IF($C2480="","",_xlfn.XLOOKUP($C2480,Order!$C:$C,Order!$F:$F,"",0,1))</f>
        <v/>
      </c>
      <c r="G2480" s="4" t="str">
        <f>IF($C2480="","",_xlfn.XLOOKUP($C2480,Order!$C:$C,Order!$G:$G,"",0,1))</f>
        <v/>
      </c>
      <c r="H2480" s="4" t="str">
        <f>IF($C2480="","",_xlfn.XLOOKUP($C2480,Order!$C:$C,Order!$H:$H,"",0,1))</f>
        <v/>
      </c>
      <c r="I2480" s="36" t="str">
        <f>IF($C2480="","",_xlfn.XLOOKUP($C2480,Order!$C:$C,Order!#REF!,"",0,1))</f>
        <v/>
      </c>
      <c r="J2480" s="4" t="str">
        <f>IF(C2480="","",Order!#REF!)</f>
        <v/>
      </c>
      <c r="K2480" s="36" t="str">
        <f>IF($C2480="","",_xlfn.XLOOKUP($C2480,Order!$C:$C,Order!$P:$P,"",0,1))</f>
        <v/>
      </c>
      <c r="L2480" s="4" t="str">
        <f t="shared" si="40"/>
        <v/>
      </c>
    </row>
    <row r="2481" spans="2:12" ht="23.25" hidden="1" customHeight="1" x14ac:dyDescent="0.25">
      <c r="B2481" s="4">
        <v>2759</v>
      </c>
      <c r="C2481" s="36" t="str">
        <f>IF(Order!$C$360="","",Order!$C$360)</f>
        <v/>
      </c>
      <c r="D2481" s="36" t="str">
        <f>IF($C2481="","",_xlfn.XLOOKUP($C2481,Order!$C:$C,Order!$D:$D,"",0,1))</f>
        <v/>
      </c>
      <c r="E2481" s="4" t="str">
        <f>IF($C2481="","",_xlfn.XLOOKUP($C2481,Order!$C:$C,Order!$E:$E,"",0,1))</f>
        <v/>
      </c>
      <c r="F2481" s="4" t="str">
        <f>IF($C2481="","",_xlfn.XLOOKUP($C2481,Order!$C:$C,Order!$F:$F,"",0,1))</f>
        <v/>
      </c>
      <c r="G2481" s="4" t="str">
        <f>IF($C2481="","",_xlfn.XLOOKUP($C2481,Order!$C:$C,Order!$G:$G,"",0,1))</f>
        <v/>
      </c>
      <c r="H2481" s="4" t="str">
        <f>IF($C2481="","",_xlfn.XLOOKUP($C2481,Order!$C:$C,Order!$H:$H,"",0,1))</f>
        <v/>
      </c>
      <c r="I2481" s="36" t="str">
        <f>IF($C2481="","",_xlfn.XLOOKUP($C2481,Order!$C:$C,Order!#REF!,"",0,1))</f>
        <v/>
      </c>
      <c r="J2481" s="4" t="str">
        <f>IF(C2481="","",Order!#REF!)</f>
        <v/>
      </c>
      <c r="K2481" s="36" t="str">
        <f>IF($C2481="","",_xlfn.XLOOKUP($C2481,Order!$C:$C,Order!$P:$P,"",0,1))</f>
        <v/>
      </c>
      <c r="L2481" s="4" t="str">
        <f t="shared" si="40"/>
        <v/>
      </c>
    </row>
    <row r="2482" spans="2:12" ht="23.25" hidden="1" customHeight="1" x14ac:dyDescent="0.25">
      <c r="B2482" s="4">
        <v>2760</v>
      </c>
      <c r="C2482" s="36" t="str">
        <f>IF(Order!$C$361="","",Order!$C$361)</f>
        <v/>
      </c>
      <c r="D2482" s="36" t="str">
        <f>IF($C2482="","",_xlfn.XLOOKUP($C2482,Order!$C:$C,Order!$D:$D,"",0,1))</f>
        <v/>
      </c>
      <c r="E2482" s="4" t="str">
        <f>IF($C2482="","",_xlfn.XLOOKUP($C2482,Order!$C:$C,Order!$E:$E,"",0,1))</f>
        <v/>
      </c>
      <c r="F2482" s="4" t="str">
        <f>IF($C2482="","",_xlfn.XLOOKUP($C2482,Order!$C:$C,Order!$F:$F,"",0,1))</f>
        <v/>
      </c>
      <c r="G2482" s="4" t="str">
        <f>IF($C2482="","",_xlfn.XLOOKUP($C2482,Order!$C:$C,Order!$G:$G,"",0,1))</f>
        <v/>
      </c>
      <c r="H2482" s="4" t="str">
        <f>IF($C2482="","",_xlfn.XLOOKUP($C2482,Order!$C:$C,Order!$H:$H,"",0,1))</f>
        <v/>
      </c>
      <c r="I2482" s="36" t="str">
        <f>IF($C2482="","",_xlfn.XLOOKUP($C2482,Order!$C:$C,Order!#REF!,"",0,1))</f>
        <v/>
      </c>
      <c r="J2482" s="4" t="str">
        <f>IF(C2482="","",Order!#REF!)</f>
        <v/>
      </c>
      <c r="K2482" s="36" t="str">
        <f>IF($C2482="","",_xlfn.XLOOKUP($C2482,Order!$C:$C,Order!$P:$P,"",0,1))</f>
        <v/>
      </c>
      <c r="L2482" s="4" t="str">
        <f t="shared" si="40"/>
        <v/>
      </c>
    </row>
    <row r="2483" spans="2:12" ht="23.25" hidden="1" customHeight="1" x14ac:dyDescent="0.25">
      <c r="B2483" s="4">
        <v>2775</v>
      </c>
      <c r="C2483" s="36" t="str">
        <f>IF(Order!$C$31="","",Order!$C$31)</f>
        <v/>
      </c>
      <c r="D2483" s="36" t="str">
        <f>IF($C2483="","",_xlfn.XLOOKUP($C2483,Order!$C:$C,Order!$D:$D,"",0,1))</f>
        <v/>
      </c>
      <c r="E2483" s="4" t="str">
        <f>IF($C2483="","",_xlfn.XLOOKUP($C2483,Order!$C:$C,Order!$E:$E,"",0,1))</f>
        <v/>
      </c>
      <c r="F2483" s="4" t="str">
        <f>IF($C2483="","",_xlfn.XLOOKUP($C2483,Order!$C:$C,Order!$F:$F,"",0,1))</f>
        <v/>
      </c>
      <c r="G2483" s="4" t="str">
        <f>IF($C2483="","",_xlfn.XLOOKUP($C2483,Order!$C:$C,Order!$G:$G,"",0,1))</f>
        <v/>
      </c>
      <c r="H2483" s="4" t="str">
        <f>IF($C2483="","",_xlfn.XLOOKUP($C2483,Order!$C:$C,Order!$H:$H,"",0,1))</f>
        <v/>
      </c>
      <c r="I2483" s="36" t="str">
        <f>IF($C2483="","",_xlfn.XLOOKUP($C2483,Order!$C:$C,Order!#REF!,"",0,1))</f>
        <v/>
      </c>
      <c r="J2483" s="4" t="str">
        <f>IF(C2483="","",Order!#REF!)</f>
        <v/>
      </c>
      <c r="K2483" s="36" t="str">
        <f>IF($C2483="","",_xlfn.XLOOKUP($C2483,Order!$C:$C,Order!$P:$P,"",0,1))</f>
        <v/>
      </c>
      <c r="L2483" s="4" t="str">
        <f t="shared" si="40"/>
        <v/>
      </c>
    </row>
    <row r="2484" spans="2:12" ht="23.25" hidden="1" customHeight="1" x14ac:dyDescent="0.25">
      <c r="B2484" s="4">
        <v>2810</v>
      </c>
      <c r="C2484" s="36" t="str">
        <f>IF(Order!$C$66="","",Order!$C$66)</f>
        <v/>
      </c>
      <c r="D2484" s="36" t="str">
        <f>IF($C2484="","",_xlfn.XLOOKUP($C2484,Order!$C:$C,Order!$D:$D,"",0,1))</f>
        <v/>
      </c>
      <c r="E2484" s="4" t="str">
        <f>IF($C2484="","",_xlfn.XLOOKUP($C2484,Order!$C:$C,Order!$E:$E,"",0,1))</f>
        <v/>
      </c>
      <c r="F2484" s="4" t="str">
        <f>IF($C2484="","",_xlfn.XLOOKUP($C2484,Order!$C:$C,Order!$F:$F,"",0,1))</f>
        <v/>
      </c>
      <c r="G2484" s="4" t="str">
        <f>IF($C2484="","",_xlfn.XLOOKUP($C2484,Order!$C:$C,Order!$G:$G,"",0,1))</f>
        <v/>
      </c>
      <c r="H2484" s="4" t="str">
        <f>IF($C2484="","",_xlfn.XLOOKUP($C2484,Order!$C:$C,Order!$H:$H,"",0,1))</f>
        <v/>
      </c>
      <c r="I2484" s="36" t="str">
        <f>IF($C2484="","",_xlfn.XLOOKUP($C2484,Order!$C:$C,Order!#REF!,"",0,1))</f>
        <v/>
      </c>
      <c r="J2484" s="4" t="str">
        <f>IF(C2484="","",Order!#REF!)</f>
        <v/>
      </c>
      <c r="K2484" s="36" t="str">
        <f>IF($C2484="","",_xlfn.XLOOKUP($C2484,Order!$C:$C,Order!$P:$P,"",0,1))</f>
        <v/>
      </c>
      <c r="L2484" s="4" t="str">
        <f t="shared" si="40"/>
        <v/>
      </c>
    </row>
    <row r="2485" spans="2:12" ht="23.25" hidden="1" customHeight="1" x14ac:dyDescent="0.25">
      <c r="B2485" s="4">
        <v>2811</v>
      </c>
      <c r="C2485" s="36" t="str">
        <f>IF(Order!$C$67="","",Order!$C$67)</f>
        <v/>
      </c>
      <c r="D2485" s="36" t="str">
        <f>IF($C2485="","",_xlfn.XLOOKUP($C2485,Order!$C:$C,Order!$D:$D,"",0,1))</f>
        <v/>
      </c>
      <c r="E2485" s="4" t="str">
        <f>IF($C2485="","",_xlfn.XLOOKUP($C2485,Order!$C:$C,Order!$E:$E,"",0,1))</f>
        <v/>
      </c>
      <c r="F2485" s="4" t="str">
        <f>IF($C2485="","",_xlfn.XLOOKUP($C2485,Order!$C:$C,Order!$F:$F,"",0,1))</f>
        <v/>
      </c>
      <c r="G2485" s="4" t="str">
        <f>IF($C2485="","",_xlfn.XLOOKUP($C2485,Order!$C:$C,Order!$G:$G,"",0,1))</f>
        <v/>
      </c>
      <c r="H2485" s="4" t="str">
        <f>IF($C2485="","",_xlfn.XLOOKUP($C2485,Order!$C:$C,Order!$H:$H,"",0,1))</f>
        <v/>
      </c>
      <c r="I2485" s="36" t="str">
        <f>IF($C2485="","",_xlfn.XLOOKUP($C2485,Order!$C:$C,Order!#REF!,"",0,1))</f>
        <v/>
      </c>
      <c r="J2485" s="4" t="str">
        <f>IF(C2485="","",Order!#REF!)</f>
        <v/>
      </c>
      <c r="K2485" s="36" t="str">
        <f>IF($C2485="","",_xlfn.XLOOKUP($C2485,Order!$C:$C,Order!$P:$P,"",0,1))</f>
        <v/>
      </c>
      <c r="L2485" s="4" t="str">
        <f t="shared" si="40"/>
        <v/>
      </c>
    </row>
    <row r="2486" spans="2:12" ht="23.25" hidden="1" customHeight="1" x14ac:dyDescent="0.25">
      <c r="B2486" s="4">
        <v>2812</v>
      </c>
      <c r="C2486" s="36" t="str">
        <f>IF(Order!$C$68="","",Order!$C$68)</f>
        <v/>
      </c>
      <c r="D2486" s="36" t="str">
        <f>IF($C2486="","",_xlfn.XLOOKUP($C2486,Order!$C:$C,Order!$D:$D,"",0,1))</f>
        <v/>
      </c>
      <c r="E2486" s="4" t="str">
        <f>IF($C2486="","",_xlfn.XLOOKUP($C2486,Order!$C:$C,Order!$E:$E,"",0,1))</f>
        <v/>
      </c>
      <c r="F2486" s="4" t="str">
        <f>IF($C2486="","",_xlfn.XLOOKUP($C2486,Order!$C:$C,Order!$F:$F,"",0,1))</f>
        <v/>
      </c>
      <c r="G2486" s="4" t="str">
        <f>IF($C2486="","",_xlfn.XLOOKUP($C2486,Order!$C:$C,Order!$G:$G,"",0,1))</f>
        <v/>
      </c>
      <c r="H2486" s="4" t="str">
        <f>IF($C2486="","",_xlfn.XLOOKUP($C2486,Order!$C:$C,Order!$H:$H,"",0,1))</f>
        <v/>
      </c>
      <c r="I2486" s="36" t="str">
        <f>IF($C2486="","",_xlfn.XLOOKUP($C2486,Order!$C:$C,Order!#REF!,"",0,1))</f>
        <v/>
      </c>
      <c r="J2486" s="4" t="str">
        <f>IF(C2486="","",Order!#REF!)</f>
        <v/>
      </c>
      <c r="K2486" s="36" t="str">
        <f>IF($C2486="","",_xlfn.XLOOKUP($C2486,Order!$C:$C,Order!$P:$P,"",0,1))</f>
        <v/>
      </c>
      <c r="L2486" s="4" t="str">
        <f t="shared" si="40"/>
        <v/>
      </c>
    </row>
    <row r="2487" spans="2:12" ht="23.25" hidden="1" customHeight="1" x14ac:dyDescent="0.25">
      <c r="B2487" s="4">
        <v>2813</v>
      </c>
      <c r="C2487" s="36" t="str">
        <f>IF(Order!$C$69="","",Order!$C$69)</f>
        <v/>
      </c>
      <c r="D2487" s="36" t="str">
        <f>IF($C2487="","",_xlfn.XLOOKUP($C2487,Order!$C:$C,Order!$D:$D,"",0,1))</f>
        <v/>
      </c>
      <c r="E2487" s="4" t="str">
        <f>IF($C2487="","",_xlfn.XLOOKUP($C2487,Order!$C:$C,Order!$E:$E,"",0,1))</f>
        <v/>
      </c>
      <c r="F2487" s="4" t="str">
        <f>IF($C2487="","",_xlfn.XLOOKUP($C2487,Order!$C:$C,Order!$F:$F,"",0,1))</f>
        <v/>
      </c>
      <c r="G2487" s="4" t="str">
        <f>IF($C2487="","",_xlfn.XLOOKUP($C2487,Order!$C:$C,Order!$G:$G,"",0,1))</f>
        <v/>
      </c>
      <c r="H2487" s="4" t="str">
        <f>IF($C2487="","",_xlfn.XLOOKUP($C2487,Order!$C:$C,Order!$H:$H,"",0,1))</f>
        <v/>
      </c>
      <c r="I2487" s="36" t="str">
        <f>IF($C2487="","",_xlfn.XLOOKUP($C2487,Order!$C:$C,Order!#REF!,"",0,1))</f>
        <v/>
      </c>
      <c r="J2487" s="4" t="str">
        <f>IF(C2487="","",Order!#REF!)</f>
        <v/>
      </c>
      <c r="K2487" s="36" t="str">
        <f>IF($C2487="","",_xlfn.XLOOKUP($C2487,Order!$C:$C,Order!$P:$P,"",0,1))</f>
        <v/>
      </c>
      <c r="L2487" s="4" t="str">
        <f t="shared" si="40"/>
        <v/>
      </c>
    </row>
    <row r="2488" spans="2:12" ht="23.25" hidden="1" customHeight="1" x14ac:dyDescent="0.25">
      <c r="B2488" s="4">
        <v>2814</v>
      </c>
      <c r="C2488" s="36" t="str">
        <f>IF(Order!$C$70="","",Order!$C$70)</f>
        <v/>
      </c>
      <c r="D2488" s="36" t="str">
        <f>IF($C2488="","",_xlfn.XLOOKUP($C2488,Order!$C:$C,Order!$D:$D,"",0,1))</f>
        <v/>
      </c>
      <c r="E2488" s="4" t="str">
        <f>IF($C2488="","",_xlfn.XLOOKUP($C2488,Order!$C:$C,Order!$E:$E,"",0,1))</f>
        <v/>
      </c>
      <c r="F2488" s="4" t="str">
        <f>IF($C2488="","",_xlfn.XLOOKUP($C2488,Order!$C:$C,Order!$F:$F,"",0,1))</f>
        <v/>
      </c>
      <c r="G2488" s="4" t="str">
        <f>IF($C2488="","",_xlfn.XLOOKUP($C2488,Order!$C:$C,Order!$G:$G,"",0,1))</f>
        <v/>
      </c>
      <c r="H2488" s="4" t="str">
        <f>IF($C2488="","",_xlfn.XLOOKUP($C2488,Order!$C:$C,Order!$H:$H,"",0,1))</f>
        <v/>
      </c>
      <c r="I2488" s="36" t="str">
        <f>IF($C2488="","",_xlfn.XLOOKUP($C2488,Order!$C:$C,Order!#REF!,"",0,1))</f>
        <v/>
      </c>
      <c r="J2488" s="4" t="str">
        <f>IF(C2488="","",Order!#REF!)</f>
        <v/>
      </c>
      <c r="K2488" s="36" t="str">
        <f>IF($C2488="","",_xlfn.XLOOKUP($C2488,Order!$C:$C,Order!$P:$P,"",0,1))</f>
        <v/>
      </c>
      <c r="L2488" s="4" t="str">
        <f t="shared" si="40"/>
        <v/>
      </c>
    </row>
    <row r="2489" spans="2:12" ht="23.25" hidden="1" customHeight="1" x14ac:dyDescent="0.25">
      <c r="B2489" s="4">
        <v>2815</v>
      </c>
      <c r="C2489" s="36" t="str">
        <f>IF(Order!$C$71="","",Order!$C$71)</f>
        <v/>
      </c>
      <c r="D2489" s="36" t="str">
        <f>IF($C2489="","",_xlfn.XLOOKUP($C2489,Order!$C:$C,Order!$D:$D,"",0,1))</f>
        <v/>
      </c>
      <c r="E2489" s="4" t="str">
        <f>IF($C2489="","",_xlfn.XLOOKUP($C2489,Order!$C:$C,Order!$E:$E,"",0,1))</f>
        <v/>
      </c>
      <c r="F2489" s="4" t="str">
        <f>IF($C2489="","",_xlfn.XLOOKUP($C2489,Order!$C:$C,Order!$F:$F,"",0,1))</f>
        <v/>
      </c>
      <c r="G2489" s="4" t="str">
        <f>IF($C2489="","",_xlfn.XLOOKUP($C2489,Order!$C:$C,Order!$G:$G,"",0,1))</f>
        <v/>
      </c>
      <c r="H2489" s="4" t="str">
        <f>IF($C2489="","",_xlfn.XLOOKUP($C2489,Order!$C:$C,Order!$H:$H,"",0,1))</f>
        <v/>
      </c>
      <c r="I2489" s="36" t="str">
        <f>IF($C2489="","",_xlfn.XLOOKUP($C2489,Order!$C:$C,Order!#REF!,"",0,1))</f>
        <v/>
      </c>
      <c r="J2489" s="4" t="str">
        <f>IF(C2489="","",Order!#REF!)</f>
        <v/>
      </c>
      <c r="K2489" s="36" t="str">
        <f>IF($C2489="","",_xlfn.XLOOKUP($C2489,Order!$C:$C,Order!$P:$P,"",0,1))</f>
        <v/>
      </c>
      <c r="L2489" s="4" t="str">
        <f t="shared" si="40"/>
        <v/>
      </c>
    </row>
    <row r="2490" spans="2:12" ht="23.25" hidden="1" customHeight="1" x14ac:dyDescent="0.25">
      <c r="B2490" s="4">
        <v>2816</v>
      </c>
      <c r="C2490" s="36" t="str">
        <f>IF(Order!$C$72="","",Order!$C$72)</f>
        <v/>
      </c>
      <c r="D2490" s="36" t="str">
        <f>IF($C2490="","",_xlfn.XLOOKUP($C2490,Order!$C:$C,Order!$D:$D,"",0,1))</f>
        <v/>
      </c>
      <c r="E2490" s="4" t="str">
        <f>IF($C2490="","",_xlfn.XLOOKUP($C2490,Order!$C:$C,Order!$E:$E,"",0,1))</f>
        <v/>
      </c>
      <c r="F2490" s="4" t="str">
        <f>IF($C2490="","",_xlfn.XLOOKUP($C2490,Order!$C:$C,Order!$F:$F,"",0,1))</f>
        <v/>
      </c>
      <c r="G2490" s="4" t="str">
        <f>IF($C2490="","",_xlfn.XLOOKUP($C2490,Order!$C:$C,Order!$G:$G,"",0,1))</f>
        <v/>
      </c>
      <c r="H2490" s="4" t="str">
        <f>IF($C2490="","",_xlfn.XLOOKUP($C2490,Order!$C:$C,Order!$H:$H,"",0,1))</f>
        <v/>
      </c>
      <c r="I2490" s="36" t="str">
        <f>IF($C2490="","",_xlfn.XLOOKUP($C2490,Order!$C:$C,Order!#REF!,"",0,1))</f>
        <v/>
      </c>
      <c r="J2490" s="4" t="str">
        <f>IF(C2490="","",Order!#REF!)</f>
        <v/>
      </c>
      <c r="K2490" s="36" t="str">
        <f>IF($C2490="","",_xlfn.XLOOKUP($C2490,Order!$C:$C,Order!$P:$P,"",0,1))</f>
        <v/>
      </c>
      <c r="L2490" s="4" t="str">
        <f t="shared" si="40"/>
        <v/>
      </c>
    </row>
    <row r="2491" spans="2:12" ht="23.25" hidden="1" customHeight="1" x14ac:dyDescent="0.25">
      <c r="B2491" s="4">
        <v>2817</v>
      </c>
      <c r="C2491" s="36" t="str">
        <f>IF(Order!$C$73="","",Order!$C$73)</f>
        <v/>
      </c>
      <c r="D2491" s="36" t="str">
        <f>IF($C2491="","",_xlfn.XLOOKUP($C2491,Order!$C:$C,Order!$D:$D,"",0,1))</f>
        <v/>
      </c>
      <c r="E2491" s="4" t="str">
        <f>IF($C2491="","",_xlfn.XLOOKUP($C2491,Order!$C:$C,Order!$E:$E,"",0,1))</f>
        <v/>
      </c>
      <c r="F2491" s="4" t="str">
        <f>IF($C2491="","",_xlfn.XLOOKUP($C2491,Order!$C:$C,Order!$F:$F,"",0,1))</f>
        <v/>
      </c>
      <c r="G2491" s="4" t="str">
        <f>IF($C2491="","",_xlfn.XLOOKUP($C2491,Order!$C:$C,Order!$G:$G,"",0,1))</f>
        <v/>
      </c>
      <c r="H2491" s="4" t="str">
        <f>IF($C2491="","",_xlfn.XLOOKUP($C2491,Order!$C:$C,Order!$H:$H,"",0,1))</f>
        <v/>
      </c>
      <c r="I2491" s="36" t="str">
        <f>IF($C2491="","",_xlfn.XLOOKUP($C2491,Order!$C:$C,Order!#REF!,"",0,1))</f>
        <v/>
      </c>
      <c r="J2491" s="4" t="str">
        <f>IF(C2491="","",Order!#REF!)</f>
        <v/>
      </c>
      <c r="K2491" s="36" t="str">
        <f>IF($C2491="","",_xlfn.XLOOKUP($C2491,Order!$C:$C,Order!$P:$P,"",0,1))</f>
        <v/>
      </c>
      <c r="L2491" s="4" t="str">
        <f t="shared" si="40"/>
        <v/>
      </c>
    </row>
    <row r="2492" spans="2:12" ht="23.25" hidden="1" customHeight="1" x14ac:dyDescent="0.25">
      <c r="B2492" s="4">
        <v>2901</v>
      </c>
      <c r="C2492" s="36" t="str">
        <f>IF(Order!$C$157="","",Order!$C$157)</f>
        <v/>
      </c>
      <c r="D2492" s="36" t="str">
        <f>IF($C2492="","",_xlfn.XLOOKUP($C2492,Order!$C:$C,Order!$D:$D,"",0,1))</f>
        <v/>
      </c>
      <c r="E2492" s="4" t="str">
        <f>IF($C2492="","",_xlfn.XLOOKUP($C2492,Order!$C:$C,Order!$E:$E,"",0,1))</f>
        <v/>
      </c>
      <c r="F2492" s="4" t="str">
        <f>IF($C2492="","",_xlfn.XLOOKUP($C2492,Order!$C:$C,Order!$F:$F,"",0,1))</f>
        <v/>
      </c>
      <c r="G2492" s="4" t="str">
        <f>IF($C2492="","",_xlfn.XLOOKUP($C2492,Order!$C:$C,Order!$G:$G,"",0,1))</f>
        <v/>
      </c>
      <c r="H2492" s="4" t="str">
        <f>IF($C2492="","",_xlfn.XLOOKUP($C2492,Order!$C:$C,Order!$H:$H,"",0,1))</f>
        <v/>
      </c>
      <c r="I2492" s="36" t="str">
        <f>IF($C2492="","",_xlfn.XLOOKUP($C2492,Order!$C:$C,Order!#REF!,"",0,1))</f>
        <v/>
      </c>
      <c r="J2492" s="4" t="str">
        <f>IF(C2492="","",Order!#REF!)</f>
        <v/>
      </c>
      <c r="K2492" s="36" t="str">
        <f>IF($C2492="","",_xlfn.XLOOKUP($C2492,Order!$C:$C,Order!$P:$P,"",0,1))</f>
        <v/>
      </c>
      <c r="L2492" s="4" t="str">
        <f>IF(C2492="","",F2492/1000*H2492*I2492)</f>
        <v/>
      </c>
    </row>
    <row r="2493" spans="2:12" ht="23.25" hidden="1" customHeight="1" x14ac:dyDescent="0.25">
      <c r="B2493" s="4">
        <v>2904</v>
      </c>
      <c r="C2493" s="36" t="str">
        <f>IF(Order!$C$160="","",Order!$C$160)</f>
        <v/>
      </c>
      <c r="D2493" s="36" t="str">
        <f>IF($C2493="","",_xlfn.XLOOKUP($C2493,Order!$C:$C,Order!$D:$D,"",0,1))</f>
        <v/>
      </c>
      <c r="E2493" s="4" t="str">
        <f>IF($C2493="","",_xlfn.XLOOKUP($C2493,Order!$C:$C,Order!$E:$E,"",0,1))</f>
        <v/>
      </c>
      <c r="F2493" s="4" t="str">
        <f>IF($C2493="","",_xlfn.XLOOKUP($C2493,Order!$C:$C,Order!$F:$F,"",0,1))</f>
        <v/>
      </c>
      <c r="G2493" s="4" t="str">
        <f>IF($C2493="","",_xlfn.XLOOKUP($C2493,Order!$C:$C,Order!$G:$G,"",0,1))</f>
        <v/>
      </c>
      <c r="H2493" s="4" t="str">
        <f>IF($C2493="","",_xlfn.XLOOKUP($C2493,Order!$C:$C,Order!$H:$H,"",0,1))</f>
        <v/>
      </c>
      <c r="I2493" s="36" t="str">
        <f>IF($C2493="","",_xlfn.XLOOKUP($C2493,Order!$C:$C,Order!#REF!,"",0,1))</f>
        <v/>
      </c>
      <c r="J2493" s="4" t="str">
        <f>IF(C2493="","",Order!#REF!)</f>
        <v/>
      </c>
      <c r="K2493" s="36" t="str">
        <f>IF($C2493="","",_xlfn.XLOOKUP($C2493,Order!$C:$C,Order!$P:$P,"",0,1))</f>
        <v/>
      </c>
      <c r="L2493" s="4" t="str">
        <f>IF(C2493="","",F2493/1000*H2493*I2493)</f>
        <v/>
      </c>
    </row>
    <row r="2494" spans="2:12" ht="23.25" hidden="1" customHeight="1" x14ac:dyDescent="0.25">
      <c r="B2494" s="4">
        <v>2938</v>
      </c>
      <c r="C2494" s="36" t="str">
        <f>IF(Order!$C$194="","",Order!$C$194)</f>
        <v/>
      </c>
      <c r="D2494" s="36" t="str">
        <f>IF($C2494="","",_xlfn.XLOOKUP($C2494,Order!$C:$C,Order!$D:$D,"",0,1))</f>
        <v/>
      </c>
      <c r="E2494" s="4" t="str">
        <f>IF($C2494="","",_xlfn.XLOOKUP($C2494,Order!$C:$C,Order!$E:$E,"",0,1))</f>
        <v/>
      </c>
      <c r="F2494" s="4" t="str">
        <f>IF($C2494="","",_xlfn.XLOOKUP($C2494,Order!$C:$C,Order!$F:$F,"",0,1))</f>
        <v/>
      </c>
      <c r="G2494" s="4" t="str">
        <f>IF($C2494="","",_xlfn.XLOOKUP($C2494,Order!$C:$C,Order!$G:$G,"",0,1))</f>
        <v/>
      </c>
      <c r="H2494" s="4" t="str">
        <f>IF($C2494="","",_xlfn.XLOOKUP($C2494,Order!$C:$C,Order!$H:$H,"",0,1))</f>
        <v/>
      </c>
      <c r="I2494" s="36" t="str">
        <f>IF($C2494="","",_xlfn.XLOOKUP($C2494,Order!$C:$C,Order!#REF!,"",0,1))</f>
        <v/>
      </c>
      <c r="J2494" s="4" t="str">
        <f>IF(C2494="","",Order!#REF!)</f>
        <v/>
      </c>
      <c r="K2494" s="36" t="str">
        <f>IF($C2494="","",_xlfn.XLOOKUP($C2494,Order!$C:$C,Order!$P:$P,"",0,1))</f>
        <v/>
      </c>
      <c r="L2494" s="4" t="str">
        <f>IF(C2494="","",F2494/1000*H2494*I2494)</f>
        <v/>
      </c>
    </row>
    <row r="2495" spans="2:12" ht="23.25" hidden="1" customHeight="1" x14ac:dyDescent="0.25">
      <c r="B2495" s="4">
        <v>2993</v>
      </c>
      <c r="C2495" s="36" t="str">
        <f>IF(Order!$C$249="","",Order!$C$249)</f>
        <v/>
      </c>
      <c r="D2495" s="36" t="str">
        <f>IF($C2495="","",_xlfn.XLOOKUP($C2495,Order!$C:$C,Order!$D:$D,"",0,1))</f>
        <v/>
      </c>
      <c r="E2495" s="4" t="str">
        <f>IF($C2495="","",_xlfn.XLOOKUP($C2495,Order!$C:$C,Order!$E:$E,"",0,1))</f>
        <v/>
      </c>
      <c r="F2495" s="4" t="str">
        <f>IF($C2495="","",_xlfn.XLOOKUP($C2495,Order!$C:$C,Order!$F:$F,"",0,1))</f>
        <v/>
      </c>
      <c r="G2495" s="4" t="str">
        <f>IF($C2495="","",_xlfn.XLOOKUP($C2495,Order!$C:$C,Order!$G:$G,"",0,1))</f>
        <v/>
      </c>
      <c r="H2495" s="4" t="str">
        <f>IF($C2495="","",_xlfn.XLOOKUP($C2495,Order!$C:$C,Order!$H:$H,"",0,1))</f>
        <v/>
      </c>
      <c r="I2495" s="36" t="str">
        <f>IF($C2495="","",_xlfn.XLOOKUP($C2495,Order!$C:$C,Order!#REF!,"",0,1))</f>
        <v/>
      </c>
      <c r="J2495" s="4" t="str">
        <f>IF(C2495="","",Order!#REF!)</f>
        <v/>
      </c>
      <c r="K2495" s="36" t="str">
        <f>IF($C2495="","",_xlfn.XLOOKUP($C2495,Order!$C:$C,Order!$P:$P,"",0,1))</f>
        <v/>
      </c>
      <c r="L2495" s="4" t="str">
        <f>IF(C2495="","",F2495/1000*H2495*I2495)</f>
        <v/>
      </c>
    </row>
    <row r="2496" spans="2:12" ht="23.25" hidden="1" customHeight="1" x14ac:dyDescent="0.25">
      <c r="B2496" s="4">
        <v>3039</v>
      </c>
      <c r="C2496" s="36" t="str">
        <f>IF(Order!$C$295="","",Order!$C$295)</f>
        <v/>
      </c>
      <c r="D2496" s="36" t="str">
        <f>IF($C2496="","",_xlfn.XLOOKUP($C2496,Order!$C:$C,Order!$D:$D,"",0,1))</f>
        <v/>
      </c>
      <c r="E2496" s="4" t="str">
        <f>IF($C2496="","",_xlfn.XLOOKUP($C2496,Order!$C:$C,Order!$E:$E,"",0,1))</f>
        <v/>
      </c>
      <c r="F2496" s="4" t="str">
        <f>IF($C2496="","",_xlfn.XLOOKUP($C2496,Order!$C:$C,Order!$F:$F,"",0,1))</f>
        <v/>
      </c>
      <c r="G2496" s="4" t="str">
        <f>IF($C2496="","",_xlfn.XLOOKUP($C2496,Order!$C:$C,Order!$G:$G,"",0,1))</f>
        <v/>
      </c>
      <c r="H2496" s="4" t="str">
        <f>IF($C2496="","",_xlfn.XLOOKUP($C2496,Order!$C:$C,Order!$H:$H,"",0,1))</f>
        <v/>
      </c>
      <c r="I2496" s="36" t="str">
        <f>IF($C2496="","",_xlfn.XLOOKUP($C2496,Order!$C:$C,Order!#REF!,"",0,1))</f>
        <v/>
      </c>
      <c r="J2496" s="4" t="str">
        <f>IF(C2496="","",Order!#REF!)</f>
        <v/>
      </c>
      <c r="K2496" s="36" t="str">
        <f>IF($C2496="","",_xlfn.XLOOKUP($C2496,Order!$C:$C,Order!$P:$P,"",0,1))</f>
        <v/>
      </c>
      <c r="L2496" s="4" t="str">
        <f t="shared" ref="L2496:L2514" si="41">IF(C2496="","",F2496/1000*H2496*I2496)</f>
        <v/>
      </c>
    </row>
    <row r="2497" spans="2:12" ht="23.25" hidden="1" customHeight="1" x14ac:dyDescent="0.25">
      <c r="B2497" s="4">
        <v>3040</v>
      </c>
      <c r="C2497" s="36" t="str">
        <f>IF(Order!$C$296="","",Order!$C$296)</f>
        <v/>
      </c>
      <c r="D2497" s="36" t="str">
        <f>IF($C2497="","",_xlfn.XLOOKUP($C2497,Order!$C:$C,Order!$D:$D,"",0,1))</f>
        <v/>
      </c>
      <c r="E2497" s="4" t="str">
        <f>IF($C2497="","",_xlfn.XLOOKUP($C2497,Order!$C:$C,Order!$E:$E,"",0,1))</f>
        <v/>
      </c>
      <c r="F2497" s="4" t="str">
        <f>IF($C2497="","",_xlfn.XLOOKUP($C2497,Order!$C:$C,Order!$F:$F,"",0,1))</f>
        <v/>
      </c>
      <c r="G2497" s="4" t="str">
        <f>IF($C2497="","",_xlfn.XLOOKUP($C2497,Order!$C:$C,Order!$G:$G,"",0,1))</f>
        <v/>
      </c>
      <c r="H2497" s="4" t="str">
        <f>IF($C2497="","",_xlfn.XLOOKUP($C2497,Order!$C:$C,Order!$H:$H,"",0,1))</f>
        <v/>
      </c>
      <c r="I2497" s="36" t="str">
        <f>IF($C2497="","",_xlfn.XLOOKUP($C2497,Order!$C:$C,Order!#REF!,"",0,1))</f>
        <v/>
      </c>
      <c r="J2497" s="4" t="str">
        <f>IF(C2497="","",Order!#REF!)</f>
        <v/>
      </c>
      <c r="K2497" s="36" t="str">
        <f>IF($C2497="","",_xlfn.XLOOKUP($C2497,Order!$C:$C,Order!$P:$P,"",0,1))</f>
        <v/>
      </c>
      <c r="L2497" s="4" t="str">
        <f t="shared" si="41"/>
        <v/>
      </c>
    </row>
    <row r="2498" spans="2:12" ht="23.25" hidden="1" customHeight="1" x14ac:dyDescent="0.25">
      <c r="B2498" s="4">
        <v>3041</v>
      </c>
      <c r="C2498" s="36" t="str">
        <f>IF(Order!$C$297="","",Order!$C$297)</f>
        <v/>
      </c>
      <c r="D2498" s="36" t="str">
        <f>IF($C2498="","",_xlfn.XLOOKUP($C2498,Order!$C:$C,Order!$D:$D,"",0,1))</f>
        <v/>
      </c>
      <c r="E2498" s="4" t="str">
        <f>IF($C2498="","",_xlfn.XLOOKUP($C2498,Order!$C:$C,Order!$E:$E,"",0,1))</f>
        <v/>
      </c>
      <c r="F2498" s="4" t="str">
        <f>IF($C2498="","",_xlfn.XLOOKUP($C2498,Order!$C:$C,Order!$F:$F,"",0,1))</f>
        <v/>
      </c>
      <c r="G2498" s="4" t="str">
        <f>IF($C2498="","",_xlfn.XLOOKUP($C2498,Order!$C:$C,Order!$G:$G,"",0,1))</f>
        <v/>
      </c>
      <c r="H2498" s="4" t="str">
        <f>IF($C2498="","",_xlfn.XLOOKUP($C2498,Order!$C:$C,Order!$H:$H,"",0,1))</f>
        <v/>
      </c>
      <c r="I2498" s="36" t="str">
        <f>IF($C2498="","",_xlfn.XLOOKUP($C2498,Order!$C:$C,Order!#REF!,"",0,1))</f>
        <v/>
      </c>
      <c r="J2498" s="4" t="str">
        <f>IF(C2498="","",Order!#REF!)</f>
        <v/>
      </c>
      <c r="K2498" s="36" t="str">
        <f>IF($C2498="","",_xlfn.XLOOKUP($C2498,Order!$C:$C,Order!$P:$P,"",0,1))</f>
        <v/>
      </c>
      <c r="L2498" s="4" t="str">
        <f t="shared" si="41"/>
        <v/>
      </c>
    </row>
    <row r="2499" spans="2:12" ht="23.25" hidden="1" customHeight="1" x14ac:dyDescent="0.25">
      <c r="B2499" s="4">
        <v>3042</v>
      </c>
      <c r="C2499" s="36" t="str">
        <f>IF(Order!$C$298="","",Order!$C$298)</f>
        <v/>
      </c>
      <c r="D2499" s="36" t="str">
        <f>IF($C2499="","",_xlfn.XLOOKUP($C2499,Order!$C:$C,Order!$D:$D,"",0,1))</f>
        <v/>
      </c>
      <c r="E2499" s="4" t="str">
        <f>IF($C2499="","",_xlfn.XLOOKUP($C2499,Order!$C:$C,Order!$E:$E,"",0,1))</f>
        <v/>
      </c>
      <c r="F2499" s="4" t="str">
        <f>IF($C2499="","",_xlfn.XLOOKUP($C2499,Order!$C:$C,Order!$F:$F,"",0,1))</f>
        <v/>
      </c>
      <c r="G2499" s="4" t="str">
        <f>IF($C2499="","",_xlfn.XLOOKUP($C2499,Order!$C:$C,Order!$G:$G,"",0,1))</f>
        <v/>
      </c>
      <c r="H2499" s="4" t="str">
        <f>IF($C2499="","",_xlfn.XLOOKUP($C2499,Order!$C:$C,Order!$H:$H,"",0,1))</f>
        <v/>
      </c>
      <c r="I2499" s="36" t="str">
        <f>IF($C2499="","",_xlfn.XLOOKUP($C2499,Order!$C:$C,Order!#REF!,"",0,1))</f>
        <v/>
      </c>
      <c r="J2499" s="4" t="str">
        <f>IF(C2499="","",Order!#REF!)</f>
        <v/>
      </c>
      <c r="K2499" s="36" t="str">
        <f>IF($C2499="","",_xlfn.XLOOKUP($C2499,Order!$C:$C,Order!$P:$P,"",0,1))</f>
        <v/>
      </c>
      <c r="L2499" s="4" t="str">
        <f t="shared" si="41"/>
        <v/>
      </c>
    </row>
    <row r="2500" spans="2:12" ht="23.25" hidden="1" customHeight="1" x14ac:dyDescent="0.25">
      <c r="B2500" s="4">
        <v>3043</v>
      </c>
      <c r="C2500" s="36" t="str">
        <f>IF(Order!$C$299="","",Order!$C$299)</f>
        <v/>
      </c>
      <c r="D2500" s="36" t="str">
        <f>IF($C2500="","",_xlfn.XLOOKUP($C2500,Order!$C:$C,Order!$D:$D,"",0,1))</f>
        <v/>
      </c>
      <c r="E2500" s="4" t="str">
        <f>IF($C2500="","",_xlfn.XLOOKUP($C2500,Order!$C:$C,Order!$E:$E,"",0,1))</f>
        <v/>
      </c>
      <c r="F2500" s="4" t="str">
        <f>IF($C2500="","",_xlfn.XLOOKUP($C2500,Order!$C:$C,Order!$F:$F,"",0,1))</f>
        <v/>
      </c>
      <c r="G2500" s="4" t="str">
        <f>IF($C2500="","",_xlfn.XLOOKUP($C2500,Order!$C:$C,Order!$G:$G,"",0,1))</f>
        <v/>
      </c>
      <c r="H2500" s="4" t="str">
        <f>IF($C2500="","",_xlfn.XLOOKUP($C2500,Order!$C:$C,Order!$H:$H,"",0,1))</f>
        <v/>
      </c>
      <c r="I2500" s="36" t="str">
        <f>IF($C2500="","",_xlfn.XLOOKUP($C2500,Order!$C:$C,Order!#REF!,"",0,1))</f>
        <v/>
      </c>
      <c r="J2500" s="4" t="str">
        <f>IF(C2500="","",Order!#REF!)</f>
        <v/>
      </c>
      <c r="K2500" s="36" t="str">
        <f>IF($C2500="","",_xlfn.XLOOKUP($C2500,Order!$C:$C,Order!$P:$P,"",0,1))</f>
        <v/>
      </c>
      <c r="L2500" s="4" t="str">
        <f t="shared" si="41"/>
        <v/>
      </c>
    </row>
    <row r="2501" spans="2:12" ht="23.25" hidden="1" customHeight="1" x14ac:dyDescent="0.25">
      <c r="B2501" s="4">
        <v>3044</v>
      </c>
      <c r="C2501" s="36" t="str">
        <f>IF(Order!$C$300="","",Order!$C$300)</f>
        <v/>
      </c>
      <c r="D2501" s="36" t="str">
        <f>IF($C2501="","",_xlfn.XLOOKUP($C2501,Order!$C:$C,Order!$D:$D,"",0,1))</f>
        <v/>
      </c>
      <c r="E2501" s="4" t="str">
        <f>IF($C2501="","",_xlfn.XLOOKUP($C2501,Order!$C:$C,Order!$E:$E,"",0,1))</f>
        <v/>
      </c>
      <c r="F2501" s="4" t="str">
        <f>IF($C2501="","",_xlfn.XLOOKUP($C2501,Order!$C:$C,Order!$F:$F,"",0,1))</f>
        <v/>
      </c>
      <c r="G2501" s="4" t="str">
        <f>IF($C2501="","",_xlfn.XLOOKUP($C2501,Order!$C:$C,Order!$G:$G,"",0,1))</f>
        <v/>
      </c>
      <c r="H2501" s="4" t="str">
        <f>IF($C2501="","",_xlfn.XLOOKUP($C2501,Order!$C:$C,Order!$H:$H,"",0,1))</f>
        <v/>
      </c>
      <c r="I2501" s="36" t="str">
        <f>IF($C2501="","",_xlfn.XLOOKUP($C2501,Order!$C:$C,Order!#REF!,"",0,1))</f>
        <v/>
      </c>
      <c r="J2501" s="4" t="str">
        <f>IF(C2501="","",Order!#REF!)</f>
        <v/>
      </c>
      <c r="K2501" s="36" t="str">
        <f>IF($C2501="","",_xlfn.XLOOKUP($C2501,Order!$C:$C,Order!$P:$P,"",0,1))</f>
        <v/>
      </c>
      <c r="L2501" s="4" t="str">
        <f t="shared" si="41"/>
        <v/>
      </c>
    </row>
    <row r="2502" spans="2:12" ht="23.25" hidden="1" customHeight="1" x14ac:dyDescent="0.25">
      <c r="B2502" s="4">
        <v>3045</v>
      </c>
      <c r="C2502" s="36" t="str">
        <f>IF(Order!$C$301="","",Order!$C$301)</f>
        <v/>
      </c>
      <c r="D2502" s="36" t="str">
        <f>IF($C2502="","",_xlfn.XLOOKUP($C2502,Order!$C:$C,Order!$D:$D,"",0,1))</f>
        <v/>
      </c>
      <c r="E2502" s="4" t="str">
        <f>IF($C2502="","",_xlfn.XLOOKUP($C2502,Order!$C:$C,Order!$E:$E,"",0,1))</f>
        <v/>
      </c>
      <c r="F2502" s="4" t="str">
        <f>IF($C2502="","",_xlfn.XLOOKUP($C2502,Order!$C:$C,Order!$F:$F,"",0,1))</f>
        <v/>
      </c>
      <c r="G2502" s="4" t="str">
        <f>IF($C2502="","",_xlfn.XLOOKUP($C2502,Order!$C:$C,Order!$G:$G,"",0,1))</f>
        <v/>
      </c>
      <c r="H2502" s="4" t="str">
        <f>IF($C2502="","",_xlfn.XLOOKUP($C2502,Order!$C:$C,Order!$H:$H,"",0,1))</f>
        <v/>
      </c>
      <c r="I2502" s="36" t="str">
        <f>IF($C2502="","",_xlfn.XLOOKUP($C2502,Order!$C:$C,Order!#REF!,"",0,1))</f>
        <v/>
      </c>
      <c r="J2502" s="4" t="str">
        <f>IF(C2502="","",Order!#REF!)</f>
        <v/>
      </c>
      <c r="K2502" s="36" t="str">
        <f>IF($C2502="","",_xlfn.XLOOKUP($C2502,Order!$C:$C,Order!$P:$P,"",0,1))</f>
        <v/>
      </c>
      <c r="L2502" s="4" t="str">
        <f t="shared" si="41"/>
        <v/>
      </c>
    </row>
    <row r="2503" spans="2:12" ht="23.25" hidden="1" customHeight="1" x14ac:dyDescent="0.25">
      <c r="B2503" s="4">
        <v>3046</v>
      </c>
      <c r="C2503" s="36" t="str">
        <f>IF(Order!$C$302="","",Order!$C$302)</f>
        <v/>
      </c>
      <c r="D2503" s="36" t="str">
        <f>IF($C2503="","",_xlfn.XLOOKUP($C2503,Order!$C:$C,Order!$D:$D,"",0,1))</f>
        <v/>
      </c>
      <c r="E2503" s="4" t="str">
        <f>IF($C2503="","",_xlfn.XLOOKUP($C2503,Order!$C:$C,Order!$E:$E,"",0,1))</f>
        <v/>
      </c>
      <c r="F2503" s="4" t="str">
        <f>IF($C2503="","",_xlfn.XLOOKUP($C2503,Order!$C:$C,Order!$F:$F,"",0,1))</f>
        <v/>
      </c>
      <c r="G2503" s="4" t="str">
        <f>IF($C2503="","",_xlfn.XLOOKUP($C2503,Order!$C:$C,Order!$G:$G,"",0,1))</f>
        <v/>
      </c>
      <c r="H2503" s="4" t="str">
        <f>IF($C2503="","",_xlfn.XLOOKUP($C2503,Order!$C:$C,Order!$H:$H,"",0,1))</f>
        <v/>
      </c>
      <c r="I2503" s="36" t="str">
        <f>IF($C2503="","",_xlfn.XLOOKUP($C2503,Order!$C:$C,Order!#REF!,"",0,1))</f>
        <v/>
      </c>
      <c r="J2503" s="4" t="str">
        <f>IF(C2503="","",Order!#REF!)</f>
        <v/>
      </c>
      <c r="K2503" s="36" t="str">
        <f>IF($C2503="","",_xlfn.XLOOKUP($C2503,Order!$C:$C,Order!$P:$P,"",0,1))</f>
        <v/>
      </c>
      <c r="L2503" s="4" t="str">
        <f t="shared" si="41"/>
        <v/>
      </c>
    </row>
    <row r="2504" spans="2:12" ht="23.25" hidden="1" customHeight="1" x14ac:dyDescent="0.25">
      <c r="B2504" s="4">
        <v>3047</v>
      </c>
      <c r="C2504" s="36" t="str">
        <f>IF(Order!$C$303="","",Order!$C$303)</f>
        <v/>
      </c>
      <c r="D2504" s="36" t="str">
        <f>IF($C2504="","",_xlfn.XLOOKUP($C2504,Order!$C:$C,Order!$D:$D,"",0,1))</f>
        <v/>
      </c>
      <c r="E2504" s="4" t="str">
        <f>IF($C2504="","",_xlfn.XLOOKUP($C2504,Order!$C:$C,Order!$E:$E,"",0,1))</f>
        <v/>
      </c>
      <c r="F2504" s="4" t="str">
        <f>IF($C2504="","",_xlfn.XLOOKUP($C2504,Order!$C:$C,Order!$F:$F,"",0,1))</f>
        <v/>
      </c>
      <c r="G2504" s="4" t="str">
        <f>IF($C2504="","",_xlfn.XLOOKUP($C2504,Order!$C:$C,Order!$G:$G,"",0,1))</f>
        <v/>
      </c>
      <c r="H2504" s="4" t="str">
        <f>IF($C2504="","",_xlfn.XLOOKUP($C2504,Order!$C:$C,Order!$H:$H,"",0,1))</f>
        <v/>
      </c>
      <c r="I2504" s="36" t="str">
        <f>IF($C2504="","",_xlfn.XLOOKUP($C2504,Order!$C:$C,Order!#REF!,"",0,1))</f>
        <v/>
      </c>
      <c r="J2504" s="4" t="str">
        <f>IF(C2504="","",Order!#REF!)</f>
        <v/>
      </c>
      <c r="K2504" s="36" t="str">
        <f>IF($C2504="","",_xlfn.XLOOKUP($C2504,Order!$C:$C,Order!$P:$P,"",0,1))</f>
        <v/>
      </c>
      <c r="L2504" s="4" t="str">
        <f t="shared" si="41"/>
        <v/>
      </c>
    </row>
    <row r="2505" spans="2:12" ht="23.25" hidden="1" customHeight="1" x14ac:dyDescent="0.25">
      <c r="B2505" s="4">
        <v>3048</v>
      </c>
      <c r="C2505" s="36" t="str">
        <f>IF(Order!$C$304="","",Order!$C$304)</f>
        <v/>
      </c>
      <c r="D2505" s="36" t="str">
        <f>IF($C2505="","",_xlfn.XLOOKUP($C2505,Order!$C:$C,Order!$D:$D,"",0,1))</f>
        <v/>
      </c>
      <c r="E2505" s="4" t="str">
        <f>IF($C2505="","",_xlfn.XLOOKUP($C2505,Order!$C:$C,Order!$E:$E,"",0,1))</f>
        <v/>
      </c>
      <c r="F2505" s="4" t="str">
        <f>IF($C2505="","",_xlfn.XLOOKUP($C2505,Order!$C:$C,Order!$F:$F,"",0,1))</f>
        <v/>
      </c>
      <c r="G2505" s="4" t="str">
        <f>IF($C2505="","",_xlfn.XLOOKUP($C2505,Order!$C:$C,Order!$G:$G,"",0,1))</f>
        <v/>
      </c>
      <c r="H2505" s="4" t="str">
        <f>IF($C2505="","",_xlfn.XLOOKUP($C2505,Order!$C:$C,Order!$H:$H,"",0,1))</f>
        <v/>
      </c>
      <c r="I2505" s="36" t="str">
        <f>IF($C2505="","",_xlfn.XLOOKUP($C2505,Order!$C:$C,Order!#REF!,"",0,1))</f>
        <v/>
      </c>
      <c r="J2505" s="4" t="str">
        <f>IF(C2505="","",Order!#REF!)</f>
        <v/>
      </c>
      <c r="K2505" s="36" t="str">
        <f>IF($C2505="","",_xlfn.XLOOKUP($C2505,Order!$C:$C,Order!$P:$P,"",0,1))</f>
        <v/>
      </c>
      <c r="L2505" s="4" t="str">
        <f t="shared" si="41"/>
        <v/>
      </c>
    </row>
    <row r="2506" spans="2:12" ht="23.25" hidden="1" customHeight="1" x14ac:dyDescent="0.25">
      <c r="B2506" s="4">
        <v>3049</v>
      </c>
      <c r="C2506" s="36" t="str">
        <f>IF(Order!$C$305="","",Order!$C$305)</f>
        <v/>
      </c>
      <c r="D2506" s="36" t="str">
        <f>IF($C2506="","",_xlfn.XLOOKUP($C2506,Order!$C:$C,Order!$D:$D,"",0,1))</f>
        <v/>
      </c>
      <c r="E2506" s="4" t="str">
        <f>IF($C2506="","",_xlfn.XLOOKUP($C2506,Order!$C:$C,Order!$E:$E,"",0,1))</f>
        <v/>
      </c>
      <c r="F2506" s="4" t="str">
        <f>IF($C2506="","",_xlfn.XLOOKUP($C2506,Order!$C:$C,Order!$F:$F,"",0,1))</f>
        <v/>
      </c>
      <c r="G2506" s="4" t="str">
        <f>IF($C2506="","",_xlfn.XLOOKUP($C2506,Order!$C:$C,Order!$G:$G,"",0,1))</f>
        <v/>
      </c>
      <c r="H2506" s="4" t="str">
        <f>IF($C2506="","",_xlfn.XLOOKUP($C2506,Order!$C:$C,Order!$H:$H,"",0,1))</f>
        <v/>
      </c>
      <c r="I2506" s="36" t="str">
        <f>IF($C2506="","",_xlfn.XLOOKUP($C2506,Order!$C:$C,Order!#REF!,"",0,1))</f>
        <v/>
      </c>
      <c r="J2506" s="4" t="str">
        <f>IF(C2506="","",Order!#REF!)</f>
        <v/>
      </c>
      <c r="K2506" s="36" t="str">
        <f>IF($C2506="","",_xlfn.XLOOKUP($C2506,Order!$C:$C,Order!$P:$P,"",0,1))</f>
        <v/>
      </c>
      <c r="L2506" s="4" t="str">
        <f t="shared" si="41"/>
        <v/>
      </c>
    </row>
    <row r="2507" spans="2:12" ht="23.25" hidden="1" customHeight="1" x14ac:dyDescent="0.25">
      <c r="B2507" s="4">
        <v>3063</v>
      </c>
      <c r="C2507" s="36" t="str">
        <f>IF(Order!$C$319="","",Order!$C$319)</f>
        <v/>
      </c>
      <c r="D2507" s="36" t="str">
        <f>IF($C2507="","",_xlfn.XLOOKUP($C2507,Order!$C:$C,Order!$D:$D,"",0,1))</f>
        <v/>
      </c>
      <c r="E2507" s="4" t="str">
        <f>IF($C2507="","",_xlfn.XLOOKUP($C2507,Order!$C:$C,Order!$E:$E,"",0,1))</f>
        <v/>
      </c>
      <c r="F2507" s="4" t="str">
        <f>IF($C2507="","",_xlfn.XLOOKUP($C2507,Order!$C:$C,Order!$F:$F,"",0,1))</f>
        <v/>
      </c>
      <c r="G2507" s="4" t="str">
        <f>IF($C2507="","",_xlfn.XLOOKUP($C2507,Order!$C:$C,Order!$G:$G,"",0,1))</f>
        <v/>
      </c>
      <c r="H2507" s="4" t="str">
        <f>IF($C2507="","",_xlfn.XLOOKUP($C2507,Order!$C:$C,Order!$H:$H,"",0,1))</f>
        <v/>
      </c>
      <c r="I2507" s="36" t="str">
        <f>IF($C2507="","",_xlfn.XLOOKUP($C2507,Order!$C:$C,Order!#REF!,"",0,1))</f>
        <v/>
      </c>
      <c r="J2507" s="4" t="str">
        <f>IF(C2507="","",Order!#REF!)</f>
        <v/>
      </c>
      <c r="K2507" s="36" t="str">
        <f>IF($C2507="","",_xlfn.XLOOKUP($C2507,Order!$C:$C,Order!$P:$P,"",0,1))</f>
        <v/>
      </c>
      <c r="L2507" s="4" t="str">
        <f t="shared" si="41"/>
        <v/>
      </c>
    </row>
    <row r="2508" spans="2:12" ht="23.25" hidden="1" customHeight="1" x14ac:dyDescent="0.25">
      <c r="B2508" s="4">
        <v>3064</v>
      </c>
      <c r="C2508" s="36" t="str">
        <f>IF(Order!$C$320="","",Order!$C$320)</f>
        <v/>
      </c>
      <c r="D2508" s="36" t="str">
        <f>IF($C2508="","",_xlfn.XLOOKUP($C2508,Order!$C:$C,Order!$D:$D,"",0,1))</f>
        <v/>
      </c>
      <c r="E2508" s="4" t="str">
        <f>IF($C2508="","",_xlfn.XLOOKUP($C2508,Order!$C:$C,Order!$E:$E,"",0,1))</f>
        <v/>
      </c>
      <c r="F2508" s="4" t="str">
        <f>IF($C2508="","",_xlfn.XLOOKUP($C2508,Order!$C:$C,Order!$F:$F,"",0,1))</f>
        <v/>
      </c>
      <c r="G2508" s="4" t="str">
        <f>IF($C2508="","",_xlfn.XLOOKUP($C2508,Order!$C:$C,Order!$G:$G,"",0,1))</f>
        <v/>
      </c>
      <c r="H2508" s="4" t="str">
        <f>IF($C2508="","",_xlfn.XLOOKUP($C2508,Order!$C:$C,Order!$H:$H,"",0,1))</f>
        <v/>
      </c>
      <c r="I2508" s="36" t="str">
        <f>IF($C2508="","",_xlfn.XLOOKUP($C2508,Order!$C:$C,Order!#REF!,"",0,1))</f>
        <v/>
      </c>
      <c r="J2508" s="4" t="str">
        <f>IF(C2508="","",Order!#REF!)</f>
        <v/>
      </c>
      <c r="K2508" s="36" t="str">
        <f>IF($C2508="","",_xlfn.XLOOKUP($C2508,Order!$C:$C,Order!$P:$P,"",0,1))</f>
        <v/>
      </c>
      <c r="L2508" s="4" t="str">
        <f t="shared" si="41"/>
        <v/>
      </c>
    </row>
    <row r="2509" spans="2:12" ht="23.25" hidden="1" customHeight="1" x14ac:dyDescent="0.25">
      <c r="B2509" s="4">
        <v>3065</v>
      </c>
      <c r="C2509" s="36" t="str">
        <f>IF(Order!$C$321="","",Order!$C$321)</f>
        <v/>
      </c>
      <c r="D2509" s="36" t="str">
        <f>IF($C2509="","",_xlfn.XLOOKUP($C2509,Order!$C:$C,Order!$D:$D,"",0,1))</f>
        <v/>
      </c>
      <c r="E2509" s="4" t="str">
        <f>IF($C2509="","",_xlfn.XLOOKUP($C2509,Order!$C:$C,Order!$E:$E,"",0,1))</f>
        <v/>
      </c>
      <c r="F2509" s="4" t="str">
        <f>IF($C2509="","",_xlfn.XLOOKUP($C2509,Order!$C:$C,Order!$F:$F,"",0,1))</f>
        <v/>
      </c>
      <c r="G2509" s="4" t="str">
        <f>IF($C2509="","",_xlfn.XLOOKUP($C2509,Order!$C:$C,Order!$G:$G,"",0,1))</f>
        <v/>
      </c>
      <c r="H2509" s="4" t="str">
        <f>IF($C2509="","",_xlfn.XLOOKUP($C2509,Order!$C:$C,Order!$H:$H,"",0,1))</f>
        <v/>
      </c>
      <c r="I2509" s="36" t="str">
        <f>IF($C2509="","",_xlfn.XLOOKUP($C2509,Order!$C:$C,Order!#REF!,"",0,1))</f>
        <v/>
      </c>
      <c r="J2509" s="4" t="str">
        <f>IF(C2509="","",Order!#REF!)</f>
        <v/>
      </c>
      <c r="K2509" s="36" t="str">
        <f>IF($C2509="","",_xlfn.XLOOKUP($C2509,Order!$C:$C,Order!$P:$P,"",0,1))</f>
        <v/>
      </c>
      <c r="L2509" s="4" t="str">
        <f t="shared" si="41"/>
        <v/>
      </c>
    </row>
    <row r="2510" spans="2:12" ht="23.25" hidden="1" customHeight="1" x14ac:dyDescent="0.25">
      <c r="B2510" s="4">
        <v>3066</v>
      </c>
      <c r="C2510" s="36" t="str">
        <f>IF(Order!$C$322="","",Order!$C$322)</f>
        <v/>
      </c>
      <c r="D2510" s="36" t="str">
        <f>IF($C2510="","",_xlfn.XLOOKUP($C2510,Order!$C:$C,Order!$D:$D,"",0,1))</f>
        <v/>
      </c>
      <c r="E2510" s="4" t="str">
        <f>IF($C2510="","",_xlfn.XLOOKUP($C2510,Order!$C:$C,Order!$E:$E,"",0,1))</f>
        <v/>
      </c>
      <c r="F2510" s="4" t="str">
        <f>IF($C2510="","",_xlfn.XLOOKUP($C2510,Order!$C:$C,Order!$F:$F,"",0,1))</f>
        <v/>
      </c>
      <c r="G2510" s="4" t="str">
        <f>IF($C2510="","",_xlfn.XLOOKUP($C2510,Order!$C:$C,Order!$G:$G,"",0,1))</f>
        <v/>
      </c>
      <c r="H2510" s="4" t="str">
        <f>IF($C2510="","",_xlfn.XLOOKUP($C2510,Order!$C:$C,Order!$H:$H,"",0,1))</f>
        <v/>
      </c>
      <c r="I2510" s="36" t="str">
        <f>IF($C2510="","",_xlfn.XLOOKUP($C2510,Order!$C:$C,Order!#REF!,"",0,1))</f>
        <v/>
      </c>
      <c r="J2510" s="4" t="str">
        <f>IF(C2510="","",Order!#REF!)</f>
        <v/>
      </c>
      <c r="K2510" s="36" t="str">
        <f>IF($C2510="","",_xlfn.XLOOKUP($C2510,Order!$C:$C,Order!$P:$P,"",0,1))</f>
        <v/>
      </c>
      <c r="L2510" s="4" t="str">
        <f t="shared" si="41"/>
        <v/>
      </c>
    </row>
    <row r="2511" spans="2:12" ht="23.25" hidden="1" customHeight="1" x14ac:dyDescent="0.25">
      <c r="B2511" s="4">
        <v>3067</v>
      </c>
      <c r="C2511" s="36" t="str">
        <f>IF(Order!$C$323="","",Order!$C$323)</f>
        <v/>
      </c>
      <c r="D2511" s="36" t="str">
        <f>IF($C2511="","",_xlfn.XLOOKUP($C2511,Order!$C:$C,Order!$D:$D,"",0,1))</f>
        <v/>
      </c>
      <c r="E2511" s="4" t="str">
        <f>IF($C2511="","",_xlfn.XLOOKUP($C2511,Order!$C:$C,Order!$E:$E,"",0,1))</f>
        <v/>
      </c>
      <c r="F2511" s="4" t="str">
        <f>IF($C2511="","",_xlfn.XLOOKUP($C2511,Order!$C:$C,Order!$F:$F,"",0,1))</f>
        <v/>
      </c>
      <c r="G2511" s="4" t="str">
        <f>IF($C2511="","",_xlfn.XLOOKUP($C2511,Order!$C:$C,Order!$G:$G,"",0,1))</f>
        <v/>
      </c>
      <c r="H2511" s="4" t="str">
        <f>IF($C2511="","",_xlfn.XLOOKUP($C2511,Order!$C:$C,Order!$H:$H,"",0,1))</f>
        <v/>
      </c>
      <c r="I2511" s="36" t="str">
        <f>IF($C2511="","",_xlfn.XLOOKUP($C2511,Order!$C:$C,Order!#REF!,"",0,1))</f>
        <v/>
      </c>
      <c r="J2511" s="4" t="str">
        <f>IF(C2511="","",Order!#REF!)</f>
        <v/>
      </c>
      <c r="K2511" s="36" t="str">
        <f>IF($C2511="","",_xlfn.XLOOKUP($C2511,Order!$C:$C,Order!$P:$P,"",0,1))</f>
        <v/>
      </c>
      <c r="L2511" s="4" t="str">
        <f t="shared" si="41"/>
        <v/>
      </c>
    </row>
    <row r="2512" spans="2:12" ht="23.25" hidden="1" customHeight="1" x14ac:dyDescent="0.25">
      <c r="B2512" s="4">
        <v>3071</v>
      </c>
      <c r="C2512" s="36" t="str">
        <f>IF(Order!$C$327="","",Order!$C$327)</f>
        <v/>
      </c>
      <c r="D2512" s="36" t="str">
        <f>IF($C2512="","",_xlfn.XLOOKUP($C2512,Order!$C:$C,Order!$D:$D,"",0,1))</f>
        <v/>
      </c>
      <c r="E2512" s="4" t="str">
        <f>IF($C2512="","",_xlfn.XLOOKUP($C2512,Order!$C:$C,Order!$E:$E,"",0,1))</f>
        <v/>
      </c>
      <c r="F2512" s="4" t="str">
        <f>IF($C2512="","",_xlfn.XLOOKUP($C2512,Order!$C:$C,Order!$F:$F,"",0,1))</f>
        <v/>
      </c>
      <c r="G2512" s="4" t="str">
        <f>IF($C2512="","",_xlfn.XLOOKUP($C2512,Order!$C:$C,Order!$G:$G,"",0,1))</f>
        <v/>
      </c>
      <c r="H2512" s="4" t="str">
        <f>IF($C2512="","",_xlfn.XLOOKUP($C2512,Order!$C:$C,Order!$H:$H,"",0,1))</f>
        <v/>
      </c>
      <c r="I2512" s="36" t="str">
        <f>IF($C2512="","",_xlfn.XLOOKUP($C2512,Order!$C:$C,Order!#REF!,"",0,1))</f>
        <v/>
      </c>
      <c r="J2512" s="4" t="str">
        <f>IF(C2512="","",Order!#REF!)</f>
        <v/>
      </c>
      <c r="K2512" s="36" t="str">
        <f>IF($C2512="","",_xlfn.XLOOKUP($C2512,Order!$C:$C,Order!$P:$P,"",0,1))</f>
        <v/>
      </c>
      <c r="L2512" s="4" t="str">
        <f t="shared" si="41"/>
        <v/>
      </c>
    </row>
    <row r="2513" spans="2:12" ht="23.25" hidden="1" customHeight="1" x14ac:dyDescent="0.25">
      <c r="B2513" s="4">
        <v>3072</v>
      </c>
      <c r="C2513" s="36" t="str">
        <f>IF(Order!$C$328="","",Order!$C$328)</f>
        <v/>
      </c>
      <c r="D2513" s="36" t="str">
        <f>IF($C2513="","",_xlfn.XLOOKUP($C2513,Order!$C:$C,Order!$D:$D,"",0,1))</f>
        <v/>
      </c>
      <c r="E2513" s="4" t="str">
        <f>IF($C2513="","",_xlfn.XLOOKUP($C2513,Order!$C:$C,Order!$E:$E,"",0,1))</f>
        <v/>
      </c>
      <c r="F2513" s="4" t="str">
        <f>IF($C2513="","",_xlfn.XLOOKUP($C2513,Order!$C:$C,Order!$F:$F,"",0,1))</f>
        <v/>
      </c>
      <c r="G2513" s="4" t="str">
        <f>IF($C2513="","",_xlfn.XLOOKUP($C2513,Order!$C:$C,Order!$G:$G,"",0,1))</f>
        <v/>
      </c>
      <c r="H2513" s="4" t="str">
        <f>IF($C2513="","",_xlfn.XLOOKUP($C2513,Order!$C:$C,Order!$H:$H,"",0,1))</f>
        <v/>
      </c>
      <c r="I2513" s="36" t="str">
        <f>IF($C2513="","",_xlfn.XLOOKUP($C2513,Order!$C:$C,Order!#REF!,"",0,1))</f>
        <v/>
      </c>
      <c r="J2513" s="4" t="str">
        <f>IF(C2513="","",Order!#REF!)</f>
        <v/>
      </c>
      <c r="K2513" s="36" t="str">
        <f>IF($C2513="","",_xlfn.XLOOKUP($C2513,Order!$C:$C,Order!$P:$P,"",0,1))</f>
        <v/>
      </c>
      <c r="L2513" s="4" t="str">
        <f t="shared" si="41"/>
        <v/>
      </c>
    </row>
    <row r="2514" spans="2:12" ht="23.25" hidden="1" customHeight="1" x14ac:dyDescent="0.25">
      <c r="B2514" s="4">
        <v>3073</v>
      </c>
      <c r="C2514" s="36" t="str">
        <f>IF(Order!$C$329="","",Order!$C$329)</f>
        <v/>
      </c>
      <c r="D2514" s="36" t="str">
        <f>IF($C2514="","",_xlfn.XLOOKUP($C2514,Order!$C:$C,Order!$D:$D,"",0,1))</f>
        <v/>
      </c>
      <c r="E2514" s="4" t="str">
        <f>IF($C2514="","",_xlfn.XLOOKUP($C2514,Order!$C:$C,Order!$E:$E,"",0,1))</f>
        <v/>
      </c>
      <c r="F2514" s="4" t="str">
        <f>IF($C2514="","",_xlfn.XLOOKUP($C2514,Order!$C:$C,Order!$F:$F,"",0,1))</f>
        <v/>
      </c>
      <c r="G2514" s="4" t="str">
        <f>IF($C2514="","",_xlfn.XLOOKUP($C2514,Order!$C:$C,Order!$G:$G,"",0,1))</f>
        <v/>
      </c>
      <c r="H2514" s="4" t="str">
        <f>IF($C2514="","",_xlfn.XLOOKUP($C2514,Order!$C:$C,Order!$H:$H,"",0,1))</f>
        <v/>
      </c>
      <c r="I2514" s="36" t="str">
        <f>IF($C2514="","",_xlfn.XLOOKUP($C2514,Order!$C:$C,Order!#REF!,"",0,1))</f>
        <v/>
      </c>
      <c r="J2514" s="4" t="str">
        <f>IF(C2514="","",Order!#REF!)</f>
        <v/>
      </c>
      <c r="K2514" s="36" t="str">
        <f>IF($C2514="","",_xlfn.XLOOKUP($C2514,Order!$C:$C,Order!$P:$P,"",0,1))</f>
        <v/>
      </c>
      <c r="L2514" s="4" t="str">
        <f t="shared" si="41"/>
        <v/>
      </c>
    </row>
    <row r="2515" spans="2:12" ht="23.25" hidden="1" customHeight="1" x14ac:dyDescent="0.25">
      <c r="B2515" s="4">
        <v>3074</v>
      </c>
      <c r="C2515" s="36" t="str">
        <f>IF(Order!$C$330="","",Order!$C$330)</f>
        <v/>
      </c>
      <c r="D2515" s="36" t="str">
        <f>IF($C2515="","",_xlfn.XLOOKUP($C2515,Order!$C:$C,Order!$D:$D,"",0,1))</f>
        <v/>
      </c>
      <c r="E2515" s="4" t="str">
        <f>IF($C2515="","",_xlfn.XLOOKUP($C2515,Order!$C:$C,Order!$E:$E,"",0,1))</f>
        <v/>
      </c>
      <c r="F2515" s="4" t="str">
        <f>IF($C2515="","",_xlfn.XLOOKUP($C2515,Order!$C:$C,Order!$F:$F,"",0,1))</f>
        <v/>
      </c>
      <c r="G2515" s="4" t="str">
        <f>IF($C2515="","",_xlfn.XLOOKUP($C2515,Order!$C:$C,Order!$G:$G,"",0,1))</f>
        <v/>
      </c>
      <c r="H2515" s="4" t="str">
        <f>IF($C2515="","",_xlfn.XLOOKUP($C2515,Order!$C:$C,Order!$H:$H,"",0,1))</f>
        <v/>
      </c>
      <c r="I2515" s="36" t="str">
        <f>IF($C2515="","",_xlfn.XLOOKUP($C2515,Order!$C:$C,Order!#REF!,"",0,1))</f>
        <v/>
      </c>
      <c r="J2515" s="4" t="str">
        <f>IF(C2515="","",Order!#REF!)</f>
        <v/>
      </c>
      <c r="K2515" s="36" t="str">
        <f>IF($C2515="","",_xlfn.XLOOKUP($C2515,Order!$C:$C,Order!$P:$P,"",0,1))</f>
        <v/>
      </c>
      <c r="L2515" s="4" t="str">
        <f t="shared" ref="L2515:L2544" si="42">IF(C2515="","",F2515/1000*H2515*I2515)</f>
        <v/>
      </c>
    </row>
    <row r="2516" spans="2:12" ht="23.25" hidden="1" customHeight="1" x14ac:dyDescent="0.25">
      <c r="B2516" s="4">
        <v>3075</v>
      </c>
      <c r="C2516" s="36" t="str">
        <f>IF(Order!$C$331="","",Order!$C$331)</f>
        <v/>
      </c>
      <c r="D2516" s="36" t="str">
        <f>IF($C2516="","",_xlfn.XLOOKUP($C2516,Order!$C:$C,Order!$D:$D,"",0,1))</f>
        <v/>
      </c>
      <c r="E2516" s="4" t="str">
        <f>IF($C2516="","",_xlfn.XLOOKUP($C2516,Order!$C:$C,Order!$E:$E,"",0,1))</f>
        <v/>
      </c>
      <c r="F2516" s="4" t="str">
        <f>IF($C2516="","",_xlfn.XLOOKUP($C2516,Order!$C:$C,Order!$F:$F,"",0,1))</f>
        <v/>
      </c>
      <c r="G2516" s="4" t="str">
        <f>IF($C2516="","",_xlfn.XLOOKUP($C2516,Order!$C:$C,Order!$G:$G,"",0,1))</f>
        <v/>
      </c>
      <c r="H2516" s="4" t="str">
        <f>IF($C2516="","",_xlfn.XLOOKUP($C2516,Order!$C:$C,Order!$H:$H,"",0,1))</f>
        <v/>
      </c>
      <c r="I2516" s="36" t="str">
        <f>IF($C2516="","",_xlfn.XLOOKUP($C2516,Order!$C:$C,Order!#REF!,"",0,1))</f>
        <v/>
      </c>
      <c r="J2516" s="4" t="str">
        <f>IF(C2516="","",Order!#REF!)</f>
        <v/>
      </c>
      <c r="K2516" s="36" t="str">
        <f>IF($C2516="","",_xlfn.XLOOKUP($C2516,Order!$C:$C,Order!$P:$P,"",0,1))</f>
        <v/>
      </c>
      <c r="L2516" s="4" t="str">
        <f t="shared" si="42"/>
        <v/>
      </c>
    </row>
    <row r="2517" spans="2:12" ht="23.25" hidden="1" customHeight="1" x14ac:dyDescent="0.25">
      <c r="B2517" s="4">
        <v>3076</v>
      </c>
      <c r="C2517" s="36" t="str">
        <f>IF(Order!$C$332="","",Order!$C$332)</f>
        <v/>
      </c>
      <c r="D2517" s="36" t="str">
        <f>IF($C2517="","",_xlfn.XLOOKUP($C2517,Order!$C:$C,Order!$D:$D,"",0,1))</f>
        <v/>
      </c>
      <c r="E2517" s="4" t="str">
        <f>IF($C2517="","",_xlfn.XLOOKUP($C2517,Order!$C:$C,Order!$E:$E,"",0,1))</f>
        <v/>
      </c>
      <c r="F2517" s="4" t="str">
        <f>IF($C2517="","",_xlfn.XLOOKUP($C2517,Order!$C:$C,Order!$F:$F,"",0,1))</f>
        <v/>
      </c>
      <c r="G2517" s="4" t="str">
        <f>IF($C2517="","",_xlfn.XLOOKUP($C2517,Order!$C:$C,Order!$G:$G,"",0,1))</f>
        <v/>
      </c>
      <c r="H2517" s="4" t="str">
        <f>IF($C2517="","",_xlfn.XLOOKUP($C2517,Order!$C:$C,Order!$H:$H,"",0,1))</f>
        <v/>
      </c>
      <c r="I2517" s="36" t="str">
        <f>IF($C2517="","",_xlfn.XLOOKUP($C2517,Order!$C:$C,Order!#REF!,"",0,1))</f>
        <v/>
      </c>
      <c r="J2517" s="4" t="str">
        <f>IF(C2517="","",Order!#REF!)</f>
        <v/>
      </c>
      <c r="K2517" s="36" t="str">
        <f>IF($C2517="","",_xlfn.XLOOKUP($C2517,Order!$C:$C,Order!$P:$P,"",0,1))</f>
        <v/>
      </c>
      <c r="L2517" s="4" t="str">
        <f t="shared" si="42"/>
        <v/>
      </c>
    </row>
    <row r="2518" spans="2:12" ht="23.25" hidden="1" customHeight="1" x14ac:dyDescent="0.25">
      <c r="B2518" s="4">
        <v>3077</v>
      </c>
      <c r="C2518" s="36" t="str">
        <f>IF(Order!$C$333="","",Order!$C$333)</f>
        <v/>
      </c>
      <c r="D2518" s="36" t="str">
        <f>IF($C2518="","",_xlfn.XLOOKUP($C2518,Order!$C:$C,Order!$D:$D,"",0,1))</f>
        <v/>
      </c>
      <c r="E2518" s="4" t="str">
        <f>IF($C2518="","",_xlfn.XLOOKUP($C2518,Order!$C:$C,Order!$E:$E,"",0,1))</f>
        <v/>
      </c>
      <c r="F2518" s="4" t="str">
        <f>IF($C2518="","",_xlfn.XLOOKUP($C2518,Order!$C:$C,Order!$F:$F,"",0,1))</f>
        <v/>
      </c>
      <c r="G2518" s="4" t="str">
        <f>IF($C2518="","",_xlfn.XLOOKUP($C2518,Order!$C:$C,Order!$G:$G,"",0,1))</f>
        <v/>
      </c>
      <c r="H2518" s="4" t="str">
        <f>IF($C2518="","",_xlfn.XLOOKUP($C2518,Order!$C:$C,Order!$H:$H,"",0,1))</f>
        <v/>
      </c>
      <c r="I2518" s="36" t="str">
        <f>IF($C2518="","",_xlfn.XLOOKUP($C2518,Order!$C:$C,Order!#REF!,"",0,1))</f>
        <v/>
      </c>
      <c r="J2518" s="4" t="str">
        <f>IF(C2518="","",Order!#REF!)</f>
        <v/>
      </c>
      <c r="K2518" s="36" t="str">
        <f>IF($C2518="","",_xlfn.XLOOKUP($C2518,Order!$C:$C,Order!$P:$P,"",0,1))</f>
        <v/>
      </c>
      <c r="L2518" s="4" t="str">
        <f t="shared" si="42"/>
        <v/>
      </c>
    </row>
    <row r="2519" spans="2:12" ht="23.25" hidden="1" customHeight="1" x14ac:dyDescent="0.25">
      <c r="B2519" s="4">
        <v>3078</v>
      </c>
      <c r="C2519" s="36" t="str">
        <f>IF(Order!$C$334="","",Order!$C$334)</f>
        <v/>
      </c>
      <c r="D2519" s="36" t="str">
        <f>IF($C2519="","",_xlfn.XLOOKUP($C2519,Order!$C:$C,Order!$D:$D,"",0,1))</f>
        <v/>
      </c>
      <c r="E2519" s="4" t="str">
        <f>IF($C2519="","",_xlfn.XLOOKUP($C2519,Order!$C:$C,Order!$E:$E,"",0,1))</f>
        <v/>
      </c>
      <c r="F2519" s="4" t="str">
        <f>IF($C2519="","",_xlfn.XLOOKUP($C2519,Order!$C:$C,Order!$F:$F,"",0,1))</f>
        <v/>
      </c>
      <c r="G2519" s="4" t="str">
        <f>IF($C2519="","",_xlfn.XLOOKUP($C2519,Order!$C:$C,Order!$G:$G,"",0,1))</f>
        <v/>
      </c>
      <c r="H2519" s="4" t="str">
        <f>IF($C2519="","",_xlfn.XLOOKUP($C2519,Order!$C:$C,Order!$H:$H,"",0,1))</f>
        <v/>
      </c>
      <c r="I2519" s="36" t="str">
        <f>IF($C2519="","",_xlfn.XLOOKUP($C2519,Order!$C:$C,Order!#REF!,"",0,1))</f>
        <v/>
      </c>
      <c r="J2519" s="4" t="str">
        <f>IF(C2519="","",Order!#REF!)</f>
        <v/>
      </c>
      <c r="K2519" s="36" t="str">
        <f>IF($C2519="","",_xlfn.XLOOKUP($C2519,Order!$C:$C,Order!$P:$P,"",0,1))</f>
        <v/>
      </c>
      <c r="L2519" s="4" t="str">
        <f t="shared" si="42"/>
        <v/>
      </c>
    </row>
    <row r="2520" spans="2:12" ht="23.25" hidden="1" customHeight="1" x14ac:dyDescent="0.25">
      <c r="B2520" s="4">
        <v>3079</v>
      </c>
      <c r="C2520" s="36" t="str">
        <f>IF(Order!$C$335="","",Order!$C$335)</f>
        <v/>
      </c>
      <c r="D2520" s="36" t="str">
        <f>IF($C2520="","",_xlfn.XLOOKUP($C2520,Order!$C:$C,Order!$D:$D,"",0,1))</f>
        <v/>
      </c>
      <c r="E2520" s="4" t="str">
        <f>IF($C2520="","",_xlfn.XLOOKUP($C2520,Order!$C:$C,Order!$E:$E,"",0,1))</f>
        <v/>
      </c>
      <c r="F2520" s="4" t="str">
        <f>IF($C2520="","",_xlfn.XLOOKUP($C2520,Order!$C:$C,Order!$F:$F,"",0,1))</f>
        <v/>
      </c>
      <c r="G2520" s="4" t="str">
        <f>IF($C2520="","",_xlfn.XLOOKUP($C2520,Order!$C:$C,Order!$G:$G,"",0,1))</f>
        <v/>
      </c>
      <c r="H2520" s="4" t="str">
        <f>IF($C2520="","",_xlfn.XLOOKUP($C2520,Order!$C:$C,Order!$H:$H,"",0,1))</f>
        <v/>
      </c>
      <c r="I2520" s="36" t="str">
        <f>IF($C2520="","",_xlfn.XLOOKUP($C2520,Order!$C:$C,Order!#REF!,"",0,1))</f>
        <v/>
      </c>
      <c r="J2520" s="4" t="str">
        <f>IF(C2520="","",Order!#REF!)</f>
        <v/>
      </c>
      <c r="K2520" s="36" t="str">
        <f>IF($C2520="","",_xlfn.XLOOKUP($C2520,Order!$C:$C,Order!$P:$P,"",0,1))</f>
        <v/>
      </c>
      <c r="L2520" s="4" t="str">
        <f t="shared" si="42"/>
        <v/>
      </c>
    </row>
    <row r="2521" spans="2:12" ht="23.25" hidden="1" customHeight="1" x14ac:dyDescent="0.25">
      <c r="B2521" s="4">
        <v>3080</v>
      </c>
      <c r="C2521" s="36" t="str">
        <f>IF(Order!$C$336="","",Order!$C$336)</f>
        <v/>
      </c>
      <c r="D2521" s="36" t="str">
        <f>IF($C2521="","",_xlfn.XLOOKUP($C2521,Order!$C:$C,Order!$D:$D,"",0,1))</f>
        <v/>
      </c>
      <c r="E2521" s="4" t="str">
        <f>IF($C2521="","",_xlfn.XLOOKUP($C2521,Order!$C:$C,Order!$E:$E,"",0,1))</f>
        <v/>
      </c>
      <c r="F2521" s="4" t="str">
        <f>IF($C2521="","",_xlfn.XLOOKUP($C2521,Order!$C:$C,Order!$F:$F,"",0,1))</f>
        <v/>
      </c>
      <c r="G2521" s="4" t="str">
        <f>IF($C2521="","",_xlfn.XLOOKUP($C2521,Order!$C:$C,Order!$G:$G,"",0,1))</f>
        <v/>
      </c>
      <c r="H2521" s="4" t="str">
        <f>IF($C2521="","",_xlfn.XLOOKUP($C2521,Order!$C:$C,Order!$H:$H,"",0,1))</f>
        <v/>
      </c>
      <c r="I2521" s="36" t="str">
        <f>IF($C2521="","",_xlfn.XLOOKUP($C2521,Order!$C:$C,Order!#REF!,"",0,1))</f>
        <v/>
      </c>
      <c r="J2521" s="4" t="str">
        <f>IF(C2521="","",Order!#REF!)</f>
        <v/>
      </c>
      <c r="K2521" s="36" t="str">
        <f>IF($C2521="","",_xlfn.XLOOKUP($C2521,Order!$C:$C,Order!$P:$P,"",0,1))</f>
        <v/>
      </c>
      <c r="L2521" s="4" t="str">
        <f t="shared" si="42"/>
        <v/>
      </c>
    </row>
    <row r="2522" spans="2:12" ht="23.25" hidden="1" customHeight="1" x14ac:dyDescent="0.25">
      <c r="B2522" s="4">
        <v>3082</v>
      </c>
      <c r="C2522" s="36" t="str">
        <f>IF(Order!$C$338="","",Order!$C$338)</f>
        <v/>
      </c>
      <c r="D2522" s="36" t="str">
        <f>IF($C2522="","",_xlfn.XLOOKUP($C2522,Order!$C:$C,Order!$D:$D,"",0,1))</f>
        <v/>
      </c>
      <c r="E2522" s="4" t="str">
        <f>IF($C2522="","",_xlfn.XLOOKUP($C2522,Order!$C:$C,Order!$E:$E,"",0,1))</f>
        <v/>
      </c>
      <c r="F2522" s="4" t="str">
        <f>IF($C2522="","",_xlfn.XLOOKUP($C2522,Order!$C:$C,Order!$F:$F,"",0,1))</f>
        <v/>
      </c>
      <c r="G2522" s="4" t="str">
        <f>IF($C2522="","",_xlfn.XLOOKUP($C2522,Order!$C:$C,Order!$G:$G,"",0,1))</f>
        <v/>
      </c>
      <c r="H2522" s="4" t="str">
        <f>IF($C2522="","",_xlfn.XLOOKUP($C2522,Order!$C:$C,Order!$H:$H,"",0,1))</f>
        <v/>
      </c>
      <c r="I2522" s="36" t="str">
        <f>IF($C2522="","",_xlfn.XLOOKUP($C2522,Order!$C:$C,Order!#REF!,"",0,1))</f>
        <v/>
      </c>
      <c r="J2522" s="4" t="str">
        <f>IF(C2522="","",Order!#REF!)</f>
        <v/>
      </c>
      <c r="K2522" s="36" t="str">
        <f>IF($C2522="","",_xlfn.XLOOKUP($C2522,Order!$C:$C,Order!$P:$P,"",0,1))</f>
        <v/>
      </c>
      <c r="L2522" s="4" t="str">
        <f t="shared" si="42"/>
        <v/>
      </c>
    </row>
    <row r="2523" spans="2:12" ht="23.25" hidden="1" customHeight="1" x14ac:dyDescent="0.25">
      <c r="B2523" s="4">
        <v>3083</v>
      </c>
      <c r="C2523" s="36" t="str">
        <f>IF(Order!$C$339="","",Order!$C$339)</f>
        <v/>
      </c>
      <c r="D2523" s="36" t="str">
        <f>IF($C2523="","",_xlfn.XLOOKUP($C2523,Order!$C:$C,Order!$D:$D,"",0,1))</f>
        <v/>
      </c>
      <c r="E2523" s="4" t="str">
        <f>IF($C2523="","",_xlfn.XLOOKUP($C2523,Order!$C:$C,Order!$E:$E,"",0,1))</f>
        <v/>
      </c>
      <c r="F2523" s="4" t="str">
        <f>IF($C2523="","",_xlfn.XLOOKUP($C2523,Order!$C:$C,Order!$F:$F,"",0,1))</f>
        <v/>
      </c>
      <c r="G2523" s="4" t="str">
        <f>IF($C2523="","",_xlfn.XLOOKUP($C2523,Order!$C:$C,Order!$G:$G,"",0,1))</f>
        <v/>
      </c>
      <c r="H2523" s="4" t="str">
        <f>IF($C2523="","",_xlfn.XLOOKUP($C2523,Order!$C:$C,Order!$H:$H,"",0,1))</f>
        <v/>
      </c>
      <c r="I2523" s="36" t="str">
        <f>IF($C2523="","",_xlfn.XLOOKUP($C2523,Order!$C:$C,Order!#REF!,"",0,1))</f>
        <v/>
      </c>
      <c r="J2523" s="4" t="str">
        <f>IF(C2523="","",Order!#REF!)</f>
        <v/>
      </c>
      <c r="K2523" s="36" t="str">
        <f>IF($C2523="","",_xlfn.XLOOKUP($C2523,Order!$C:$C,Order!$P:$P,"",0,1))</f>
        <v/>
      </c>
      <c r="L2523" s="4" t="str">
        <f t="shared" si="42"/>
        <v/>
      </c>
    </row>
    <row r="2524" spans="2:12" ht="23.25" hidden="1" customHeight="1" x14ac:dyDescent="0.25">
      <c r="B2524" s="4">
        <v>3084</v>
      </c>
      <c r="C2524" s="36" t="str">
        <f>IF(Order!$C$340="","",Order!$C$340)</f>
        <v/>
      </c>
      <c r="D2524" s="36" t="str">
        <f>IF($C2524="","",_xlfn.XLOOKUP($C2524,Order!$C:$C,Order!$D:$D,"",0,1))</f>
        <v/>
      </c>
      <c r="E2524" s="4" t="str">
        <f>IF($C2524="","",_xlfn.XLOOKUP($C2524,Order!$C:$C,Order!$E:$E,"",0,1))</f>
        <v/>
      </c>
      <c r="F2524" s="4" t="str">
        <f>IF($C2524="","",_xlfn.XLOOKUP($C2524,Order!$C:$C,Order!$F:$F,"",0,1))</f>
        <v/>
      </c>
      <c r="G2524" s="4" t="str">
        <f>IF($C2524="","",_xlfn.XLOOKUP($C2524,Order!$C:$C,Order!$G:$G,"",0,1))</f>
        <v/>
      </c>
      <c r="H2524" s="4" t="str">
        <f>IF($C2524="","",_xlfn.XLOOKUP($C2524,Order!$C:$C,Order!$H:$H,"",0,1))</f>
        <v/>
      </c>
      <c r="I2524" s="36" t="str">
        <f>IF($C2524="","",_xlfn.XLOOKUP($C2524,Order!$C:$C,Order!#REF!,"",0,1))</f>
        <v/>
      </c>
      <c r="J2524" s="4" t="str">
        <f>IF(C2524="","",Order!#REF!)</f>
        <v/>
      </c>
      <c r="K2524" s="36" t="str">
        <f>IF($C2524="","",_xlfn.XLOOKUP($C2524,Order!$C:$C,Order!$P:$P,"",0,1))</f>
        <v/>
      </c>
      <c r="L2524" s="4" t="str">
        <f t="shared" si="42"/>
        <v/>
      </c>
    </row>
    <row r="2525" spans="2:12" ht="23.25" hidden="1" customHeight="1" x14ac:dyDescent="0.25">
      <c r="B2525" s="4">
        <v>3086</v>
      </c>
      <c r="C2525" s="36" t="str">
        <f>IF(Order!$C$342="","",Order!$C$342)</f>
        <v/>
      </c>
      <c r="D2525" s="36" t="str">
        <f>IF($C2525="","",_xlfn.XLOOKUP($C2525,Order!$C:$C,Order!$D:$D,"",0,1))</f>
        <v/>
      </c>
      <c r="E2525" s="4" t="str">
        <f>IF($C2525="","",_xlfn.XLOOKUP($C2525,Order!$C:$C,Order!$E:$E,"",0,1))</f>
        <v/>
      </c>
      <c r="F2525" s="4" t="str">
        <f>IF($C2525="","",_xlfn.XLOOKUP($C2525,Order!$C:$C,Order!$F:$F,"",0,1))</f>
        <v/>
      </c>
      <c r="G2525" s="4" t="str">
        <f>IF($C2525="","",_xlfn.XLOOKUP($C2525,Order!$C:$C,Order!$G:$G,"",0,1))</f>
        <v/>
      </c>
      <c r="H2525" s="4" t="str">
        <f>IF($C2525="","",_xlfn.XLOOKUP($C2525,Order!$C:$C,Order!$H:$H,"",0,1))</f>
        <v/>
      </c>
      <c r="I2525" s="36" t="str">
        <f>IF($C2525="","",_xlfn.XLOOKUP($C2525,Order!$C:$C,Order!#REF!,"",0,1))</f>
        <v/>
      </c>
      <c r="J2525" s="4" t="str">
        <f>IF(C2525="","",Order!#REF!)</f>
        <v/>
      </c>
      <c r="K2525" s="36" t="str">
        <f>IF($C2525="","",_xlfn.XLOOKUP($C2525,Order!$C:$C,Order!$P:$P,"",0,1))</f>
        <v/>
      </c>
      <c r="L2525" s="4" t="str">
        <f t="shared" si="42"/>
        <v/>
      </c>
    </row>
    <row r="2526" spans="2:12" ht="23.25" hidden="1" customHeight="1" x14ac:dyDescent="0.25">
      <c r="B2526" s="4">
        <v>3087</v>
      </c>
      <c r="C2526" s="36" t="str">
        <f>IF(Order!$C$343="","",Order!$C$343)</f>
        <v/>
      </c>
      <c r="D2526" s="36" t="str">
        <f>IF($C2526="","",_xlfn.XLOOKUP($C2526,Order!$C:$C,Order!$D:$D,"",0,1))</f>
        <v/>
      </c>
      <c r="E2526" s="4" t="str">
        <f>IF($C2526="","",_xlfn.XLOOKUP($C2526,Order!$C:$C,Order!$E:$E,"",0,1))</f>
        <v/>
      </c>
      <c r="F2526" s="4" t="str">
        <f>IF($C2526="","",_xlfn.XLOOKUP($C2526,Order!$C:$C,Order!$F:$F,"",0,1))</f>
        <v/>
      </c>
      <c r="G2526" s="4" t="str">
        <f>IF($C2526="","",_xlfn.XLOOKUP($C2526,Order!$C:$C,Order!$G:$G,"",0,1))</f>
        <v/>
      </c>
      <c r="H2526" s="4" t="str">
        <f>IF($C2526="","",_xlfn.XLOOKUP($C2526,Order!$C:$C,Order!$H:$H,"",0,1))</f>
        <v/>
      </c>
      <c r="I2526" s="36" t="str">
        <f>IF($C2526="","",_xlfn.XLOOKUP($C2526,Order!$C:$C,Order!#REF!,"",0,1))</f>
        <v/>
      </c>
      <c r="J2526" s="4" t="str">
        <f>IF(C2526="","",Order!#REF!)</f>
        <v/>
      </c>
      <c r="K2526" s="36" t="str">
        <f>IF($C2526="","",_xlfn.XLOOKUP($C2526,Order!$C:$C,Order!$P:$P,"",0,1))</f>
        <v/>
      </c>
      <c r="L2526" s="4" t="str">
        <f t="shared" si="42"/>
        <v/>
      </c>
    </row>
    <row r="2527" spans="2:12" ht="23.25" hidden="1" customHeight="1" x14ac:dyDescent="0.25">
      <c r="B2527" s="4">
        <v>3088</v>
      </c>
      <c r="C2527" s="36" t="str">
        <f>IF(Order!$C$344="","",Order!$C$344)</f>
        <v/>
      </c>
      <c r="D2527" s="36" t="str">
        <f>IF($C2527="","",_xlfn.XLOOKUP($C2527,Order!$C:$C,Order!$D:$D,"",0,1))</f>
        <v/>
      </c>
      <c r="E2527" s="4" t="str">
        <f>IF($C2527="","",_xlfn.XLOOKUP($C2527,Order!$C:$C,Order!$E:$E,"",0,1))</f>
        <v/>
      </c>
      <c r="F2527" s="4" t="str">
        <f>IF($C2527="","",_xlfn.XLOOKUP($C2527,Order!$C:$C,Order!$F:$F,"",0,1))</f>
        <v/>
      </c>
      <c r="G2527" s="4" t="str">
        <f>IF($C2527="","",_xlfn.XLOOKUP($C2527,Order!$C:$C,Order!$G:$G,"",0,1))</f>
        <v/>
      </c>
      <c r="H2527" s="4" t="str">
        <f>IF($C2527="","",_xlfn.XLOOKUP($C2527,Order!$C:$C,Order!$H:$H,"",0,1))</f>
        <v/>
      </c>
      <c r="I2527" s="36" t="str">
        <f>IF($C2527="","",_xlfn.XLOOKUP($C2527,Order!$C:$C,Order!#REF!,"",0,1))</f>
        <v/>
      </c>
      <c r="J2527" s="4" t="str">
        <f>IF(C2527="","",Order!#REF!)</f>
        <v/>
      </c>
      <c r="K2527" s="36" t="str">
        <f>IF($C2527="","",_xlfn.XLOOKUP($C2527,Order!$C:$C,Order!$P:$P,"",0,1))</f>
        <v/>
      </c>
      <c r="L2527" s="4" t="str">
        <f t="shared" si="42"/>
        <v/>
      </c>
    </row>
    <row r="2528" spans="2:12" ht="23.25" hidden="1" customHeight="1" x14ac:dyDescent="0.25">
      <c r="B2528" s="4">
        <v>3089</v>
      </c>
      <c r="C2528" s="36" t="str">
        <f>IF(Order!$C$345="","",Order!$C$345)</f>
        <v/>
      </c>
      <c r="D2528" s="36" t="str">
        <f>IF($C2528="","",_xlfn.XLOOKUP($C2528,Order!$C:$C,Order!$D:$D,"",0,1))</f>
        <v/>
      </c>
      <c r="E2528" s="4" t="str">
        <f>IF($C2528="","",_xlfn.XLOOKUP($C2528,Order!$C:$C,Order!$E:$E,"",0,1))</f>
        <v/>
      </c>
      <c r="F2528" s="4" t="str">
        <f>IF($C2528="","",_xlfn.XLOOKUP($C2528,Order!$C:$C,Order!$F:$F,"",0,1))</f>
        <v/>
      </c>
      <c r="G2528" s="4" t="str">
        <f>IF($C2528="","",_xlfn.XLOOKUP($C2528,Order!$C:$C,Order!$G:$G,"",0,1))</f>
        <v/>
      </c>
      <c r="H2528" s="4" t="str">
        <f>IF($C2528="","",_xlfn.XLOOKUP($C2528,Order!$C:$C,Order!$H:$H,"",0,1))</f>
        <v/>
      </c>
      <c r="I2528" s="36" t="str">
        <f>IF($C2528="","",_xlfn.XLOOKUP($C2528,Order!$C:$C,Order!#REF!,"",0,1))</f>
        <v/>
      </c>
      <c r="J2528" s="4" t="str">
        <f>IF(C2528="","",Order!#REF!)</f>
        <v/>
      </c>
      <c r="K2528" s="36" t="str">
        <f>IF($C2528="","",_xlfn.XLOOKUP($C2528,Order!$C:$C,Order!$P:$P,"",0,1))</f>
        <v/>
      </c>
      <c r="L2528" s="4" t="str">
        <f t="shared" si="42"/>
        <v/>
      </c>
    </row>
    <row r="2529" spans="2:12" ht="23.25" hidden="1" customHeight="1" x14ac:dyDescent="0.25">
      <c r="B2529" s="4">
        <v>3090</v>
      </c>
      <c r="C2529" s="36" t="str">
        <f>IF(Order!$C$346="","",Order!$C$346)</f>
        <v/>
      </c>
      <c r="D2529" s="36" t="str">
        <f>IF($C2529="","",_xlfn.XLOOKUP($C2529,Order!$C:$C,Order!$D:$D,"",0,1))</f>
        <v/>
      </c>
      <c r="E2529" s="4" t="str">
        <f>IF($C2529="","",_xlfn.XLOOKUP($C2529,Order!$C:$C,Order!$E:$E,"",0,1))</f>
        <v/>
      </c>
      <c r="F2529" s="4" t="str">
        <f>IF($C2529="","",_xlfn.XLOOKUP($C2529,Order!$C:$C,Order!$F:$F,"",0,1))</f>
        <v/>
      </c>
      <c r="G2529" s="4" t="str">
        <f>IF($C2529="","",_xlfn.XLOOKUP($C2529,Order!$C:$C,Order!$G:$G,"",0,1))</f>
        <v/>
      </c>
      <c r="H2529" s="4" t="str">
        <f>IF($C2529="","",_xlfn.XLOOKUP($C2529,Order!$C:$C,Order!$H:$H,"",0,1))</f>
        <v/>
      </c>
      <c r="I2529" s="36" t="str">
        <f>IF($C2529="","",_xlfn.XLOOKUP($C2529,Order!$C:$C,Order!#REF!,"",0,1))</f>
        <v/>
      </c>
      <c r="J2529" s="4" t="str">
        <f>IF(C2529="","",Order!#REF!)</f>
        <v/>
      </c>
      <c r="K2529" s="36" t="str">
        <f>IF($C2529="","",_xlfn.XLOOKUP($C2529,Order!$C:$C,Order!$P:$P,"",0,1))</f>
        <v/>
      </c>
      <c r="L2529" s="4" t="str">
        <f t="shared" si="42"/>
        <v/>
      </c>
    </row>
    <row r="2530" spans="2:12" ht="23.25" hidden="1" customHeight="1" x14ac:dyDescent="0.25">
      <c r="B2530" s="4">
        <v>3091</v>
      </c>
      <c r="C2530" s="36" t="str">
        <f>IF(Order!$C$347="","",Order!$C$347)</f>
        <v/>
      </c>
      <c r="D2530" s="36" t="str">
        <f>IF($C2530="","",_xlfn.XLOOKUP($C2530,Order!$C:$C,Order!$D:$D,"",0,1))</f>
        <v/>
      </c>
      <c r="E2530" s="4" t="str">
        <f>IF($C2530="","",_xlfn.XLOOKUP($C2530,Order!$C:$C,Order!$E:$E,"",0,1))</f>
        <v/>
      </c>
      <c r="F2530" s="4" t="str">
        <f>IF($C2530="","",_xlfn.XLOOKUP($C2530,Order!$C:$C,Order!$F:$F,"",0,1))</f>
        <v/>
      </c>
      <c r="G2530" s="4" t="str">
        <f>IF($C2530="","",_xlfn.XLOOKUP($C2530,Order!$C:$C,Order!$G:$G,"",0,1))</f>
        <v/>
      </c>
      <c r="H2530" s="4" t="str">
        <f>IF($C2530="","",_xlfn.XLOOKUP($C2530,Order!$C:$C,Order!$H:$H,"",0,1))</f>
        <v/>
      </c>
      <c r="I2530" s="36" t="str">
        <f>IF($C2530="","",_xlfn.XLOOKUP($C2530,Order!$C:$C,Order!#REF!,"",0,1))</f>
        <v/>
      </c>
      <c r="J2530" s="4" t="str">
        <f>IF(C2530="","",Order!#REF!)</f>
        <v/>
      </c>
      <c r="K2530" s="36" t="str">
        <f>IF($C2530="","",_xlfn.XLOOKUP($C2530,Order!$C:$C,Order!$P:$P,"",0,1))</f>
        <v/>
      </c>
      <c r="L2530" s="4" t="str">
        <f t="shared" si="42"/>
        <v/>
      </c>
    </row>
    <row r="2531" spans="2:12" ht="23.25" hidden="1" customHeight="1" x14ac:dyDescent="0.25">
      <c r="B2531" s="4">
        <v>3092</v>
      </c>
      <c r="C2531" s="36" t="str">
        <f>IF(Order!$C$348="","",Order!$C$348)</f>
        <v/>
      </c>
      <c r="D2531" s="36" t="str">
        <f>IF($C2531="","",_xlfn.XLOOKUP($C2531,Order!$C:$C,Order!$D:$D,"",0,1))</f>
        <v/>
      </c>
      <c r="E2531" s="4" t="str">
        <f>IF($C2531="","",_xlfn.XLOOKUP($C2531,Order!$C:$C,Order!$E:$E,"",0,1))</f>
        <v/>
      </c>
      <c r="F2531" s="4" t="str">
        <f>IF($C2531="","",_xlfn.XLOOKUP($C2531,Order!$C:$C,Order!$F:$F,"",0,1))</f>
        <v/>
      </c>
      <c r="G2531" s="4" t="str">
        <f>IF($C2531="","",_xlfn.XLOOKUP($C2531,Order!$C:$C,Order!$G:$G,"",0,1))</f>
        <v/>
      </c>
      <c r="H2531" s="4" t="str">
        <f>IF($C2531="","",_xlfn.XLOOKUP($C2531,Order!$C:$C,Order!$H:$H,"",0,1))</f>
        <v/>
      </c>
      <c r="I2531" s="36" t="str">
        <f>IF($C2531="","",_xlfn.XLOOKUP($C2531,Order!$C:$C,Order!#REF!,"",0,1))</f>
        <v/>
      </c>
      <c r="J2531" s="4" t="str">
        <f>IF(C2531="","",Order!#REF!)</f>
        <v/>
      </c>
      <c r="K2531" s="36" t="str">
        <f>IF($C2531="","",_xlfn.XLOOKUP($C2531,Order!$C:$C,Order!$P:$P,"",0,1))</f>
        <v/>
      </c>
      <c r="L2531" s="4" t="str">
        <f t="shared" si="42"/>
        <v/>
      </c>
    </row>
    <row r="2532" spans="2:12" ht="23.25" hidden="1" customHeight="1" x14ac:dyDescent="0.25">
      <c r="B2532" s="4">
        <v>3093</v>
      </c>
      <c r="C2532" s="36" t="str">
        <f>IF(Order!$C$349="","",Order!$C$349)</f>
        <v/>
      </c>
      <c r="D2532" s="36" t="str">
        <f>IF($C2532="","",_xlfn.XLOOKUP($C2532,Order!$C:$C,Order!$D:$D,"",0,1))</f>
        <v/>
      </c>
      <c r="E2532" s="4" t="str">
        <f>IF($C2532="","",_xlfn.XLOOKUP($C2532,Order!$C:$C,Order!$E:$E,"",0,1))</f>
        <v/>
      </c>
      <c r="F2532" s="4" t="str">
        <f>IF($C2532="","",_xlfn.XLOOKUP($C2532,Order!$C:$C,Order!$F:$F,"",0,1))</f>
        <v/>
      </c>
      <c r="G2532" s="4" t="str">
        <f>IF($C2532="","",_xlfn.XLOOKUP($C2532,Order!$C:$C,Order!$G:$G,"",0,1))</f>
        <v/>
      </c>
      <c r="H2532" s="4" t="str">
        <f>IF($C2532="","",_xlfn.XLOOKUP($C2532,Order!$C:$C,Order!$H:$H,"",0,1))</f>
        <v/>
      </c>
      <c r="I2532" s="36" t="str">
        <f>IF($C2532="","",_xlfn.XLOOKUP($C2532,Order!$C:$C,Order!#REF!,"",0,1))</f>
        <v/>
      </c>
      <c r="J2532" s="4" t="str">
        <f>IF(C2532="","",Order!#REF!)</f>
        <v/>
      </c>
      <c r="K2532" s="36" t="str">
        <f>IF($C2532="","",_xlfn.XLOOKUP($C2532,Order!$C:$C,Order!$P:$P,"",0,1))</f>
        <v/>
      </c>
      <c r="L2532" s="4" t="str">
        <f t="shared" si="42"/>
        <v/>
      </c>
    </row>
    <row r="2533" spans="2:12" ht="23.25" hidden="1" customHeight="1" x14ac:dyDescent="0.25">
      <c r="B2533" s="4">
        <v>3094</v>
      </c>
      <c r="C2533" s="36" t="str">
        <f>IF(Order!$C$350="","",Order!$C$350)</f>
        <v/>
      </c>
      <c r="D2533" s="36" t="str">
        <f>IF($C2533="","",_xlfn.XLOOKUP($C2533,Order!$C:$C,Order!$D:$D,"",0,1))</f>
        <v/>
      </c>
      <c r="E2533" s="4" t="str">
        <f>IF($C2533="","",_xlfn.XLOOKUP($C2533,Order!$C:$C,Order!$E:$E,"",0,1))</f>
        <v/>
      </c>
      <c r="F2533" s="4" t="str">
        <f>IF($C2533="","",_xlfn.XLOOKUP($C2533,Order!$C:$C,Order!$F:$F,"",0,1))</f>
        <v/>
      </c>
      <c r="G2533" s="4" t="str">
        <f>IF($C2533="","",_xlfn.XLOOKUP($C2533,Order!$C:$C,Order!$G:$G,"",0,1))</f>
        <v/>
      </c>
      <c r="H2533" s="4" t="str">
        <f>IF($C2533="","",_xlfn.XLOOKUP($C2533,Order!$C:$C,Order!$H:$H,"",0,1))</f>
        <v/>
      </c>
      <c r="I2533" s="36" t="str">
        <f>IF($C2533="","",_xlfn.XLOOKUP($C2533,Order!$C:$C,Order!#REF!,"",0,1))</f>
        <v/>
      </c>
      <c r="J2533" s="4" t="str">
        <f>IF(C2533="","",Order!#REF!)</f>
        <v/>
      </c>
      <c r="K2533" s="36" t="str">
        <f>IF($C2533="","",_xlfn.XLOOKUP($C2533,Order!$C:$C,Order!$P:$P,"",0,1))</f>
        <v/>
      </c>
      <c r="L2533" s="4" t="str">
        <f t="shared" si="42"/>
        <v/>
      </c>
    </row>
    <row r="2534" spans="2:12" ht="23.25" hidden="1" customHeight="1" x14ac:dyDescent="0.25">
      <c r="B2534" s="4">
        <v>3095</v>
      </c>
      <c r="C2534" s="36" t="str">
        <f>IF(Order!$C$351="","",Order!$C$351)</f>
        <v/>
      </c>
      <c r="D2534" s="36" t="str">
        <f>IF($C2534="","",_xlfn.XLOOKUP($C2534,Order!$C:$C,Order!$D:$D,"",0,1))</f>
        <v/>
      </c>
      <c r="E2534" s="4" t="str">
        <f>IF($C2534="","",_xlfn.XLOOKUP($C2534,Order!$C:$C,Order!$E:$E,"",0,1))</f>
        <v/>
      </c>
      <c r="F2534" s="4" t="str">
        <f>IF($C2534="","",_xlfn.XLOOKUP($C2534,Order!$C:$C,Order!$F:$F,"",0,1))</f>
        <v/>
      </c>
      <c r="G2534" s="4" t="str">
        <f>IF($C2534="","",_xlfn.XLOOKUP($C2534,Order!$C:$C,Order!$G:$G,"",0,1))</f>
        <v/>
      </c>
      <c r="H2534" s="4" t="str">
        <f>IF($C2534="","",_xlfn.XLOOKUP($C2534,Order!$C:$C,Order!$H:$H,"",0,1))</f>
        <v/>
      </c>
      <c r="I2534" s="36" t="str">
        <f>IF($C2534="","",_xlfn.XLOOKUP($C2534,Order!$C:$C,Order!#REF!,"",0,1))</f>
        <v/>
      </c>
      <c r="J2534" s="4" t="str">
        <f>IF(C2534="","",Order!#REF!)</f>
        <v/>
      </c>
      <c r="K2534" s="36" t="str">
        <f>IF($C2534="","",_xlfn.XLOOKUP($C2534,Order!$C:$C,Order!$P:$P,"",0,1))</f>
        <v/>
      </c>
      <c r="L2534" s="4" t="str">
        <f t="shared" si="42"/>
        <v/>
      </c>
    </row>
    <row r="2535" spans="2:12" ht="23.25" hidden="1" customHeight="1" x14ac:dyDescent="0.25">
      <c r="B2535" s="4">
        <v>3096</v>
      </c>
      <c r="C2535" s="36" t="str">
        <f>IF(Order!$C$352="","",Order!$C$352)</f>
        <v/>
      </c>
      <c r="D2535" s="36" t="str">
        <f>IF($C2535="","",_xlfn.XLOOKUP($C2535,Order!$C:$C,Order!$D:$D,"",0,1))</f>
        <v/>
      </c>
      <c r="E2535" s="4" t="str">
        <f>IF($C2535="","",_xlfn.XLOOKUP($C2535,Order!$C:$C,Order!$E:$E,"",0,1))</f>
        <v/>
      </c>
      <c r="F2535" s="4" t="str">
        <f>IF($C2535="","",_xlfn.XLOOKUP($C2535,Order!$C:$C,Order!$F:$F,"",0,1))</f>
        <v/>
      </c>
      <c r="G2535" s="4" t="str">
        <f>IF($C2535="","",_xlfn.XLOOKUP($C2535,Order!$C:$C,Order!$G:$G,"",0,1))</f>
        <v/>
      </c>
      <c r="H2535" s="4" t="str">
        <f>IF($C2535="","",_xlfn.XLOOKUP($C2535,Order!$C:$C,Order!$H:$H,"",0,1))</f>
        <v/>
      </c>
      <c r="I2535" s="36" t="str">
        <f>IF($C2535="","",_xlfn.XLOOKUP($C2535,Order!$C:$C,Order!#REF!,"",0,1))</f>
        <v/>
      </c>
      <c r="J2535" s="4" t="str">
        <f>IF(C2535="","",Order!#REF!)</f>
        <v/>
      </c>
      <c r="K2535" s="36" t="str">
        <f>IF($C2535="","",_xlfn.XLOOKUP($C2535,Order!$C:$C,Order!$P:$P,"",0,1))</f>
        <v/>
      </c>
      <c r="L2535" s="4" t="str">
        <f t="shared" si="42"/>
        <v/>
      </c>
    </row>
    <row r="2536" spans="2:12" ht="23.25" hidden="1" customHeight="1" x14ac:dyDescent="0.25">
      <c r="B2536" s="4">
        <v>3097</v>
      </c>
      <c r="C2536" s="36" t="str">
        <f>IF(Order!$C$353="","",Order!$C$353)</f>
        <v/>
      </c>
      <c r="D2536" s="36" t="str">
        <f>IF($C2536="","",_xlfn.XLOOKUP($C2536,Order!$C:$C,Order!$D:$D,"",0,1))</f>
        <v/>
      </c>
      <c r="E2536" s="4" t="str">
        <f>IF($C2536="","",_xlfn.XLOOKUP($C2536,Order!$C:$C,Order!$E:$E,"",0,1))</f>
        <v/>
      </c>
      <c r="F2536" s="4" t="str">
        <f>IF($C2536="","",_xlfn.XLOOKUP($C2536,Order!$C:$C,Order!$F:$F,"",0,1))</f>
        <v/>
      </c>
      <c r="G2536" s="4" t="str">
        <f>IF($C2536="","",_xlfn.XLOOKUP($C2536,Order!$C:$C,Order!$G:$G,"",0,1))</f>
        <v/>
      </c>
      <c r="H2536" s="4" t="str">
        <f>IF($C2536="","",_xlfn.XLOOKUP($C2536,Order!$C:$C,Order!$H:$H,"",0,1))</f>
        <v/>
      </c>
      <c r="I2536" s="36" t="str">
        <f>IF($C2536="","",_xlfn.XLOOKUP($C2536,Order!$C:$C,Order!#REF!,"",0,1))</f>
        <v/>
      </c>
      <c r="J2536" s="4" t="str">
        <f>IF(C2536="","",Order!#REF!)</f>
        <v/>
      </c>
      <c r="K2536" s="36" t="str">
        <f>IF($C2536="","",_xlfn.XLOOKUP($C2536,Order!$C:$C,Order!$P:$P,"",0,1))</f>
        <v/>
      </c>
      <c r="L2536" s="4" t="str">
        <f t="shared" si="42"/>
        <v/>
      </c>
    </row>
    <row r="2537" spans="2:12" ht="23.25" hidden="1" customHeight="1" x14ac:dyDescent="0.25">
      <c r="B2537" s="4">
        <v>3098</v>
      </c>
      <c r="C2537" s="36" t="str">
        <f>IF(Order!$C$354="","",Order!$C$354)</f>
        <v/>
      </c>
      <c r="D2537" s="36" t="str">
        <f>IF($C2537="","",_xlfn.XLOOKUP($C2537,Order!$C:$C,Order!$D:$D,"",0,1))</f>
        <v/>
      </c>
      <c r="E2537" s="4" t="str">
        <f>IF($C2537="","",_xlfn.XLOOKUP($C2537,Order!$C:$C,Order!$E:$E,"",0,1))</f>
        <v/>
      </c>
      <c r="F2537" s="4" t="str">
        <f>IF($C2537="","",_xlfn.XLOOKUP($C2537,Order!$C:$C,Order!$F:$F,"",0,1))</f>
        <v/>
      </c>
      <c r="G2537" s="4" t="str">
        <f>IF($C2537="","",_xlfn.XLOOKUP($C2537,Order!$C:$C,Order!$G:$G,"",0,1))</f>
        <v/>
      </c>
      <c r="H2537" s="4" t="str">
        <f>IF($C2537="","",_xlfn.XLOOKUP($C2537,Order!$C:$C,Order!$H:$H,"",0,1))</f>
        <v/>
      </c>
      <c r="I2537" s="36" t="str">
        <f>IF($C2537="","",_xlfn.XLOOKUP($C2537,Order!$C:$C,Order!#REF!,"",0,1))</f>
        <v/>
      </c>
      <c r="J2537" s="4" t="str">
        <f>IF(C2537="","",Order!#REF!)</f>
        <v/>
      </c>
      <c r="K2537" s="36" t="str">
        <f>IF($C2537="","",_xlfn.XLOOKUP($C2537,Order!$C:$C,Order!$P:$P,"",0,1))</f>
        <v/>
      </c>
      <c r="L2537" s="4" t="str">
        <f t="shared" si="42"/>
        <v/>
      </c>
    </row>
    <row r="2538" spans="2:12" ht="23.25" hidden="1" customHeight="1" x14ac:dyDescent="0.25">
      <c r="B2538" s="4">
        <v>3099</v>
      </c>
      <c r="C2538" s="36" t="str">
        <f>IF(Order!$C$355="","",Order!$C$355)</f>
        <v/>
      </c>
      <c r="D2538" s="36" t="str">
        <f>IF($C2538="","",_xlfn.XLOOKUP($C2538,Order!$C:$C,Order!$D:$D,"",0,1))</f>
        <v/>
      </c>
      <c r="E2538" s="4" t="str">
        <f>IF($C2538="","",_xlfn.XLOOKUP($C2538,Order!$C:$C,Order!$E:$E,"",0,1))</f>
        <v/>
      </c>
      <c r="F2538" s="4" t="str">
        <f>IF($C2538="","",_xlfn.XLOOKUP($C2538,Order!$C:$C,Order!$F:$F,"",0,1))</f>
        <v/>
      </c>
      <c r="G2538" s="4" t="str">
        <f>IF($C2538="","",_xlfn.XLOOKUP($C2538,Order!$C:$C,Order!$G:$G,"",0,1))</f>
        <v/>
      </c>
      <c r="H2538" s="4" t="str">
        <f>IF($C2538="","",_xlfn.XLOOKUP($C2538,Order!$C:$C,Order!$H:$H,"",0,1))</f>
        <v/>
      </c>
      <c r="I2538" s="36" t="str">
        <f>IF($C2538="","",_xlfn.XLOOKUP($C2538,Order!$C:$C,Order!#REF!,"",0,1))</f>
        <v/>
      </c>
      <c r="J2538" s="4" t="str">
        <f>IF(C2538="","",Order!#REF!)</f>
        <v/>
      </c>
      <c r="K2538" s="36" t="str">
        <f>IF($C2538="","",_xlfn.XLOOKUP($C2538,Order!$C:$C,Order!$P:$P,"",0,1))</f>
        <v/>
      </c>
      <c r="L2538" s="4" t="str">
        <f t="shared" si="42"/>
        <v/>
      </c>
    </row>
    <row r="2539" spans="2:12" ht="23.25" hidden="1" customHeight="1" x14ac:dyDescent="0.25">
      <c r="B2539" s="4">
        <v>3100</v>
      </c>
      <c r="C2539" s="36" t="str">
        <f>IF(Order!$C$356="","",Order!$C$356)</f>
        <v/>
      </c>
      <c r="D2539" s="36" t="str">
        <f>IF($C2539="","",_xlfn.XLOOKUP($C2539,Order!$C:$C,Order!$D:$D,"",0,1))</f>
        <v/>
      </c>
      <c r="E2539" s="4" t="str">
        <f>IF($C2539="","",_xlfn.XLOOKUP($C2539,Order!$C:$C,Order!$E:$E,"",0,1))</f>
        <v/>
      </c>
      <c r="F2539" s="4" t="str">
        <f>IF($C2539="","",_xlfn.XLOOKUP($C2539,Order!$C:$C,Order!$F:$F,"",0,1))</f>
        <v/>
      </c>
      <c r="G2539" s="4" t="str">
        <f>IF($C2539="","",_xlfn.XLOOKUP($C2539,Order!$C:$C,Order!$G:$G,"",0,1))</f>
        <v/>
      </c>
      <c r="H2539" s="4" t="str">
        <f>IF($C2539="","",_xlfn.XLOOKUP($C2539,Order!$C:$C,Order!$H:$H,"",0,1))</f>
        <v/>
      </c>
      <c r="I2539" s="36" t="str">
        <f>IF($C2539="","",_xlfn.XLOOKUP($C2539,Order!$C:$C,Order!#REF!,"",0,1))</f>
        <v/>
      </c>
      <c r="J2539" s="4" t="str">
        <f>IF(C2539="","",Order!#REF!)</f>
        <v/>
      </c>
      <c r="K2539" s="36" t="str">
        <f>IF($C2539="","",_xlfn.XLOOKUP($C2539,Order!$C:$C,Order!$P:$P,"",0,1))</f>
        <v/>
      </c>
      <c r="L2539" s="4" t="str">
        <f t="shared" si="42"/>
        <v/>
      </c>
    </row>
    <row r="2540" spans="2:12" ht="23.25" hidden="1" customHeight="1" x14ac:dyDescent="0.25">
      <c r="B2540" s="4">
        <v>3101</v>
      </c>
      <c r="C2540" s="36" t="str">
        <f>IF(Order!$C$357="","",Order!$C$357)</f>
        <v/>
      </c>
      <c r="D2540" s="36" t="str">
        <f>IF($C2540="","",_xlfn.XLOOKUP($C2540,Order!$C:$C,Order!$D:$D,"",0,1))</f>
        <v/>
      </c>
      <c r="E2540" s="4" t="str">
        <f>IF($C2540="","",_xlfn.XLOOKUP($C2540,Order!$C:$C,Order!$E:$E,"",0,1))</f>
        <v/>
      </c>
      <c r="F2540" s="4" t="str">
        <f>IF($C2540="","",_xlfn.XLOOKUP($C2540,Order!$C:$C,Order!$F:$F,"",0,1))</f>
        <v/>
      </c>
      <c r="G2540" s="4" t="str">
        <f>IF($C2540="","",_xlfn.XLOOKUP($C2540,Order!$C:$C,Order!$G:$G,"",0,1))</f>
        <v/>
      </c>
      <c r="H2540" s="4" t="str">
        <f>IF($C2540="","",_xlfn.XLOOKUP($C2540,Order!$C:$C,Order!$H:$H,"",0,1))</f>
        <v/>
      </c>
      <c r="I2540" s="36" t="str">
        <f>IF($C2540="","",_xlfn.XLOOKUP($C2540,Order!$C:$C,Order!#REF!,"",0,1))</f>
        <v/>
      </c>
      <c r="J2540" s="4" t="str">
        <f>IF(C2540="","",Order!#REF!)</f>
        <v/>
      </c>
      <c r="K2540" s="36" t="str">
        <f>IF($C2540="","",_xlfn.XLOOKUP($C2540,Order!$C:$C,Order!$P:$P,"",0,1))</f>
        <v/>
      </c>
      <c r="L2540" s="4" t="str">
        <f t="shared" si="42"/>
        <v/>
      </c>
    </row>
    <row r="2541" spans="2:12" ht="23.25" hidden="1" customHeight="1" x14ac:dyDescent="0.25">
      <c r="B2541" s="4">
        <v>3102</v>
      </c>
      <c r="C2541" s="36" t="str">
        <f>IF(Order!$C$358="","",Order!$C$358)</f>
        <v/>
      </c>
      <c r="D2541" s="36" t="str">
        <f>IF($C2541="","",_xlfn.XLOOKUP($C2541,Order!$C:$C,Order!$D:$D,"",0,1))</f>
        <v/>
      </c>
      <c r="E2541" s="4" t="str">
        <f>IF($C2541="","",_xlfn.XLOOKUP($C2541,Order!$C:$C,Order!$E:$E,"",0,1))</f>
        <v/>
      </c>
      <c r="F2541" s="4" t="str">
        <f>IF($C2541="","",_xlfn.XLOOKUP($C2541,Order!$C:$C,Order!$F:$F,"",0,1))</f>
        <v/>
      </c>
      <c r="G2541" s="4" t="str">
        <f>IF($C2541="","",_xlfn.XLOOKUP($C2541,Order!$C:$C,Order!$G:$G,"",0,1))</f>
        <v/>
      </c>
      <c r="H2541" s="4" t="str">
        <f>IF($C2541="","",_xlfn.XLOOKUP($C2541,Order!$C:$C,Order!$H:$H,"",0,1))</f>
        <v/>
      </c>
      <c r="I2541" s="36" t="str">
        <f>IF($C2541="","",_xlfn.XLOOKUP($C2541,Order!$C:$C,Order!#REF!,"",0,1))</f>
        <v/>
      </c>
      <c r="J2541" s="4" t="str">
        <f>IF(C2541="","",Order!#REF!)</f>
        <v/>
      </c>
      <c r="K2541" s="36" t="str">
        <f>IF($C2541="","",_xlfn.XLOOKUP($C2541,Order!$C:$C,Order!$P:$P,"",0,1))</f>
        <v/>
      </c>
      <c r="L2541" s="4" t="str">
        <f t="shared" si="42"/>
        <v/>
      </c>
    </row>
    <row r="2542" spans="2:12" ht="23.25" hidden="1" customHeight="1" x14ac:dyDescent="0.25">
      <c r="B2542" s="4">
        <v>3103</v>
      </c>
      <c r="C2542" s="36" t="str">
        <f>IF(Order!$C$359="","",Order!$C$359)</f>
        <v/>
      </c>
      <c r="D2542" s="36" t="str">
        <f>IF($C2542="","",_xlfn.XLOOKUP($C2542,Order!$C:$C,Order!$D:$D,"",0,1))</f>
        <v/>
      </c>
      <c r="E2542" s="4" t="str">
        <f>IF($C2542="","",_xlfn.XLOOKUP($C2542,Order!$C:$C,Order!$E:$E,"",0,1))</f>
        <v/>
      </c>
      <c r="F2542" s="4" t="str">
        <f>IF($C2542="","",_xlfn.XLOOKUP($C2542,Order!$C:$C,Order!$F:$F,"",0,1))</f>
        <v/>
      </c>
      <c r="G2542" s="4" t="str">
        <f>IF($C2542="","",_xlfn.XLOOKUP($C2542,Order!$C:$C,Order!$G:$G,"",0,1))</f>
        <v/>
      </c>
      <c r="H2542" s="4" t="str">
        <f>IF($C2542="","",_xlfn.XLOOKUP($C2542,Order!$C:$C,Order!$H:$H,"",0,1))</f>
        <v/>
      </c>
      <c r="I2542" s="36" t="str">
        <f>IF($C2542="","",_xlfn.XLOOKUP($C2542,Order!$C:$C,Order!#REF!,"",0,1))</f>
        <v/>
      </c>
      <c r="J2542" s="4" t="str">
        <f>IF(C2542="","",Order!#REF!)</f>
        <v/>
      </c>
      <c r="K2542" s="36" t="str">
        <f>IF($C2542="","",_xlfn.XLOOKUP($C2542,Order!$C:$C,Order!$P:$P,"",0,1))</f>
        <v/>
      </c>
      <c r="L2542" s="4" t="str">
        <f t="shared" si="42"/>
        <v/>
      </c>
    </row>
    <row r="2543" spans="2:12" ht="23.25" hidden="1" customHeight="1" x14ac:dyDescent="0.25">
      <c r="B2543" s="4">
        <v>3104</v>
      </c>
      <c r="C2543" s="36" t="str">
        <f>IF(Order!$C$360="","",Order!$C$360)</f>
        <v/>
      </c>
      <c r="D2543" s="36" t="str">
        <f>IF($C2543="","",_xlfn.XLOOKUP($C2543,Order!$C:$C,Order!$D:$D,"",0,1))</f>
        <v/>
      </c>
      <c r="E2543" s="4" t="str">
        <f>IF($C2543="","",_xlfn.XLOOKUP($C2543,Order!$C:$C,Order!$E:$E,"",0,1))</f>
        <v/>
      </c>
      <c r="F2543" s="4" t="str">
        <f>IF($C2543="","",_xlfn.XLOOKUP($C2543,Order!$C:$C,Order!$F:$F,"",0,1))</f>
        <v/>
      </c>
      <c r="G2543" s="4" t="str">
        <f>IF($C2543="","",_xlfn.XLOOKUP($C2543,Order!$C:$C,Order!$G:$G,"",0,1))</f>
        <v/>
      </c>
      <c r="H2543" s="4" t="str">
        <f>IF($C2543="","",_xlfn.XLOOKUP($C2543,Order!$C:$C,Order!$H:$H,"",0,1))</f>
        <v/>
      </c>
      <c r="I2543" s="36" t="str">
        <f>IF($C2543="","",_xlfn.XLOOKUP($C2543,Order!$C:$C,Order!#REF!,"",0,1))</f>
        <v/>
      </c>
      <c r="J2543" s="4" t="str">
        <f>IF(C2543="","",Order!#REF!)</f>
        <v/>
      </c>
      <c r="K2543" s="36" t="str">
        <f>IF($C2543="","",_xlfn.XLOOKUP($C2543,Order!$C:$C,Order!$P:$P,"",0,1))</f>
        <v/>
      </c>
      <c r="L2543" s="4" t="str">
        <f t="shared" si="42"/>
        <v/>
      </c>
    </row>
    <row r="2544" spans="2:12" ht="23.25" hidden="1" customHeight="1" x14ac:dyDescent="0.25">
      <c r="B2544" s="4">
        <v>3105</v>
      </c>
      <c r="C2544" s="36" t="str">
        <f>IF(Order!$C$361="","",Order!$C$361)</f>
        <v/>
      </c>
      <c r="D2544" s="36" t="str">
        <f>IF($C2544="","",_xlfn.XLOOKUP($C2544,Order!$C:$C,Order!$D:$D,"",0,1))</f>
        <v/>
      </c>
      <c r="E2544" s="4" t="str">
        <f>IF($C2544="","",_xlfn.XLOOKUP($C2544,Order!$C:$C,Order!$E:$E,"",0,1))</f>
        <v/>
      </c>
      <c r="F2544" s="4" t="str">
        <f>IF($C2544="","",_xlfn.XLOOKUP($C2544,Order!$C:$C,Order!$F:$F,"",0,1))</f>
        <v/>
      </c>
      <c r="G2544" s="4" t="str">
        <f>IF($C2544="","",_xlfn.XLOOKUP($C2544,Order!$C:$C,Order!$G:$G,"",0,1))</f>
        <v/>
      </c>
      <c r="H2544" s="4" t="str">
        <f>IF($C2544="","",_xlfn.XLOOKUP($C2544,Order!$C:$C,Order!$H:$H,"",0,1))</f>
        <v/>
      </c>
      <c r="I2544" s="36" t="str">
        <f>IF($C2544="","",_xlfn.XLOOKUP($C2544,Order!$C:$C,Order!#REF!,"",0,1))</f>
        <v/>
      </c>
      <c r="J2544" s="4" t="str">
        <f>IF(C2544="","",Order!#REF!)</f>
        <v/>
      </c>
      <c r="K2544" s="36" t="str">
        <f>IF($C2544="","",_xlfn.XLOOKUP($C2544,Order!$C:$C,Order!$P:$P,"",0,1))</f>
        <v/>
      </c>
      <c r="L2544" s="4" t="str">
        <f t="shared" si="42"/>
        <v/>
      </c>
    </row>
  </sheetData>
  <autoFilter ref="B5:L2544" xr:uid="{3A7DDB6A-5ABD-4573-9A3A-62312B5EE13D}">
    <filterColumn colId="1">
      <customFilters>
        <customFilter operator="notEqual" val=" "/>
      </customFilters>
    </filterColumn>
    <filterColumn colId="10">
      <filters>
        <filter val="105"/>
        <filter val="1053"/>
        <filter val="1103,4"/>
        <filter val="111"/>
        <filter val="118,2"/>
        <filter val="1188"/>
        <filter val="121,8"/>
        <filter val="126,72"/>
        <filter val="129"/>
        <filter val="138,9"/>
        <filter val="143,1"/>
        <filter val="145,8"/>
        <filter val="162"/>
        <filter val="171,6"/>
        <filter val="180"/>
        <filter val="185,4"/>
        <filter val="189,12"/>
        <filter val="192,6"/>
        <filter val="195,6"/>
        <filter val="198"/>
        <filter val="202,8"/>
        <filter val="205,44"/>
        <filter val="210,6"/>
        <filter val="225,6"/>
        <filter val="228,48"/>
        <filter val="232,5"/>
        <filter val="243"/>
        <filter val="243,84"/>
        <filter val="248,4"/>
        <filter val="2484"/>
        <filter val="255,84"/>
        <filter val="260,4"/>
        <filter val="2689,2"/>
        <filter val="27,3"/>
        <filter val="277,8"/>
        <filter val="279,6"/>
        <filter val="286,2"/>
        <filter val="288,9"/>
        <filter val="294,24"/>
        <filter val="298,8"/>
        <filter val="3088,8"/>
        <filter val="31,14"/>
        <filter val="315"/>
        <filter val="319,8"/>
        <filter val="385,2"/>
        <filter val="387,6"/>
        <filter val="394,08"/>
        <filter val="414"/>
        <filter val="439,2"/>
        <filter val="465"/>
        <filter val="486"/>
        <filter val="4892,4"/>
        <filter val="49,44"/>
        <filter val="51,9"/>
        <filter val="513,6"/>
        <filter val="514,8"/>
        <filter val="54,6"/>
        <filter val="543,6"/>
        <filter val="55,5"/>
        <filter val="577,8"/>
        <filter val="581,4"/>
        <filter val="585,6"/>
        <filter val="588"/>
        <filter val="645"/>
        <filter val="65,4"/>
        <filter val="6679,2"/>
        <filter val="6685,2"/>
        <filter val="705,6"/>
        <filter val="742,8"/>
        <filter val="781,2"/>
        <filter val="82,8"/>
        <filter val="838,8"/>
        <filter val="85,8"/>
        <filter val="910,8"/>
        <filter val="985,2"/>
      </filters>
    </filterColumn>
  </autoFilter>
  <mergeCells count="9">
    <mergeCell ref="B2:B3"/>
    <mergeCell ref="C3:D3"/>
    <mergeCell ref="C2:D2"/>
    <mergeCell ref="J2:K2"/>
    <mergeCell ref="E2:G2"/>
    <mergeCell ref="H2:I2"/>
    <mergeCell ref="E3:G3"/>
    <mergeCell ref="H3:I3"/>
    <mergeCell ref="J3:K3"/>
  </mergeCells>
  <conditionalFormatting sqref="D6:E2544 I6:I2544 K6:K2544">
    <cfRule type="cellIs" dxfId="0" priority="4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19A49-C90F-4D8B-9935-4EA4FD67EAB4}">
  <sheetPr codeName="Sheet2">
    <tabColor theme="1"/>
  </sheetPr>
  <dimension ref="A1:G400"/>
  <sheetViews>
    <sheetView workbookViewId="0">
      <pane ySplit="1" topLeftCell="A2" activePane="bottomLeft" state="frozen"/>
      <selection pane="bottomLeft" activeCell="B12" sqref="B12"/>
    </sheetView>
  </sheetViews>
  <sheetFormatPr defaultColWidth="9.140625" defaultRowHeight="37.5" customHeight="1" x14ac:dyDescent="0.25"/>
  <cols>
    <col min="1" max="1" width="40" style="1" customWidth="1"/>
    <col min="2" max="2" width="15.5703125" style="1" customWidth="1"/>
    <col min="3" max="3" width="14.28515625" style="1" customWidth="1"/>
    <col min="4" max="4" width="14.5703125" style="1" bestFit="1" customWidth="1"/>
    <col min="5" max="5" width="15.140625" style="1" bestFit="1" customWidth="1"/>
    <col min="6" max="6" width="11.7109375" style="1" bestFit="1" customWidth="1"/>
    <col min="7" max="7" width="9.5703125" style="1" bestFit="1" customWidth="1"/>
    <col min="8" max="16384" width="9.140625" style="1"/>
  </cols>
  <sheetData>
    <row r="1" spans="1:7" ht="37.5" customHeight="1" x14ac:dyDescent="0.25">
      <c r="A1" s="24" t="s">
        <v>340</v>
      </c>
      <c r="B1" s="24" t="s">
        <v>341</v>
      </c>
      <c r="C1" s="24" t="s">
        <v>342</v>
      </c>
      <c r="D1" s="24" t="s">
        <v>343</v>
      </c>
      <c r="E1" s="24" t="s">
        <v>344</v>
      </c>
      <c r="F1" s="24" t="s">
        <v>345</v>
      </c>
      <c r="G1" s="24" t="s">
        <v>346</v>
      </c>
    </row>
    <row r="2" spans="1:7" ht="37.5" customHeight="1" x14ac:dyDescent="0.25">
      <c r="A2" s="4"/>
      <c r="B2" s="4"/>
      <c r="C2" s="4"/>
      <c r="D2" s="4"/>
      <c r="E2" s="4"/>
      <c r="F2" s="4"/>
      <c r="G2" s="4"/>
    </row>
    <row r="3" spans="1:7" ht="37.5" customHeight="1" x14ac:dyDescent="0.25">
      <c r="A3" s="4"/>
      <c r="B3" s="4"/>
      <c r="C3" s="4"/>
      <c r="D3" s="4"/>
      <c r="E3" s="4"/>
      <c r="F3" s="4"/>
      <c r="G3" s="4"/>
    </row>
    <row r="4" spans="1:7" ht="37.5" customHeight="1" x14ac:dyDescent="0.25">
      <c r="A4" s="4"/>
      <c r="B4" s="4"/>
      <c r="C4" s="4"/>
      <c r="D4" s="4"/>
      <c r="E4" s="4"/>
      <c r="F4" s="4"/>
      <c r="G4" s="4"/>
    </row>
    <row r="5" spans="1:7" ht="37.5" customHeight="1" x14ac:dyDescent="0.25">
      <c r="A5" s="4"/>
      <c r="B5" s="4"/>
      <c r="C5" s="4"/>
      <c r="D5" s="4"/>
      <c r="E5" s="4"/>
      <c r="F5" s="4"/>
      <c r="G5" s="4"/>
    </row>
    <row r="6" spans="1:7" ht="37.5" customHeight="1" x14ac:dyDescent="0.25">
      <c r="A6" s="4"/>
      <c r="B6" s="4"/>
      <c r="C6" s="4"/>
      <c r="D6" s="4"/>
      <c r="E6" s="4"/>
      <c r="F6" s="4"/>
      <c r="G6" s="4"/>
    </row>
    <row r="7" spans="1:7" ht="37.5" customHeight="1" x14ac:dyDescent="0.25">
      <c r="A7" s="4"/>
      <c r="B7" s="4"/>
      <c r="C7" s="4"/>
      <c r="D7" s="4"/>
      <c r="E7" s="4"/>
      <c r="F7" s="4"/>
      <c r="G7" s="4"/>
    </row>
    <row r="8" spans="1:7" ht="37.5" customHeight="1" x14ac:dyDescent="0.25">
      <c r="A8" s="4"/>
      <c r="B8" s="4"/>
      <c r="C8" s="4"/>
      <c r="D8" s="4"/>
      <c r="E8" s="4"/>
      <c r="F8" s="4"/>
      <c r="G8" s="4"/>
    </row>
    <row r="9" spans="1:7" ht="37.5" customHeight="1" x14ac:dyDescent="0.25">
      <c r="A9" s="4"/>
      <c r="B9" s="4"/>
      <c r="C9" s="4"/>
      <c r="D9" s="4"/>
      <c r="E9" s="4"/>
      <c r="F9" s="4"/>
      <c r="G9" s="4"/>
    </row>
    <row r="10" spans="1:7" ht="37.5" customHeight="1" x14ac:dyDescent="0.25">
      <c r="A10" s="4"/>
      <c r="B10" s="4"/>
      <c r="C10" s="4"/>
      <c r="D10" s="4"/>
      <c r="E10" s="4"/>
      <c r="F10" s="4"/>
      <c r="G10" s="4"/>
    </row>
    <row r="11" spans="1:7" ht="37.5" customHeight="1" x14ac:dyDescent="0.25">
      <c r="A11" s="4"/>
      <c r="B11" s="4"/>
      <c r="C11" s="4"/>
      <c r="D11" s="4"/>
      <c r="E11" s="4"/>
      <c r="F11" s="4"/>
      <c r="G11" s="4"/>
    </row>
    <row r="12" spans="1:7" ht="37.5" customHeight="1" x14ac:dyDescent="0.25">
      <c r="A12" s="4"/>
      <c r="B12" s="4"/>
      <c r="C12" s="4"/>
      <c r="D12" s="4"/>
      <c r="E12" s="4"/>
      <c r="F12" s="4"/>
      <c r="G12" s="4"/>
    </row>
    <row r="13" spans="1:7" ht="37.5" customHeight="1" x14ac:dyDescent="0.25">
      <c r="A13" s="4"/>
      <c r="B13" s="4"/>
      <c r="C13" s="4"/>
      <c r="D13" s="4"/>
      <c r="E13" s="4"/>
      <c r="F13" s="4"/>
      <c r="G13" s="4"/>
    </row>
    <row r="14" spans="1:7" ht="37.5" customHeight="1" x14ac:dyDescent="0.25">
      <c r="A14" s="4"/>
      <c r="B14" s="4"/>
      <c r="C14" s="4"/>
      <c r="D14" s="4"/>
      <c r="E14" s="4"/>
      <c r="F14" s="4"/>
      <c r="G14" s="4"/>
    </row>
    <row r="15" spans="1:7" ht="37.5" customHeight="1" x14ac:dyDescent="0.25">
      <c r="A15" s="4"/>
      <c r="B15" s="4"/>
      <c r="C15" s="4"/>
      <c r="D15" s="4"/>
      <c r="E15" s="4"/>
      <c r="F15" s="4"/>
      <c r="G15" s="4"/>
    </row>
    <row r="16" spans="1:7" ht="37.5" customHeight="1" x14ac:dyDescent="0.25">
      <c r="A16" s="4"/>
      <c r="B16" s="4"/>
      <c r="C16" s="4"/>
      <c r="D16" s="4"/>
      <c r="E16" s="4"/>
      <c r="F16" s="4"/>
      <c r="G16" s="4"/>
    </row>
    <row r="17" spans="1:7" ht="37.5" customHeight="1" x14ac:dyDescent="0.25">
      <c r="A17" s="4"/>
      <c r="B17" s="4"/>
      <c r="C17" s="4"/>
      <c r="D17" s="4"/>
      <c r="E17" s="4"/>
      <c r="F17" s="4"/>
      <c r="G17" s="4"/>
    </row>
    <row r="18" spans="1:7" ht="37.5" customHeight="1" x14ac:dyDescent="0.25">
      <c r="A18" s="4"/>
      <c r="B18" s="4"/>
      <c r="C18" s="4"/>
      <c r="D18" s="4"/>
      <c r="E18" s="4"/>
      <c r="F18" s="4"/>
      <c r="G18" s="4"/>
    </row>
    <row r="19" spans="1:7" ht="37.5" customHeight="1" x14ac:dyDescent="0.25">
      <c r="A19" s="4"/>
      <c r="B19" s="4"/>
      <c r="C19" s="4"/>
      <c r="D19" s="4"/>
      <c r="E19" s="4"/>
      <c r="F19" s="4"/>
      <c r="G19" s="4"/>
    </row>
    <row r="20" spans="1:7" ht="37.5" customHeight="1" x14ac:dyDescent="0.25">
      <c r="A20" s="4"/>
      <c r="B20" s="4"/>
      <c r="C20" s="4"/>
      <c r="D20" s="4"/>
      <c r="E20" s="4"/>
      <c r="F20" s="4"/>
      <c r="G20" s="4"/>
    </row>
    <row r="21" spans="1:7" ht="37.5" customHeight="1" x14ac:dyDescent="0.25">
      <c r="A21" s="4"/>
      <c r="B21" s="4"/>
      <c r="C21" s="4"/>
      <c r="D21" s="4"/>
      <c r="E21" s="4"/>
      <c r="F21" s="4"/>
      <c r="G21" s="4"/>
    </row>
    <row r="22" spans="1:7" ht="37.5" customHeight="1" x14ac:dyDescent="0.25">
      <c r="A22" s="4"/>
      <c r="B22" s="4"/>
      <c r="C22" s="4"/>
      <c r="D22" s="4"/>
      <c r="E22" s="4"/>
      <c r="F22" s="4"/>
      <c r="G22" s="4"/>
    </row>
    <row r="23" spans="1:7" ht="37.5" customHeight="1" x14ac:dyDescent="0.25">
      <c r="A23" s="4"/>
      <c r="B23" s="4"/>
      <c r="C23" s="4"/>
      <c r="D23" s="4"/>
      <c r="E23" s="4"/>
      <c r="F23" s="4"/>
      <c r="G23" s="4"/>
    </row>
    <row r="24" spans="1:7" ht="37.5" customHeight="1" x14ac:dyDescent="0.25">
      <c r="A24" s="4"/>
      <c r="B24" s="4"/>
      <c r="C24" s="4"/>
      <c r="D24" s="4"/>
      <c r="E24" s="4"/>
      <c r="F24" s="4"/>
      <c r="G24" s="4"/>
    </row>
    <row r="25" spans="1:7" ht="37.5" customHeight="1" x14ac:dyDescent="0.25">
      <c r="A25" s="4"/>
      <c r="B25" s="4"/>
      <c r="C25" s="4"/>
      <c r="D25" s="4"/>
      <c r="E25" s="4"/>
      <c r="F25" s="4"/>
      <c r="G25" s="4"/>
    </row>
    <row r="26" spans="1:7" ht="37.5" customHeight="1" x14ac:dyDescent="0.25">
      <c r="A26" s="4"/>
      <c r="B26" s="4"/>
      <c r="C26" s="26"/>
      <c r="D26" s="4"/>
      <c r="E26" s="4"/>
      <c r="F26" s="4"/>
      <c r="G26" s="4"/>
    </row>
    <row r="27" spans="1:7" ht="37.5" customHeight="1" x14ac:dyDescent="0.25">
      <c r="A27" s="4"/>
      <c r="B27" s="4"/>
      <c r="C27" s="4"/>
      <c r="D27" s="4"/>
      <c r="E27" s="4"/>
      <c r="F27" s="4"/>
      <c r="G27" s="4"/>
    </row>
    <row r="28" spans="1:7" ht="37.5" customHeight="1" x14ac:dyDescent="0.25">
      <c r="A28" s="4"/>
      <c r="B28" s="4"/>
      <c r="C28" s="4"/>
      <c r="D28" s="4"/>
      <c r="E28" s="4"/>
      <c r="F28" s="4"/>
      <c r="G28" s="4"/>
    </row>
    <row r="29" spans="1:7" ht="37.5" customHeight="1" x14ac:dyDescent="0.25">
      <c r="A29" s="4"/>
      <c r="B29" s="4"/>
      <c r="C29" s="4"/>
      <c r="D29" s="4"/>
      <c r="E29" s="4"/>
      <c r="F29" s="4"/>
      <c r="G29" s="4"/>
    </row>
    <row r="30" spans="1:7" ht="37.5" customHeight="1" x14ac:dyDescent="0.25">
      <c r="A30" s="4"/>
      <c r="B30" s="4"/>
      <c r="C30" s="4"/>
      <c r="D30" s="4"/>
      <c r="E30" s="4"/>
      <c r="F30" s="4"/>
      <c r="G30" s="4"/>
    </row>
    <row r="31" spans="1:7" ht="37.5" customHeight="1" x14ac:dyDescent="0.25">
      <c r="A31" s="4"/>
      <c r="B31" s="4"/>
      <c r="C31" s="4"/>
      <c r="D31" s="4"/>
      <c r="E31" s="4"/>
      <c r="F31" s="4"/>
      <c r="G31" s="4"/>
    </row>
    <row r="32" spans="1:7" ht="37.5" customHeight="1" x14ac:dyDescent="0.25">
      <c r="A32" s="4"/>
      <c r="B32" s="4"/>
      <c r="C32" s="4"/>
      <c r="D32" s="4"/>
      <c r="E32" s="4"/>
      <c r="F32" s="4"/>
      <c r="G32" s="4"/>
    </row>
    <row r="33" spans="1:7" ht="37.5" customHeight="1" x14ac:dyDescent="0.25">
      <c r="A33" s="4"/>
      <c r="B33" s="4"/>
      <c r="C33" s="4"/>
      <c r="D33" s="4"/>
      <c r="E33" s="4"/>
      <c r="F33" s="4"/>
      <c r="G33" s="4"/>
    </row>
    <row r="34" spans="1:7" ht="37.5" customHeight="1" x14ac:dyDescent="0.25">
      <c r="A34" s="4"/>
      <c r="B34" s="4"/>
      <c r="C34" s="4"/>
      <c r="D34" s="4"/>
      <c r="E34" s="4"/>
      <c r="F34" s="4"/>
      <c r="G34" s="4"/>
    </row>
    <row r="35" spans="1:7" ht="37.5" customHeight="1" x14ac:dyDescent="0.25">
      <c r="A35" s="4"/>
      <c r="B35" s="4"/>
      <c r="C35" s="4"/>
      <c r="D35" s="4"/>
      <c r="E35" s="4"/>
      <c r="F35" s="4"/>
      <c r="G35" s="4"/>
    </row>
    <row r="36" spans="1:7" ht="37.5" customHeight="1" x14ac:dyDescent="0.25">
      <c r="A36" s="4"/>
      <c r="B36" s="4"/>
      <c r="C36" s="4"/>
      <c r="D36" s="4"/>
      <c r="E36" s="4"/>
      <c r="F36" s="4"/>
      <c r="G36" s="4"/>
    </row>
    <row r="37" spans="1:7" ht="37.5" customHeight="1" x14ac:dyDescent="0.25">
      <c r="A37" s="4"/>
      <c r="B37" s="4"/>
      <c r="C37" s="4"/>
      <c r="D37" s="4"/>
      <c r="E37" s="4"/>
      <c r="F37" s="4"/>
      <c r="G37" s="4"/>
    </row>
    <row r="38" spans="1:7" ht="37.5" customHeight="1" x14ac:dyDescent="0.25">
      <c r="A38" s="4"/>
      <c r="B38" s="4"/>
      <c r="C38" s="4"/>
      <c r="D38" s="4"/>
      <c r="E38" s="4"/>
      <c r="F38" s="4"/>
      <c r="G38" s="4"/>
    </row>
    <row r="39" spans="1:7" ht="37.5" customHeight="1" x14ac:dyDescent="0.25">
      <c r="A39" s="4"/>
      <c r="B39" s="4"/>
      <c r="C39" s="4"/>
      <c r="D39" s="4"/>
      <c r="E39" s="4"/>
      <c r="F39" s="4"/>
      <c r="G39" s="4"/>
    </row>
    <row r="40" spans="1:7" ht="37.5" customHeight="1" x14ac:dyDescent="0.25">
      <c r="A40" s="4"/>
      <c r="B40" s="4"/>
      <c r="C40" s="4"/>
      <c r="D40" s="4"/>
      <c r="E40" s="4"/>
      <c r="F40" s="4"/>
      <c r="G40" s="4"/>
    </row>
    <row r="41" spans="1:7" ht="37.5" customHeight="1" x14ac:dyDescent="0.25">
      <c r="A41" s="4"/>
      <c r="B41" s="4"/>
      <c r="C41" s="4"/>
      <c r="D41" s="4"/>
      <c r="E41" s="4"/>
      <c r="F41" s="4"/>
      <c r="G41" s="4"/>
    </row>
    <row r="42" spans="1:7" ht="37.5" customHeight="1" x14ac:dyDescent="0.25">
      <c r="A42" s="4"/>
      <c r="B42" s="4"/>
      <c r="C42" s="4"/>
      <c r="D42" s="4"/>
      <c r="E42" s="4"/>
      <c r="F42" s="4"/>
      <c r="G42" s="4"/>
    </row>
    <row r="43" spans="1:7" ht="37.5" customHeight="1" x14ac:dyDescent="0.25">
      <c r="A43" s="4"/>
      <c r="B43" s="4"/>
      <c r="C43" s="4"/>
      <c r="D43" s="4"/>
      <c r="E43" s="4"/>
      <c r="F43" s="4"/>
      <c r="G43" s="4"/>
    </row>
    <row r="44" spans="1:7" ht="37.5" customHeight="1" x14ac:dyDescent="0.25">
      <c r="A44" s="4"/>
      <c r="B44" s="4"/>
      <c r="C44" s="4"/>
      <c r="D44" s="4"/>
      <c r="E44" s="4"/>
      <c r="F44" s="4"/>
      <c r="G44" s="4"/>
    </row>
    <row r="45" spans="1:7" ht="37.5" customHeight="1" x14ac:dyDescent="0.25">
      <c r="A45" s="4"/>
      <c r="B45" s="4"/>
      <c r="C45" s="4"/>
      <c r="D45" s="4"/>
      <c r="E45" s="4"/>
      <c r="F45" s="4"/>
      <c r="G45" s="4"/>
    </row>
    <row r="46" spans="1:7" ht="37.5" customHeight="1" x14ac:dyDescent="0.25">
      <c r="A46" s="4"/>
      <c r="B46" s="4"/>
      <c r="C46" s="4"/>
      <c r="D46" s="4"/>
      <c r="E46" s="4"/>
      <c r="F46" s="4"/>
      <c r="G46" s="4"/>
    </row>
    <row r="47" spans="1:7" ht="37.5" customHeight="1" x14ac:dyDescent="0.25">
      <c r="A47" s="4"/>
      <c r="B47" s="4"/>
      <c r="C47" s="4"/>
      <c r="D47" s="4"/>
      <c r="E47" s="4"/>
      <c r="F47" s="4"/>
      <c r="G47" s="4"/>
    </row>
    <row r="48" spans="1:7" ht="37.5" customHeight="1" x14ac:dyDescent="0.25">
      <c r="A48" s="4"/>
      <c r="B48" s="4"/>
      <c r="C48" s="4"/>
      <c r="D48" s="4"/>
      <c r="E48" s="4"/>
      <c r="F48" s="4"/>
      <c r="G48" s="4"/>
    </row>
    <row r="49" spans="1:7" ht="37.5" customHeight="1" x14ac:dyDescent="0.25">
      <c r="A49" s="4"/>
      <c r="B49" s="4"/>
      <c r="C49" s="4"/>
      <c r="D49" s="4"/>
      <c r="E49" s="4"/>
      <c r="F49" s="4"/>
      <c r="G49" s="4"/>
    </row>
    <row r="50" spans="1:7" ht="37.5" customHeight="1" x14ac:dyDescent="0.25">
      <c r="A50" s="4"/>
      <c r="B50" s="4"/>
      <c r="C50" s="4"/>
      <c r="D50" s="4"/>
      <c r="E50" s="4"/>
      <c r="F50" s="4"/>
      <c r="G50" s="4"/>
    </row>
    <row r="51" spans="1:7" ht="37.5" customHeight="1" x14ac:dyDescent="0.25">
      <c r="A51" s="4"/>
      <c r="B51" s="4"/>
      <c r="C51" s="4"/>
      <c r="D51" s="4"/>
      <c r="E51" s="4"/>
      <c r="F51" s="4"/>
      <c r="G51" s="4"/>
    </row>
    <row r="52" spans="1:7" ht="37.5" customHeight="1" x14ac:dyDescent="0.25">
      <c r="A52" s="4"/>
      <c r="B52" s="4"/>
      <c r="C52" s="4"/>
      <c r="D52" s="4"/>
      <c r="E52" s="4"/>
      <c r="F52" s="4"/>
      <c r="G52" s="4"/>
    </row>
    <row r="53" spans="1:7" ht="37.5" customHeight="1" x14ac:dyDescent="0.25">
      <c r="A53" s="4"/>
      <c r="B53" s="4"/>
      <c r="C53" s="4"/>
      <c r="D53" s="4"/>
      <c r="E53" s="4"/>
      <c r="F53" s="4"/>
      <c r="G53" s="4"/>
    </row>
    <row r="54" spans="1:7" ht="37.5" customHeight="1" x14ac:dyDescent="0.25">
      <c r="A54" s="4"/>
      <c r="B54" s="4"/>
      <c r="C54" s="4"/>
      <c r="D54" s="4"/>
      <c r="E54" s="4"/>
      <c r="F54" s="4"/>
      <c r="G54" s="4"/>
    </row>
    <row r="55" spans="1:7" ht="37.5" customHeight="1" x14ac:dyDescent="0.25">
      <c r="A55" s="4"/>
      <c r="B55" s="4"/>
      <c r="C55" s="4"/>
      <c r="D55" s="4"/>
      <c r="E55" s="4"/>
      <c r="F55" s="4"/>
      <c r="G55" s="4"/>
    </row>
    <row r="56" spans="1:7" ht="37.5" customHeight="1" x14ac:dyDescent="0.25">
      <c r="A56" s="4"/>
      <c r="B56" s="4"/>
      <c r="C56" s="4"/>
      <c r="D56" s="4"/>
      <c r="E56" s="4"/>
      <c r="F56" s="4"/>
      <c r="G56" s="4"/>
    </row>
    <row r="57" spans="1:7" ht="37.5" customHeight="1" x14ac:dyDescent="0.25">
      <c r="A57" s="4"/>
      <c r="B57" s="4"/>
      <c r="C57" s="4"/>
      <c r="D57" s="4"/>
      <c r="E57" s="4"/>
      <c r="F57" s="4"/>
      <c r="G57" s="4"/>
    </row>
    <row r="58" spans="1:7" ht="37.5" customHeight="1" x14ac:dyDescent="0.25">
      <c r="A58" s="4"/>
      <c r="B58" s="4"/>
      <c r="C58" s="4"/>
      <c r="D58" s="4"/>
      <c r="E58" s="4"/>
      <c r="F58" s="4"/>
      <c r="G58" s="4"/>
    </row>
    <row r="59" spans="1:7" ht="37.5" customHeight="1" x14ac:dyDescent="0.25">
      <c r="A59" s="4"/>
      <c r="B59" s="4"/>
      <c r="C59" s="4"/>
      <c r="D59" s="4"/>
      <c r="E59" s="4"/>
      <c r="F59" s="4"/>
      <c r="G59" s="4"/>
    </row>
    <row r="60" spans="1:7" ht="37.5" customHeight="1" x14ac:dyDescent="0.25">
      <c r="A60" s="4"/>
      <c r="B60" s="4"/>
      <c r="C60" s="4"/>
      <c r="D60" s="4"/>
      <c r="E60" s="4"/>
      <c r="F60" s="4"/>
      <c r="G60" s="4"/>
    </row>
    <row r="61" spans="1:7" ht="37.5" customHeight="1" x14ac:dyDescent="0.25">
      <c r="A61" s="4"/>
      <c r="B61" s="4"/>
      <c r="C61" s="4"/>
      <c r="D61" s="4"/>
      <c r="E61" s="4"/>
      <c r="F61" s="4"/>
      <c r="G61" s="4"/>
    </row>
    <row r="62" spans="1:7" ht="37.5" customHeight="1" x14ac:dyDescent="0.25">
      <c r="A62" s="4"/>
      <c r="B62" s="4"/>
      <c r="C62" s="4"/>
      <c r="D62" s="4"/>
      <c r="E62" s="4"/>
      <c r="F62" s="4"/>
      <c r="G62" s="4"/>
    </row>
    <row r="63" spans="1:7" ht="37.5" customHeight="1" x14ac:dyDescent="0.25">
      <c r="A63" s="4"/>
      <c r="B63" s="4"/>
      <c r="C63" s="4"/>
      <c r="D63" s="4"/>
      <c r="E63" s="4"/>
      <c r="F63" s="4"/>
      <c r="G63" s="4"/>
    </row>
    <row r="64" spans="1:7" ht="37.5" customHeight="1" x14ac:dyDescent="0.25">
      <c r="A64" s="4"/>
      <c r="B64" s="4"/>
      <c r="C64" s="4"/>
      <c r="D64" s="4"/>
      <c r="E64" s="4"/>
      <c r="F64" s="4"/>
      <c r="G64" s="4"/>
    </row>
    <row r="65" spans="1:7" ht="37.5" customHeight="1" x14ac:dyDescent="0.25">
      <c r="A65" s="4"/>
      <c r="B65" s="4"/>
      <c r="C65" s="4"/>
      <c r="D65" s="4"/>
      <c r="E65" s="4"/>
      <c r="F65" s="4"/>
      <c r="G65" s="4"/>
    </row>
    <row r="66" spans="1:7" ht="37.5" customHeight="1" x14ac:dyDescent="0.25">
      <c r="A66" s="4"/>
      <c r="B66" s="4"/>
      <c r="C66" s="4"/>
      <c r="D66" s="4"/>
      <c r="E66" s="4"/>
      <c r="F66" s="4"/>
      <c r="G66" s="4"/>
    </row>
    <row r="67" spans="1:7" ht="37.5" customHeight="1" x14ac:dyDescent="0.25">
      <c r="A67" s="4"/>
      <c r="B67" s="4"/>
      <c r="C67" s="4"/>
      <c r="D67" s="4"/>
      <c r="E67" s="4"/>
      <c r="F67" s="4"/>
      <c r="G67" s="4"/>
    </row>
    <row r="68" spans="1:7" ht="37.5" customHeight="1" x14ac:dyDescent="0.25">
      <c r="A68" s="4"/>
      <c r="B68" s="4"/>
      <c r="C68" s="4"/>
      <c r="D68" s="4"/>
      <c r="E68" s="4"/>
      <c r="F68" s="4"/>
      <c r="G68" s="4"/>
    </row>
    <row r="69" spans="1:7" ht="37.5" customHeight="1" x14ac:dyDescent="0.25">
      <c r="A69" s="4"/>
      <c r="B69" s="4"/>
      <c r="C69" s="4"/>
      <c r="D69" s="4"/>
      <c r="E69" s="4"/>
      <c r="F69" s="4"/>
      <c r="G69" s="4"/>
    </row>
    <row r="70" spans="1:7" ht="37.5" customHeight="1" x14ac:dyDescent="0.25">
      <c r="A70" s="4"/>
      <c r="B70" s="4"/>
      <c r="C70" s="4"/>
      <c r="D70" s="4"/>
      <c r="E70" s="4"/>
      <c r="F70" s="4"/>
      <c r="G70" s="4"/>
    </row>
    <row r="71" spans="1:7" ht="37.5" customHeight="1" x14ac:dyDescent="0.25">
      <c r="A71" s="4"/>
      <c r="B71" s="4"/>
      <c r="C71" s="4"/>
      <c r="D71" s="4"/>
      <c r="E71" s="4"/>
      <c r="F71" s="4"/>
      <c r="G71" s="4"/>
    </row>
    <row r="72" spans="1:7" ht="37.5" customHeight="1" x14ac:dyDescent="0.25">
      <c r="A72" s="4"/>
      <c r="B72" s="4"/>
      <c r="C72" s="4"/>
      <c r="D72" s="4"/>
      <c r="E72" s="4"/>
      <c r="F72" s="4"/>
      <c r="G72" s="4"/>
    </row>
    <row r="73" spans="1:7" ht="37.5" customHeight="1" x14ac:dyDescent="0.25">
      <c r="A73" s="4"/>
      <c r="B73" s="4"/>
      <c r="C73" s="4"/>
      <c r="D73" s="4"/>
      <c r="E73" s="4"/>
      <c r="F73" s="4"/>
      <c r="G73" s="4"/>
    </row>
    <row r="74" spans="1:7" ht="37.5" customHeight="1" x14ac:dyDescent="0.25">
      <c r="A74" s="4"/>
      <c r="B74" s="4"/>
      <c r="C74" s="4"/>
      <c r="D74" s="4"/>
      <c r="E74" s="4"/>
      <c r="F74" s="4"/>
      <c r="G74" s="4"/>
    </row>
    <row r="75" spans="1:7" ht="37.5" customHeight="1" x14ac:dyDescent="0.25">
      <c r="A75" s="4"/>
      <c r="B75" s="4"/>
      <c r="C75" s="4"/>
      <c r="D75" s="4"/>
      <c r="E75" s="4"/>
      <c r="F75" s="4"/>
      <c r="G75" s="4"/>
    </row>
    <row r="76" spans="1:7" ht="37.5" customHeight="1" x14ac:dyDescent="0.25">
      <c r="A76" s="4"/>
      <c r="B76" s="4"/>
      <c r="C76" s="4"/>
      <c r="D76" s="4"/>
      <c r="E76" s="4"/>
      <c r="F76" s="4"/>
      <c r="G76" s="4"/>
    </row>
    <row r="77" spans="1:7" ht="37.5" customHeight="1" x14ac:dyDescent="0.25">
      <c r="A77" s="4"/>
      <c r="B77" s="4"/>
      <c r="C77" s="4"/>
      <c r="D77" s="4"/>
      <c r="E77" s="4"/>
      <c r="F77" s="4"/>
      <c r="G77" s="4"/>
    </row>
    <row r="78" spans="1:7" ht="37.5" customHeight="1" x14ac:dyDescent="0.25">
      <c r="A78" s="4"/>
      <c r="B78" s="4"/>
      <c r="C78" s="4"/>
      <c r="D78" s="4"/>
      <c r="E78" s="4"/>
      <c r="F78" s="4"/>
      <c r="G78" s="4"/>
    </row>
    <row r="79" spans="1:7" ht="37.5" customHeight="1" x14ac:dyDescent="0.25">
      <c r="A79" s="4"/>
      <c r="B79" s="4"/>
      <c r="C79" s="4"/>
      <c r="D79" s="4"/>
      <c r="E79" s="4"/>
      <c r="F79" s="4"/>
      <c r="G79" s="4"/>
    </row>
    <row r="80" spans="1:7" ht="37.5" customHeight="1" x14ac:dyDescent="0.25">
      <c r="A80" s="4"/>
      <c r="B80" s="4"/>
      <c r="C80" s="4"/>
      <c r="D80" s="4"/>
      <c r="E80" s="4"/>
      <c r="F80" s="4"/>
      <c r="G80" s="4"/>
    </row>
    <row r="81" spans="1:7" ht="37.5" customHeight="1" x14ac:dyDescent="0.25">
      <c r="A81" s="4"/>
      <c r="B81" s="4"/>
      <c r="C81" s="4"/>
      <c r="D81" s="4"/>
      <c r="E81" s="4"/>
      <c r="F81" s="4"/>
      <c r="G81" s="4"/>
    </row>
    <row r="82" spans="1:7" ht="37.5" customHeight="1" x14ac:dyDescent="0.25">
      <c r="A82" s="4"/>
      <c r="B82" s="4"/>
      <c r="C82" s="4"/>
      <c r="D82" s="4"/>
      <c r="E82" s="4"/>
      <c r="F82" s="4"/>
      <c r="G82" s="4"/>
    </row>
    <row r="83" spans="1:7" ht="37.5" customHeight="1" x14ac:dyDescent="0.25">
      <c r="A83" s="4"/>
      <c r="B83" s="4"/>
      <c r="C83" s="4"/>
      <c r="D83" s="4"/>
      <c r="E83" s="4"/>
      <c r="F83" s="4"/>
      <c r="G83" s="4"/>
    </row>
    <row r="84" spans="1:7" ht="37.5" customHeight="1" x14ac:dyDescent="0.25">
      <c r="A84" s="4"/>
      <c r="B84" s="4"/>
      <c r="C84" s="4"/>
      <c r="D84" s="4"/>
      <c r="E84" s="4"/>
      <c r="F84" s="4"/>
      <c r="G84" s="4"/>
    </row>
    <row r="85" spans="1:7" ht="37.5" customHeight="1" x14ac:dyDescent="0.25">
      <c r="A85" s="4"/>
      <c r="B85" s="4"/>
      <c r="C85" s="4"/>
      <c r="D85" s="4"/>
      <c r="E85" s="4"/>
      <c r="F85" s="4"/>
      <c r="G85" s="4"/>
    </row>
    <row r="86" spans="1:7" ht="37.5" customHeight="1" x14ac:dyDescent="0.25">
      <c r="A86" s="4"/>
      <c r="B86" s="4"/>
      <c r="C86" s="4"/>
      <c r="D86" s="4"/>
      <c r="E86" s="4"/>
      <c r="F86" s="4"/>
      <c r="G86" s="4"/>
    </row>
    <row r="87" spans="1:7" ht="37.5" customHeight="1" x14ac:dyDescent="0.25">
      <c r="A87" s="4"/>
      <c r="B87" s="4"/>
      <c r="C87" s="4"/>
      <c r="D87" s="4"/>
      <c r="E87" s="4"/>
      <c r="F87" s="4"/>
      <c r="G87" s="4"/>
    </row>
    <row r="88" spans="1:7" ht="37.5" customHeight="1" x14ac:dyDescent="0.25">
      <c r="A88" s="4"/>
      <c r="B88" s="4"/>
      <c r="C88" s="4"/>
      <c r="D88" s="4"/>
      <c r="E88" s="4"/>
      <c r="F88" s="4"/>
      <c r="G88" s="4"/>
    </row>
    <row r="89" spans="1:7" ht="37.5" customHeight="1" x14ac:dyDescent="0.25">
      <c r="A89" s="4"/>
      <c r="B89" s="4"/>
      <c r="C89" s="4"/>
      <c r="D89" s="4"/>
      <c r="E89" s="4"/>
      <c r="F89" s="4"/>
      <c r="G89" s="4"/>
    </row>
    <row r="90" spans="1:7" ht="37.5" customHeight="1" x14ac:dyDescent="0.25">
      <c r="A90" s="4"/>
      <c r="B90" s="4"/>
      <c r="C90" s="4"/>
      <c r="D90" s="4"/>
      <c r="E90" s="4"/>
      <c r="F90" s="4"/>
      <c r="G90" s="4"/>
    </row>
    <row r="91" spans="1:7" ht="37.5" customHeight="1" x14ac:dyDescent="0.25">
      <c r="A91" s="4"/>
      <c r="B91" s="4"/>
      <c r="C91" s="4"/>
      <c r="D91" s="4"/>
      <c r="E91" s="4"/>
      <c r="F91" s="4"/>
      <c r="G91" s="4"/>
    </row>
    <row r="92" spans="1:7" ht="37.5" customHeight="1" x14ac:dyDescent="0.25">
      <c r="A92" s="4"/>
      <c r="B92" s="4"/>
      <c r="C92" s="4"/>
      <c r="D92" s="4"/>
      <c r="E92" s="4"/>
      <c r="F92" s="4"/>
      <c r="G92" s="4"/>
    </row>
    <row r="93" spans="1:7" ht="37.5" customHeight="1" x14ac:dyDescent="0.25">
      <c r="A93" s="4"/>
      <c r="B93" s="4"/>
      <c r="C93" s="4"/>
      <c r="D93" s="4"/>
      <c r="E93" s="4"/>
      <c r="F93" s="4"/>
      <c r="G93" s="4"/>
    </row>
    <row r="94" spans="1:7" ht="37.5" customHeight="1" x14ac:dyDescent="0.25">
      <c r="A94" s="4"/>
      <c r="B94" s="4"/>
      <c r="C94" s="4"/>
      <c r="D94" s="4"/>
      <c r="E94" s="4"/>
      <c r="F94" s="4"/>
      <c r="G94" s="4"/>
    </row>
    <row r="95" spans="1:7" ht="37.5" customHeight="1" x14ac:dyDescent="0.25">
      <c r="A95" s="4"/>
      <c r="B95" s="4"/>
      <c r="C95" s="4"/>
      <c r="D95" s="4"/>
      <c r="E95" s="4"/>
      <c r="F95" s="4"/>
      <c r="G95" s="4"/>
    </row>
    <row r="96" spans="1:7" ht="37.5" customHeight="1" x14ac:dyDescent="0.25">
      <c r="A96" s="4"/>
      <c r="B96" s="4"/>
      <c r="C96" s="4"/>
      <c r="D96" s="4"/>
      <c r="E96" s="4"/>
      <c r="F96" s="4"/>
      <c r="G96" s="4"/>
    </row>
    <row r="97" spans="1:7" ht="37.5" customHeight="1" x14ac:dyDescent="0.25">
      <c r="A97" s="4"/>
      <c r="B97" s="4"/>
      <c r="C97" s="4"/>
      <c r="D97" s="4"/>
      <c r="E97" s="4"/>
      <c r="F97" s="4"/>
      <c r="G97" s="4"/>
    </row>
    <row r="98" spans="1:7" ht="37.5" customHeight="1" x14ac:dyDescent="0.25">
      <c r="A98" s="4"/>
      <c r="B98" s="4"/>
      <c r="C98" s="4"/>
      <c r="D98" s="4"/>
      <c r="E98" s="4"/>
      <c r="F98" s="4"/>
      <c r="G98" s="4"/>
    </row>
    <row r="99" spans="1:7" ht="37.5" customHeight="1" x14ac:dyDescent="0.25">
      <c r="A99" s="4"/>
      <c r="B99" s="4"/>
      <c r="C99" s="4"/>
      <c r="D99" s="4"/>
      <c r="E99" s="4"/>
      <c r="F99" s="4"/>
      <c r="G99" s="4"/>
    </row>
    <row r="100" spans="1:7" ht="37.5" customHeight="1" x14ac:dyDescent="0.25">
      <c r="A100" s="4"/>
      <c r="B100" s="4"/>
      <c r="C100" s="4"/>
      <c r="D100" s="4"/>
      <c r="E100" s="4"/>
      <c r="F100" s="4"/>
      <c r="G100" s="4"/>
    </row>
    <row r="101" spans="1:7" ht="37.5" customHeight="1" x14ac:dyDescent="0.25">
      <c r="A101" s="4"/>
      <c r="B101" s="4"/>
      <c r="C101" s="4"/>
      <c r="D101" s="4"/>
      <c r="E101" s="4"/>
      <c r="F101" s="4"/>
      <c r="G101" s="4"/>
    </row>
    <row r="102" spans="1:7" ht="37.5" customHeight="1" x14ac:dyDescent="0.25">
      <c r="A102" s="4"/>
      <c r="B102" s="4"/>
      <c r="C102" s="4"/>
      <c r="D102" s="4"/>
      <c r="E102" s="4"/>
      <c r="F102" s="4"/>
      <c r="G102" s="4"/>
    </row>
    <row r="103" spans="1:7" ht="37.5" customHeight="1" x14ac:dyDescent="0.25">
      <c r="A103" s="4"/>
      <c r="B103" s="4"/>
      <c r="C103" s="4"/>
      <c r="D103" s="4"/>
      <c r="E103" s="4"/>
      <c r="F103" s="4"/>
      <c r="G103" s="4"/>
    </row>
    <row r="104" spans="1:7" ht="37.5" customHeight="1" x14ac:dyDescent="0.25">
      <c r="A104" s="4"/>
      <c r="B104" s="4"/>
      <c r="C104" s="4"/>
      <c r="D104" s="4"/>
      <c r="E104" s="4"/>
      <c r="F104" s="4"/>
      <c r="G104" s="4"/>
    </row>
    <row r="105" spans="1:7" ht="37.5" customHeight="1" x14ac:dyDescent="0.25">
      <c r="A105" s="4"/>
      <c r="B105" s="4"/>
      <c r="C105" s="4"/>
      <c r="D105" s="4"/>
      <c r="E105" s="4"/>
      <c r="F105" s="4"/>
      <c r="G105" s="4"/>
    </row>
    <row r="106" spans="1:7" ht="37.5" customHeight="1" x14ac:dyDescent="0.25">
      <c r="A106" s="4"/>
      <c r="B106" s="4"/>
      <c r="C106" s="4"/>
      <c r="D106" s="4"/>
      <c r="E106" s="4"/>
      <c r="F106" s="4"/>
      <c r="G106" s="4"/>
    </row>
    <row r="107" spans="1:7" ht="37.5" customHeight="1" x14ac:dyDescent="0.25">
      <c r="A107" s="4"/>
      <c r="B107" s="4"/>
      <c r="C107" s="4"/>
      <c r="D107" s="4"/>
      <c r="E107" s="4"/>
      <c r="F107" s="4"/>
      <c r="G107" s="4"/>
    </row>
    <row r="108" spans="1:7" ht="37.5" customHeight="1" x14ac:dyDescent="0.25">
      <c r="A108" s="4"/>
      <c r="B108" s="4"/>
      <c r="C108" s="4"/>
      <c r="D108" s="4"/>
      <c r="E108" s="4"/>
      <c r="F108" s="4"/>
      <c r="G108" s="4"/>
    </row>
    <row r="109" spans="1:7" ht="37.5" customHeight="1" x14ac:dyDescent="0.25">
      <c r="A109" s="4"/>
      <c r="B109" s="4"/>
      <c r="C109" s="4"/>
      <c r="D109" s="4"/>
      <c r="E109" s="4"/>
      <c r="F109" s="4"/>
      <c r="G109" s="4"/>
    </row>
    <row r="110" spans="1:7" ht="37.5" customHeight="1" x14ac:dyDescent="0.25">
      <c r="A110" s="4"/>
      <c r="B110" s="4"/>
      <c r="C110" s="4"/>
      <c r="D110" s="4"/>
      <c r="E110" s="4"/>
      <c r="F110" s="4"/>
      <c r="G110" s="4"/>
    </row>
    <row r="111" spans="1:7" ht="37.5" customHeight="1" x14ac:dyDescent="0.25">
      <c r="A111" s="4"/>
      <c r="B111" s="4"/>
      <c r="C111" s="4"/>
      <c r="D111" s="4"/>
      <c r="E111" s="4"/>
      <c r="F111" s="4"/>
      <c r="G111" s="4"/>
    </row>
    <row r="112" spans="1:7" ht="37.5" customHeight="1" x14ac:dyDescent="0.25">
      <c r="A112" s="4"/>
      <c r="B112" s="4"/>
      <c r="C112" s="4"/>
      <c r="D112" s="4"/>
      <c r="E112" s="4"/>
      <c r="F112" s="4"/>
      <c r="G112" s="4"/>
    </row>
    <row r="113" spans="1:7" ht="37.5" customHeight="1" x14ac:dyDescent="0.25">
      <c r="A113" s="4"/>
      <c r="B113" s="4"/>
      <c r="C113" s="4"/>
      <c r="D113" s="4"/>
      <c r="E113" s="4"/>
      <c r="F113" s="4"/>
      <c r="G113" s="4"/>
    </row>
    <row r="114" spans="1:7" ht="37.5" customHeight="1" x14ac:dyDescent="0.25">
      <c r="A114" s="4"/>
      <c r="B114" s="4"/>
      <c r="C114" s="4"/>
      <c r="D114" s="4"/>
      <c r="E114" s="4"/>
      <c r="F114" s="4"/>
      <c r="G114" s="4"/>
    </row>
    <row r="115" spans="1:7" ht="37.5" customHeight="1" x14ac:dyDescent="0.25">
      <c r="A115" s="4"/>
      <c r="B115" s="4"/>
      <c r="C115" s="4"/>
      <c r="D115" s="4"/>
      <c r="E115" s="4"/>
      <c r="F115" s="4"/>
      <c r="G115" s="4"/>
    </row>
    <row r="116" spans="1:7" ht="37.5" customHeight="1" x14ac:dyDescent="0.25">
      <c r="A116" s="4"/>
      <c r="B116" s="4"/>
      <c r="C116" s="4"/>
      <c r="D116" s="4"/>
      <c r="E116" s="4"/>
      <c r="F116" s="4"/>
      <c r="G116" s="4"/>
    </row>
    <row r="117" spans="1:7" ht="37.5" customHeight="1" x14ac:dyDescent="0.25">
      <c r="A117" s="4"/>
      <c r="B117" s="4"/>
      <c r="C117" s="4"/>
      <c r="D117" s="4"/>
      <c r="E117" s="4"/>
      <c r="F117" s="4"/>
      <c r="G117" s="4"/>
    </row>
    <row r="118" spans="1:7" ht="37.5" customHeight="1" x14ac:dyDescent="0.25">
      <c r="A118" s="4"/>
      <c r="B118" s="4"/>
      <c r="C118" s="4"/>
      <c r="D118" s="4"/>
      <c r="E118" s="4"/>
      <c r="F118" s="4"/>
      <c r="G118" s="4"/>
    </row>
    <row r="119" spans="1:7" ht="37.5" customHeight="1" x14ac:dyDescent="0.25">
      <c r="A119" s="4"/>
      <c r="B119" s="4"/>
      <c r="C119" s="4"/>
      <c r="D119" s="4"/>
      <c r="E119" s="4"/>
      <c r="F119" s="4"/>
      <c r="G119" s="4"/>
    </row>
    <row r="120" spans="1:7" ht="37.5" customHeight="1" x14ac:dyDescent="0.25">
      <c r="A120" s="4"/>
      <c r="B120" s="4"/>
      <c r="C120" s="4"/>
      <c r="D120" s="4"/>
      <c r="E120" s="4"/>
      <c r="F120" s="4"/>
      <c r="G120" s="4"/>
    </row>
    <row r="121" spans="1:7" ht="37.5" customHeight="1" x14ac:dyDescent="0.25">
      <c r="A121" s="4"/>
      <c r="B121" s="4"/>
      <c r="C121" s="4"/>
      <c r="D121" s="4"/>
      <c r="E121" s="4"/>
      <c r="F121" s="4"/>
      <c r="G121" s="4"/>
    </row>
    <row r="122" spans="1:7" ht="37.5" customHeight="1" x14ac:dyDescent="0.25">
      <c r="A122" s="4"/>
      <c r="B122" s="4"/>
      <c r="C122" s="4"/>
      <c r="D122" s="4"/>
      <c r="E122" s="4"/>
      <c r="F122" s="4"/>
      <c r="G122" s="4"/>
    </row>
    <row r="123" spans="1:7" ht="37.5" customHeight="1" x14ac:dyDescent="0.25">
      <c r="A123" s="4"/>
      <c r="B123" s="4"/>
      <c r="C123" s="4"/>
      <c r="D123" s="4"/>
      <c r="E123" s="4"/>
      <c r="F123" s="4"/>
      <c r="G123" s="4"/>
    </row>
    <row r="124" spans="1:7" ht="37.5" customHeight="1" x14ac:dyDescent="0.25">
      <c r="A124" s="4"/>
      <c r="B124" s="4"/>
      <c r="C124" s="4"/>
      <c r="D124" s="4"/>
      <c r="E124" s="4"/>
      <c r="F124" s="4"/>
      <c r="G124" s="4"/>
    </row>
    <row r="125" spans="1:7" ht="37.5" customHeight="1" x14ac:dyDescent="0.25">
      <c r="A125" s="4"/>
      <c r="B125" s="4"/>
      <c r="C125" s="4"/>
      <c r="D125" s="4"/>
      <c r="E125" s="4"/>
      <c r="F125" s="4"/>
      <c r="G125" s="4"/>
    </row>
    <row r="126" spans="1:7" ht="37.5" customHeight="1" x14ac:dyDescent="0.25">
      <c r="A126" s="4"/>
      <c r="B126" s="4"/>
      <c r="C126" s="4"/>
      <c r="D126" s="4"/>
      <c r="E126" s="4"/>
      <c r="F126" s="4"/>
      <c r="G126" s="4"/>
    </row>
    <row r="127" spans="1:7" ht="37.5" customHeight="1" x14ac:dyDescent="0.25">
      <c r="A127" s="4"/>
      <c r="B127" s="4"/>
      <c r="C127" s="4"/>
      <c r="D127" s="4"/>
      <c r="E127" s="4"/>
      <c r="F127" s="4"/>
      <c r="G127" s="4"/>
    </row>
    <row r="128" spans="1:7" ht="37.5" customHeight="1" x14ac:dyDescent="0.25">
      <c r="A128" s="4"/>
      <c r="B128" s="4"/>
      <c r="C128" s="4"/>
      <c r="D128" s="4"/>
      <c r="E128" s="4"/>
      <c r="F128" s="4"/>
      <c r="G128" s="4"/>
    </row>
    <row r="129" spans="1:7" ht="37.5" customHeight="1" x14ac:dyDescent="0.25">
      <c r="A129" s="4"/>
      <c r="B129" s="4"/>
      <c r="C129" s="4"/>
      <c r="D129" s="4"/>
      <c r="E129" s="4"/>
      <c r="F129" s="4"/>
      <c r="G129" s="4"/>
    </row>
    <row r="130" spans="1:7" ht="37.5" customHeight="1" x14ac:dyDescent="0.25">
      <c r="A130" s="4"/>
      <c r="B130" s="4"/>
      <c r="C130" s="4"/>
      <c r="D130" s="4"/>
      <c r="E130" s="4"/>
      <c r="F130" s="4"/>
      <c r="G130" s="4"/>
    </row>
    <row r="131" spans="1:7" ht="37.5" customHeight="1" x14ac:dyDescent="0.25">
      <c r="A131" s="4"/>
      <c r="B131" s="4"/>
      <c r="C131" s="4"/>
      <c r="D131" s="4"/>
      <c r="E131" s="4"/>
      <c r="F131" s="4"/>
      <c r="G131" s="4"/>
    </row>
    <row r="132" spans="1:7" ht="37.5" customHeight="1" x14ac:dyDescent="0.25">
      <c r="A132" s="4"/>
      <c r="B132" s="4"/>
      <c r="C132" s="4"/>
      <c r="D132" s="4"/>
      <c r="E132" s="4"/>
      <c r="F132" s="4"/>
      <c r="G132" s="4"/>
    </row>
    <row r="133" spans="1:7" ht="37.5" customHeight="1" x14ac:dyDescent="0.25">
      <c r="A133" s="4"/>
      <c r="B133" s="4"/>
      <c r="C133" s="4"/>
      <c r="D133" s="4"/>
      <c r="E133" s="4"/>
      <c r="F133" s="4"/>
      <c r="G133" s="4"/>
    </row>
    <row r="134" spans="1:7" ht="37.5" customHeight="1" x14ac:dyDescent="0.25">
      <c r="A134" s="4"/>
      <c r="B134" s="4"/>
      <c r="C134" s="4"/>
      <c r="D134" s="4"/>
      <c r="E134" s="4"/>
      <c r="F134" s="4"/>
      <c r="G134" s="4"/>
    </row>
    <row r="135" spans="1:7" ht="37.5" customHeight="1" x14ac:dyDescent="0.25">
      <c r="A135" s="4"/>
      <c r="B135" s="4"/>
      <c r="C135" s="4"/>
      <c r="D135" s="4"/>
      <c r="E135" s="4"/>
      <c r="F135" s="4"/>
      <c r="G135" s="4"/>
    </row>
    <row r="136" spans="1:7" ht="37.5" customHeight="1" x14ac:dyDescent="0.25">
      <c r="A136" s="4"/>
      <c r="B136" s="4"/>
      <c r="C136" s="4"/>
      <c r="D136" s="4"/>
      <c r="E136" s="4"/>
      <c r="F136" s="4"/>
      <c r="G136" s="4"/>
    </row>
    <row r="137" spans="1:7" ht="37.5" customHeight="1" x14ac:dyDescent="0.25">
      <c r="A137" s="4"/>
      <c r="B137" s="4"/>
      <c r="C137" s="4"/>
      <c r="D137" s="4"/>
      <c r="E137" s="4"/>
      <c r="F137" s="4"/>
      <c r="G137" s="4"/>
    </row>
    <row r="138" spans="1:7" ht="37.5" customHeight="1" x14ac:dyDescent="0.25">
      <c r="A138" s="4"/>
      <c r="B138" s="4"/>
      <c r="C138" s="4"/>
      <c r="D138" s="4"/>
      <c r="E138" s="4"/>
      <c r="F138" s="4"/>
      <c r="G138" s="4"/>
    </row>
    <row r="139" spans="1:7" ht="37.5" customHeight="1" x14ac:dyDescent="0.25">
      <c r="A139" s="4"/>
      <c r="B139" s="4"/>
      <c r="C139" s="4"/>
      <c r="D139" s="4"/>
      <c r="E139" s="4"/>
      <c r="F139" s="4"/>
      <c r="G139" s="4"/>
    </row>
    <row r="140" spans="1:7" ht="37.5" customHeight="1" x14ac:dyDescent="0.25">
      <c r="A140" s="4"/>
      <c r="B140" s="4"/>
      <c r="C140" s="4"/>
      <c r="D140" s="4"/>
      <c r="E140" s="4"/>
      <c r="F140" s="4"/>
      <c r="G140" s="4"/>
    </row>
    <row r="141" spans="1:7" ht="37.5" customHeight="1" x14ac:dyDescent="0.25">
      <c r="A141" s="4"/>
      <c r="B141" s="4"/>
      <c r="C141" s="4"/>
      <c r="D141" s="4"/>
      <c r="E141" s="4"/>
      <c r="F141" s="4"/>
      <c r="G141" s="4"/>
    </row>
    <row r="142" spans="1:7" ht="37.5" customHeight="1" x14ac:dyDescent="0.25">
      <c r="A142" s="4"/>
      <c r="B142" s="4"/>
      <c r="C142" s="4"/>
      <c r="D142" s="4"/>
      <c r="E142" s="4"/>
      <c r="F142" s="4"/>
      <c r="G142" s="4"/>
    </row>
    <row r="143" spans="1:7" ht="37.5" customHeight="1" x14ac:dyDescent="0.25">
      <c r="A143" s="4"/>
      <c r="B143" s="4"/>
      <c r="C143" s="4"/>
      <c r="D143" s="4"/>
      <c r="E143" s="4"/>
      <c r="F143" s="4"/>
      <c r="G143" s="4"/>
    </row>
    <row r="144" spans="1:7" ht="37.5" customHeight="1" x14ac:dyDescent="0.25">
      <c r="A144" s="4"/>
      <c r="B144" s="4"/>
      <c r="C144" s="4"/>
      <c r="D144" s="4"/>
      <c r="E144" s="4"/>
      <c r="F144" s="4"/>
      <c r="G144" s="4"/>
    </row>
    <row r="145" spans="1:7" ht="37.5" customHeight="1" x14ac:dyDescent="0.25">
      <c r="A145" s="4"/>
      <c r="B145" s="4"/>
      <c r="C145" s="4"/>
      <c r="D145" s="4"/>
      <c r="E145" s="4"/>
      <c r="F145" s="4"/>
      <c r="G145" s="4"/>
    </row>
    <row r="146" spans="1:7" ht="37.5" customHeight="1" x14ac:dyDescent="0.25">
      <c r="A146" s="4"/>
      <c r="B146" s="4"/>
      <c r="C146" s="4"/>
      <c r="D146" s="4"/>
      <c r="E146" s="4"/>
      <c r="F146" s="4"/>
      <c r="G146" s="4"/>
    </row>
    <row r="147" spans="1:7" ht="37.5" customHeight="1" x14ac:dyDescent="0.25">
      <c r="A147" s="4"/>
      <c r="B147" s="4"/>
      <c r="C147" s="4"/>
      <c r="D147" s="4"/>
      <c r="E147" s="4"/>
      <c r="F147" s="4"/>
      <c r="G147" s="4"/>
    </row>
    <row r="148" spans="1:7" ht="37.5" customHeight="1" x14ac:dyDescent="0.25">
      <c r="A148" s="4"/>
      <c r="B148" s="4"/>
      <c r="C148" s="4"/>
      <c r="D148" s="4"/>
      <c r="E148" s="4"/>
      <c r="F148" s="4"/>
      <c r="G148" s="4"/>
    </row>
    <row r="149" spans="1:7" ht="37.5" customHeight="1" x14ac:dyDescent="0.25">
      <c r="A149" s="4"/>
      <c r="B149" s="4"/>
      <c r="C149" s="4"/>
      <c r="D149" s="4"/>
      <c r="E149" s="4"/>
      <c r="F149" s="4"/>
      <c r="G149" s="4"/>
    </row>
    <row r="150" spans="1:7" ht="37.5" customHeight="1" x14ac:dyDescent="0.25">
      <c r="A150" s="4"/>
      <c r="B150" s="4"/>
      <c r="C150" s="4"/>
      <c r="D150" s="4"/>
      <c r="E150" s="4"/>
      <c r="F150" s="4"/>
      <c r="G150" s="4"/>
    </row>
    <row r="151" spans="1:7" ht="37.5" customHeight="1" x14ac:dyDescent="0.25">
      <c r="A151" s="4"/>
      <c r="B151" s="4"/>
      <c r="C151" s="4"/>
      <c r="D151" s="4"/>
      <c r="E151" s="4"/>
      <c r="F151" s="4"/>
      <c r="G151" s="4"/>
    </row>
    <row r="152" spans="1:7" ht="37.5" customHeight="1" x14ac:dyDescent="0.25">
      <c r="A152" s="4"/>
      <c r="B152" s="4"/>
      <c r="C152" s="4"/>
      <c r="D152" s="4"/>
      <c r="E152" s="4"/>
      <c r="F152" s="4"/>
      <c r="G152" s="4"/>
    </row>
    <row r="153" spans="1:7" ht="37.5" customHeight="1" x14ac:dyDescent="0.25">
      <c r="A153" s="4"/>
      <c r="B153" s="4"/>
      <c r="C153" s="4"/>
      <c r="D153" s="4"/>
      <c r="E153" s="4"/>
      <c r="F153" s="4"/>
      <c r="G153" s="4"/>
    </row>
    <row r="154" spans="1:7" ht="37.5" customHeight="1" x14ac:dyDescent="0.25">
      <c r="A154" s="4"/>
      <c r="B154" s="4"/>
      <c r="C154" s="4"/>
      <c r="D154" s="4"/>
      <c r="E154" s="4"/>
      <c r="F154" s="4"/>
      <c r="G154" s="4"/>
    </row>
    <row r="155" spans="1:7" ht="37.5" customHeight="1" x14ac:dyDescent="0.25">
      <c r="A155" s="4"/>
      <c r="B155" s="4"/>
      <c r="C155" s="4"/>
      <c r="D155" s="4"/>
      <c r="E155" s="4"/>
      <c r="F155" s="4"/>
      <c r="G155" s="4"/>
    </row>
    <row r="156" spans="1:7" ht="37.5" customHeight="1" x14ac:dyDescent="0.25">
      <c r="A156" s="4"/>
      <c r="B156" s="4"/>
      <c r="C156" s="4"/>
      <c r="D156" s="4"/>
      <c r="E156" s="4"/>
      <c r="F156" s="4"/>
      <c r="G156" s="4"/>
    </row>
    <row r="157" spans="1:7" ht="37.5" customHeight="1" x14ac:dyDescent="0.25">
      <c r="A157" s="4"/>
      <c r="B157" s="4"/>
      <c r="C157" s="4"/>
      <c r="D157" s="4"/>
      <c r="E157" s="4"/>
      <c r="F157" s="4"/>
      <c r="G157" s="4"/>
    </row>
    <row r="158" spans="1:7" ht="37.5" customHeight="1" x14ac:dyDescent="0.25">
      <c r="A158" s="4"/>
      <c r="B158" s="4"/>
      <c r="C158" s="4"/>
      <c r="D158" s="4"/>
      <c r="E158" s="4"/>
      <c r="F158" s="4"/>
      <c r="G158" s="4"/>
    </row>
    <row r="159" spans="1:7" ht="37.5" customHeight="1" x14ac:dyDescent="0.25">
      <c r="A159" s="4"/>
      <c r="B159" s="4"/>
      <c r="C159" s="4"/>
      <c r="D159" s="4"/>
      <c r="E159" s="4"/>
      <c r="F159" s="4"/>
      <c r="G159" s="4"/>
    </row>
    <row r="160" spans="1:7" ht="37.5" customHeight="1" x14ac:dyDescent="0.25">
      <c r="A160" s="4"/>
      <c r="B160" s="4"/>
      <c r="C160" s="4"/>
      <c r="D160" s="4"/>
      <c r="E160" s="4"/>
      <c r="F160" s="4"/>
      <c r="G160" s="4"/>
    </row>
    <row r="161" spans="1:7" ht="37.5" customHeight="1" x14ac:dyDescent="0.25">
      <c r="A161" s="4"/>
      <c r="B161" s="4"/>
      <c r="C161" s="4"/>
      <c r="D161" s="4"/>
      <c r="E161" s="4"/>
      <c r="F161" s="4"/>
      <c r="G161" s="4"/>
    </row>
    <row r="162" spans="1:7" ht="37.5" customHeight="1" x14ac:dyDescent="0.25">
      <c r="A162" s="4"/>
      <c r="B162" s="4"/>
      <c r="C162" s="4"/>
      <c r="D162" s="4"/>
      <c r="E162" s="4"/>
      <c r="F162" s="4"/>
      <c r="G162" s="4"/>
    </row>
    <row r="163" spans="1:7" ht="37.5" customHeight="1" x14ac:dyDescent="0.25">
      <c r="A163" s="4"/>
      <c r="B163" s="4"/>
      <c r="C163" s="4"/>
      <c r="D163" s="4"/>
      <c r="E163" s="4"/>
      <c r="F163" s="4"/>
      <c r="G163" s="4"/>
    </row>
    <row r="164" spans="1:7" ht="37.5" customHeight="1" x14ac:dyDescent="0.25">
      <c r="A164" s="4"/>
      <c r="B164" s="4"/>
      <c r="C164" s="4"/>
      <c r="D164" s="4"/>
      <c r="E164" s="4"/>
      <c r="F164" s="4"/>
      <c r="G164" s="4"/>
    </row>
    <row r="165" spans="1:7" ht="37.5" customHeight="1" x14ac:dyDescent="0.25">
      <c r="A165" s="4"/>
      <c r="B165" s="4"/>
      <c r="C165" s="4"/>
      <c r="D165" s="4"/>
      <c r="E165" s="4"/>
      <c r="F165" s="4"/>
      <c r="G165" s="4"/>
    </row>
    <row r="166" spans="1:7" ht="37.5" customHeight="1" x14ac:dyDescent="0.25">
      <c r="A166" s="4"/>
      <c r="B166" s="4"/>
      <c r="C166" s="4"/>
      <c r="D166" s="4"/>
      <c r="E166" s="4"/>
      <c r="F166" s="4"/>
      <c r="G166" s="4"/>
    </row>
    <row r="167" spans="1:7" ht="37.5" customHeight="1" x14ac:dyDescent="0.25">
      <c r="A167" s="4"/>
      <c r="B167" s="4"/>
      <c r="C167" s="4"/>
      <c r="D167" s="4"/>
      <c r="E167" s="4"/>
      <c r="F167" s="4"/>
      <c r="G167" s="4"/>
    </row>
    <row r="168" spans="1:7" ht="37.5" customHeight="1" x14ac:dyDescent="0.25">
      <c r="A168" s="4"/>
      <c r="B168" s="4"/>
      <c r="C168" s="4"/>
      <c r="D168" s="4"/>
      <c r="E168" s="4"/>
      <c r="F168" s="4"/>
      <c r="G168" s="4"/>
    </row>
    <row r="169" spans="1:7" ht="37.5" customHeight="1" x14ac:dyDescent="0.25">
      <c r="A169" s="4"/>
      <c r="B169" s="4"/>
      <c r="C169" s="4"/>
      <c r="D169" s="4"/>
      <c r="E169" s="4"/>
      <c r="F169" s="4"/>
      <c r="G169" s="4"/>
    </row>
    <row r="170" spans="1:7" ht="37.5" customHeight="1" x14ac:dyDescent="0.25">
      <c r="A170" s="4"/>
      <c r="B170" s="4"/>
      <c r="C170" s="4"/>
      <c r="D170" s="4"/>
      <c r="E170" s="4"/>
      <c r="F170" s="4"/>
      <c r="G170" s="4"/>
    </row>
    <row r="171" spans="1:7" ht="37.5" customHeight="1" x14ac:dyDescent="0.25">
      <c r="A171" s="4"/>
      <c r="B171" s="4"/>
      <c r="C171" s="4"/>
      <c r="D171" s="4"/>
      <c r="E171" s="4"/>
      <c r="F171" s="4"/>
      <c r="G171" s="4"/>
    </row>
    <row r="172" spans="1:7" ht="37.5" customHeight="1" x14ac:dyDescent="0.25">
      <c r="A172" s="4"/>
      <c r="B172" s="4"/>
      <c r="C172" s="4"/>
      <c r="D172" s="4"/>
      <c r="E172" s="4"/>
      <c r="F172" s="4"/>
      <c r="G172" s="4"/>
    </row>
    <row r="173" spans="1:7" ht="37.5" customHeight="1" x14ac:dyDescent="0.25">
      <c r="A173" s="4"/>
      <c r="B173" s="4"/>
      <c r="C173" s="4"/>
      <c r="D173" s="4"/>
      <c r="E173" s="4"/>
      <c r="F173" s="4"/>
      <c r="G173" s="4"/>
    </row>
    <row r="174" spans="1:7" ht="37.5" customHeight="1" x14ac:dyDescent="0.25">
      <c r="A174" s="4"/>
      <c r="B174" s="4"/>
      <c r="C174" s="4"/>
      <c r="D174" s="4"/>
      <c r="E174" s="4"/>
      <c r="F174" s="4"/>
      <c r="G174" s="4"/>
    </row>
    <row r="175" spans="1:7" ht="37.5" customHeight="1" x14ac:dyDescent="0.25">
      <c r="A175" s="4"/>
      <c r="B175" s="4"/>
      <c r="C175" s="4"/>
      <c r="D175" s="4"/>
      <c r="E175" s="4"/>
      <c r="F175" s="4"/>
      <c r="G175" s="4"/>
    </row>
    <row r="176" spans="1:7" ht="37.5" customHeight="1" x14ac:dyDescent="0.25">
      <c r="A176" s="4"/>
      <c r="B176" s="4"/>
      <c r="C176" s="4"/>
      <c r="D176" s="4"/>
      <c r="E176" s="4"/>
      <c r="F176" s="4"/>
      <c r="G176" s="4"/>
    </row>
    <row r="177" spans="1:7" ht="37.5" customHeight="1" x14ac:dyDescent="0.25">
      <c r="A177" s="4"/>
      <c r="B177" s="4"/>
      <c r="C177" s="4"/>
      <c r="D177" s="4"/>
      <c r="E177" s="4"/>
      <c r="F177" s="4"/>
      <c r="G177" s="4"/>
    </row>
    <row r="178" spans="1:7" ht="37.5" customHeight="1" x14ac:dyDescent="0.25">
      <c r="A178" s="4"/>
      <c r="B178" s="4"/>
      <c r="C178" s="4"/>
      <c r="D178" s="4"/>
      <c r="E178" s="4"/>
      <c r="F178" s="4"/>
      <c r="G178" s="4"/>
    </row>
    <row r="179" spans="1:7" ht="37.5" customHeight="1" x14ac:dyDescent="0.25">
      <c r="A179" s="4"/>
      <c r="B179" s="4"/>
      <c r="C179" s="4"/>
      <c r="D179" s="4"/>
      <c r="E179" s="4"/>
      <c r="F179" s="4"/>
      <c r="G179" s="4"/>
    </row>
    <row r="180" spans="1:7" ht="37.5" customHeight="1" x14ac:dyDescent="0.25">
      <c r="A180" s="4"/>
      <c r="B180" s="4"/>
      <c r="C180" s="4"/>
      <c r="D180" s="4"/>
      <c r="E180" s="4"/>
      <c r="F180" s="4"/>
      <c r="G180" s="4"/>
    </row>
    <row r="181" spans="1:7" ht="37.5" customHeight="1" x14ac:dyDescent="0.25">
      <c r="A181" s="4"/>
      <c r="B181" s="4"/>
      <c r="C181" s="4"/>
      <c r="D181" s="4"/>
      <c r="E181" s="4"/>
      <c r="F181" s="4"/>
      <c r="G181" s="4"/>
    </row>
    <row r="182" spans="1:7" ht="37.5" customHeight="1" x14ac:dyDescent="0.25">
      <c r="A182" s="4"/>
      <c r="B182" s="4"/>
      <c r="C182" s="4"/>
      <c r="D182" s="4"/>
      <c r="E182" s="4"/>
      <c r="F182" s="4"/>
      <c r="G182" s="4"/>
    </row>
    <row r="183" spans="1:7" ht="37.5" customHeight="1" x14ac:dyDescent="0.25">
      <c r="A183" s="4"/>
      <c r="B183" s="4"/>
      <c r="C183" s="4"/>
      <c r="D183" s="4"/>
      <c r="E183" s="4"/>
      <c r="F183" s="4"/>
      <c r="G183" s="4"/>
    </row>
    <row r="184" spans="1:7" ht="37.5" customHeight="1" x14ac:dyDescent="0.25">
      <c r="A184" s="4"/>
      <c r="B184" s="4"/>
      <c r="C184" s="4"/>
      <c r="D184" s="4"/>
      <c r="E184" s="4"/>
      <c r="F184" s="4"/>
      <c r="G184" s="4"/>
    </row>
    <row r="185" spans="1:7" ht="37.5" customHeight="1" x14ac:dyDescent="0.25">
      <c r="A185" s="4"/>
      <c r="B185" s="4"/>
      <c r="C185" s="4"/>
      <c r="D185" s="4"/>
      <c r="E185" s="4"/>
      <c r="F185" s="4"/>
      <c r="G185" s="4"/>
    </row>
    <row r="186" spans="1:7" ht="37.5" customHeight="1" x14ac:dyDescent="0.25">
      <c r="A186" s="4"/>
      <c r="B186" s="4"/>
      <c r="C186" s="4"/>
      <c r="D186" s="4"/>
      <c r="E186" s="4"/>
      <c r="F186" s="4"/>
      <c r="G186" s="4"/>
    </row>
    <row r="187" spans="1:7" ht="37.5" customHeight="1" x14ac:dyDescent="0.25">
      <c r="A187" s="4"/>
      <c r="B187" s="4"/>
      <c r="C187" s="4"/>
      <c r="D187" s="4"/>
      <c r="E187" s="4"/>
      <c r="F187" s="4"/>
      <c r="G187" s="4"/>
    </row>
    <row r="188" spans="1:7" ht="37.5" customHeight="1" x14ac:dyDescent="0.25">
      <c r="A188" s="4"/>
      <c r="B188" s="4"/>
      <c r="C188" s="4"/>
      <c r="D188" s="4"/>
      <c r="E188" s="4"/>
      <c r="F188" s="4"/>
      <c r="G188" s="4"/>
    </row>
    <row r="189" spans="1:7" ht="37.5" customHeight="1" x14ac:dyDescent="0.25">
      <c r="A189" s="4"/>
      <c r="B189" s="4"/>
      <c r="C189" s="4"/>
      <c r="D189" s="4"/>
      <c r="E189" s="4"/>
      <c r="F189" s="4"/>
      <c r="G189" s="4"/>
    </row>
    <row r="190" spans="1:7" ht="37.5" customHeight="1" x14ac:dyDescent="0.25">
      <c r="A190" s="4"/>
      <c r="B190" s="4"/>
      <c r="C190" s="4"/>
      <c r="D190" s="4"/>
      <c r="E190" s="4"/>
      <c r="F190" s="4"/>
      <c r="G190" s="4"/>
    </row>
    <row r="191" spans="1:7" ht="37.5" customHeight="1" x14ac:dyDescent="0.25">
      <c r="A191" s="4"/>
      <c r="B191" s="4"/>
      <c r="C191" s="4"/>
      <c r="D191" s="4"/>
      <c r="E191" s="4"/>
      <c r="F191" s="4"/>
      <c r="G191" s="4"/>
    </row>
    <row r="192" spans="1:7" ht="37.5" customHeight="1" x14ac:dyDescent="0.25">
      <c r="A192" s="4"/>
      <c r="B192" s="4"/>
      <c r="C192" s="4"/>
      <c r="D192" s="4"/>
      <c r="E192" s="4"/>
      <c r="F192" s="4"/>
      <c r="G192" s="4"/>
    </row>
    <row r="193" spans="1:7" ht="37.5" customHeight="1" x14ac:dyDescent="0.25">
      <c r="A193" s="4"/>
      <c r="B193" s="4"/>
      <c r="C193" s="4"/>
      <c r="D193" s="4"/>
      <c r="E193" s="4"/>
      <c r="F193" s="4"/>
      <c r="G193" s="4"/>
    </row>
    <row r="194" spans="1:7" ht="37.5" customHeight="1" x14ac:dyDescent="0.25">
      <c r="A194" s="4"/>
      <c r="B194" s="4"/>
      <c r="C194" s="4"/>
      <c r="D194" s="4"/>
      <c r="E194" s="4"/>
      <c r="F194" s="4"/>
      <c r="G194" s="4"/>
    </row>
    <row r="195" spans="1:7" ht="37.5" customHeight="1" x14ac:dyDescent="0.25">
      <c r="A195" s="4"/>
      <c r="B195" s="4"/>
      <c r="C195" s="4"/>
      <c r="D195" s="4"/>
      <c r="E195" s="4"/>
      <c r="F195" s="4"/>
      <c r="G195" s="4"/>
    </row>
    <row r="196" spans="1:7" ht="37.5" customHeight="1" x14ac:dyDescent="0.25">
      <c r="A196" s="4"/>
      <c r="B196" s="4"/>
      <c r="C196" s="4"/>
      <c r="D196" s="4"/>
      <c r="E196" s="4"/>
      <c r="F196" s="4"/>
      <c r="G196" s="4"/>
    </row>
    <row r="197" spans="1:7" ht="37.5" customHeight="1" x14ac:dyDescent="0.25">
      <c r="A197" s="4"/>
      <c r="B197" s="4"/>
      <c r="C197" s="4"/>
      <c r="D197" s="4"/>
      <c r="E197" s="4"/>
      <c r="F197" s="4"/>
      <c r="G197" s="4"/>
    </row>
    <row r="198" spans="1:7" ht="37.5" customHeight="1" x14ac:dyDescent="0.25">
      <c r="A198" s="4"/>
      <c r="B198" s="4"/>
      <c r="C198" s="4"/>
      <c r="D198" s="4"/>
      <c r="E198" s="4"/>
      <c r="F198" s="4"/>
      <c r="G198" s="4"/>
    </row>
    <row r="199" spans="1:7" ht="37.5" customHeight="1" x14ac:dyDescent="0.25">
      <c r="A199" s="4"/>
      <c r="B199" s="4"/>
      <c r="C199" s="4"/>
      <c r="D199" s="4"/>
      <c r="E199" s="4"/>
      <c r="F199" s="4"/>
      <c r="G199" s="4"/>
    </row>
    <row r="200" spans="1:7" ht="37.5" customHeight="1" x14ac:dyDescent="0.25">
      <c r="A200" s="4"/>
      <c r="B200" s="4"/>
      <c r="C200" s="4"/>
      <c r="D200" s="4"/>
      <c r="E200" s="4"/>
      <c r="F200" s="4"/>
      <c r="G200" s="4"/>
    </row>
    <row r="201" spans="1:7" ht="37.5" customHeight="1" x14ac:dyDescent="0.25">
      <c r="A201" s="4"/>
      <c r="B201" s="4"/>
      <c r="C201" s="4"/>
      <c r="D201" s="4"/>
      <c r="E201" s="4"/>
      <c r="F201" s="4"/>
      <c r="G201" s="4"/>
    </row>
    <row r="202" spans="1:7" ht="37.5" customHeight="1" x14ac:dyDescent="0.25">
      <c r="A202" s="4"/>
      <c r="B202" s="4"/>
      <c r="C202" s="4"/>
      <c r="D202" s="4"/>
      <c r="E202" s="4"/>
      <c r="F202" s="4"/>
      <c r="G202" s="4"/>
    </row>
    <row r="203" spans="1:7" ht="37.5" customHeight="1" x14ac:dyDescent="0.25">
      <c r="A203" s="4"/>
      <c r="B203" s="4"/>
      <c r="C203" s="4"/>
      <c r="D203" s="4"/>
      <c r="E203" s="4"/>
      <c r="F203" s="4"/>
      <c r="G203" s="4"/>
    </row>
    <row r="204" spans="1:7" ht="37.5" customHeight="1" x14ac:dyDescent="0.25">
      <c r="A204" s="4"/>
      <c r="B204" s="4"/>
      <c r="C204" s="4"/>
      <c r="D204" s="4"/>
      <c r="E204" s="4"/>
      <c r="F204" s="4"/>
      <c r="G204" s="4"/>
    </row>
    <row r="205" spans="1:7" ht="37.5" customHeight="1" x14ac:dyDescent="0.25">
      <c r="A205" s="4"/>
      <c r="B205" s="4"/>
      <c r="C205" s="4"/>
      <c r="D205" s="4"/>
      <c r="E205" s="4"/>
      <c r="F205" s="4"/>
      <c r="G205" s="4"/>
    </row>
    <row r="206" spans="1:7" ht="37.5" customHeight="1" x14ac:dyDescent="0.25">
      <c r="A206" s="4"/>
      <c r="B206" s="4"/>
      <c r="C206" s="4"/>
      <c r="D206" s="4"/>
      <c r="E206" s="4"/>
      <c r="F206" s="4"/>
      <c r="G206" s="4"/>
    </row>
    <row r="207" spans="1:7" ht="37.5" customHeight="1" x14ac:dyDescent="0.25">
      <c r="A207" s="4"/>
      <c r="B207" s="4"/>
      <c r="C207" s="4"/>
      <c r="D207" s="4"/>
      <c r="E207" s="4"/>
      <c r="F207" s="4"/>
      <c r="G207" s="4"/>
    </row>
    <row r="208" spans="1:7" ht="37.5" customHeight="1" x14ac:dyDescent="0.25">
      <c r="A208" s="4"/>
      <c r="B208" s="4"/>
      <c r="C208" s="4"/>
      <c r="D208" s="4"/>
      <c r="E208" s="4"/>
      <c r="F208" s="4"/>
      <c r="G208" s="4"/>
    </row>
    <row r="209" spans="1:7" ht="37.5" customHeight="1" x14ac:dyDescent="0.25">
      <c r="A209" s="4"/>
      <c r="B209" s="4"/>
      <c r="C209" s="4"/>
      <c r="D209" s="4"/>
      <c r="E209" s="4"/>
      <c r="F209" s="4"/>
      <c r="G209" s="4"/>
    </row>
    <row r="210" spans="1:7" ht="37.5" customHeight="1" x14ac:dyDescent="0.25">
      <c r="A210" s="4"/>
      <c r="B210" s="4"/>
      <c r="C210" s="4"/>
      <c r="D210" s="4"/>
      <c r="E210" s="4"/>
      <c r="F210" s="4"/>
      <c r="G210" s="4"/>
    </row>
    <row r="211" spans="1:7" ht="37.5" customHeight="1" x14ac:dyDescent="0.25">
      <c r="A211" s="4"/>
      <c r="B211" s="4"/>
      <c r="C211" s="4"/>
      <c r="D211" s="4"/>
      <c r="E211" s="4"/>
      <c r="F211" s="4"/>
      <c r="G211" s="4"/>
    </row>
    <row r="212" spans="1:7" ht="37.5" customHeight="1" x14ac:dyDescent="0.25">
      <c r="A212" s="4"/>
      <c r="B212" s="4"/>
      <c r="C212" s="4"/>
      <c r="D212" s="4"/>
      <c r="E212" s="4"/>
      <c r="F212" s="4"/>
      <c r="G212" s="4"/>
    </row>
    <row r="213" spans="1:7" ht="37.5" customHeight="1" x14ac:dyDescent="0.25">
      <c r="A213" s="4"/>
      <c r="B213" s="4"/>
      <c r="C213" s="4"/>
      <c r="D213" s="4"/>
      <c r="E213" s="4"/>
      <c r="F213" s="4"/>
      <c r="G213" s="4"/>
    </row>
    <row r="214" spans="1:7" ht="37.5" customHeight="1" x14ac:dyDescent="0.25">
      <c r="A214" s="4"/>
      <c r="B214" s="4"/>
      <c r="C214" s="4"/>
      <c r="D214" s="4"/>
      <c r="E214" s="4"/>
      <c r="F214" s="4"/>
      <c r="G214" s="4"/>
    </row>
    <row r="215" spans="1:7" ht="37.5" customHeight="1" x14ac:dyDescent="0.25">
      <c r="A215" s="4"/>
      <c r="B215" s="4"/>
      <c r="C215" s="4"/>
      <c r="D215" s="4"/>
      <c r="E215" s="4"/>
      <c r="F215" s="4"/>
      <c r="G215" s="4"/>
    </row>
    <row r="216" spans="1:7" ht="37.5" customHeight="1" x14ac:dyDescent="0.25">
      <c r="A216" s="4"/>
      <c r="B216" s="4"/>
      <c r="C216" s="4"/>
      <c r="D216" s="4"/>
      <c r="E216" s="4"/>
      <c r="F216" s="4"/>
      <c r="G216" s="4"/>
    </row>
    <row r="217" spans="1:7" ht="37.5" customHeight="1" x14ac:dyDescent="0.25">
      <c r="A217" s="4"/>
      <c r="B217" s="4"/>
      <c r="C217" s="4"/>
      <c r="D217" s="4"/>
      <c r="E217" s="4"/>
      <c r="F217" s="4"/>
      <c r="G217" s="4"/>
    </row>
    <row r="218" spans="1:7" ht="37.5" customHeight="1" x14ac:dyDescent="0.25">
      <c r="A218" s="4"/>
      <c r="B218" s="4"/>
      <c r="C218" s="4"/>
      <c r="D218" s="4"/>
      <c r="E218" s="4"/>
      <c r="F218" s="4"/>
      <c r="G218" s="4"/>
    </row>
    <row r="219" spans="1:7" ht="37.5" customHeight="1" x14ac:dyDescent="0.25">
      <c r="A219" s="4"/>
      <c r="B219" s="4"/>
      <c r="C219" s="4"/>
      <c r="D219" s="4"/>
      <c r="E219" s="4"/>
      <c r="F219" s="4"/>
      <c r="G219" s="4"/>
    </row>
    <row r="220" spans="1:7" ht="37.5" customHeight="1" x14ac:dyDescent="0.25">
      <c r="A220" s="4"/>
      <c r="B220" s="4"/>
      <c r="C220" s="4"/>
      <c r="D220" s="4"/>
      <c r="E220" s="4"/>
      <c r="F220" s="4"/>
      <c r="G220" s="4"/>
    </row>
    <row r="221" spans="1:7" ht="37.5" customHeight="1" x14ac:dyDescent="0.25">
      <c r="A221" s="4"/>
      <c r="B221" s="4"/>
      <c r="C221" s="4"/>
      <c r="D221" s="4"/>
      <c r="E221" s="4"/>
      <c r="F221" s="4"/>
      <c r="G221" s="4"/>
    </row>
    <row r="222" spans="1:7" ht="37.5" customHeight="1" x14ac:dyDescent="0.25">
      <c r="A222" s="4"/>
      <c r="B222" s="4"/>
      <c r="C222" s="4"/>
      <c r="D222" s="4"/>
      <c r="E222" s="4"/>
      <c r="F222" s="4"/>
      <c r="G222" s="4"/>
    </row>
    <row r="223" spans="1:7" ht="37.5" customHeight="1" x14ac:dyDescent="0.25">
      <c r="A223" s="4"/>
      <c r="B223" s="4"/>
      <c r="C223" s="4"/>
      <c r="D223" s="4"/>
      <c r="E223" s="4"/>
      <c r="F223" s="4"/>
      <c r="G223" s="4"/>
    </row>
    <row r="224" spans="1:7" ht="37.5" customHeight="1" x14ac:dyDescent="0.25">
      <c r="A224" s="4"/>
      <c r="B224" s="4"/>
      <c r="C224" s="4"/>
      <c r="D224" s="4"/>
      <c r="E224" s="4"/>
      <c r="F224" s="4"/>
      <c r="G224" s="4"/>
    </row>
    <row r="225" spans="1:7" ht="37.5" customHeight="1" x14ac:dyDescent="0.25">
      <c r="A225" s="4"/>
      <c r="B225" s="4"/>
      <c r="C225" s="4"/>
      <c r="D225" s="4"/>
      <c r="E225" s="4"/>
      <c r="F225" s="4"/>
      <c r="G225" s="4"/>
    </row>
    <row r="226" spans="1:7" ht="37.5" customHeight="1" x14ac:dyDescent="0.25">
      <c r="A226" s="4"/>
      <c r="B226" s="4"/>
      <c r="C226" s="4"/>
      <c r="D226" s="4"/>
      <c r="E226" s="4"/>
      <c r="F226" s="4"/>
      <c r="G226" s="4"/>
    </row>
    <row r="227" spans="1:7" ht="37.5" customHeight="1" x14ac:dyDescent="0.25">
      <c r="A227" s="4"/>
      <c r="B227" s="4"/>
      <c r="C227" s="4"/>
      <c r="D227" s="4"/>
      <c r="E227" s="4"/>
      <c r="F227" s="4"/>
      <c r="G227" s="4"/>
    </row>
    <row r="228" spans="1:7" ht="37.5" customHeight="1" x14ac:dyDescent="0.25">
      <c r="A228" s="4"/>
      <c r="B228" s="4"/>
      <c r="C228" s="4"/>
      <c r="D228" s="4"/>
      <c r="E228" s="4"/>
      <c r="F228" s="4"/>
      <c r="G228" s="4"/>
    </row>
    <row r="229" spans="1:7" ht="37.5" customHeight="1" x14ac:dyDescent="0.25">
      <c r="A229" s="4"/>
      <c r="B229" s="4"/>
      <c r="C229" s="4"/>
      <c r="D229" s="4"/>
      <c r="E229" s="4"/>
      <c r="F229" s="4"/>
      <c r="G229" s="4"/>
    </row>
    <row r="230" spans="1:7" ht="37.5" customHeight="1" x14ac:dyDescent="0.25">
      <c r="A230" s="4"/>
      <c r="B230" s="4"/>
      <c r="C230" s="4"/>
      <c r="D230" s="4"/>
      <c r="E230" s="4"/>
      <c r="F230" s="4"/>
      <c r="G230" s="4"/>
    </row>
    <row r="231" spans="1:7" ht="37.5" customHeight="1" x14ac:dyDescent="0.25">
      <c r="A231" s="4"/>
      <c r="B231" s="4"/>
      <c r="C231" s="4"/>
      <c r="D231" s="4"/>
      <c r="E231" s="4"/>
      <c r="F231" s="4"/>
      <c r="G231" s="4"/>
    </row>
    <row r="232" spans="1:7" ht="37.5" customHeight="1" x14ac:dyDescent="0.25">
      <c r="A232" s="4"/>
      <c r="B232" s="4"/>
      <c r="C232" s="4"/>
      <c r="D232" s="4"/>
      <c r="E232" s="4"/>
      <c r="F232" s="4"/>
      <c r="G232" s="4"/>
    </row>
    <row r="233" spans="1:7" ht="37.5" customHeight="1" x14ac:dyDescent="0.25">
      <c r="A233" s="4"/>
      <c r="B233" s="4"/>
      <c r="C233" s="4"/>
      <c r="D233" s="4"/>
      <c r="E233" s="4"/>
      <c r="F233" s="4"/>
      <c r="G233" s="4"/>
    </row>
    <row r="234" spans="1:7" ht="37.5" customHeight="1" x14ac:dyDescent="0.25">
      <c r="A234" s="4"/>
      <c r="B234" s="4"/>
      <c r="C234" s="4"/>
      <c r="D234" s="4"/>
      <c r="E234" s="4"/>
      <c r="F234" s="4"/>
      <c r="G234" s="4"/>
    </row>
    <row r="235" spans="1:7" ht="37.5" customHeight="1" x14ac:dyDescent="0.25">
      <c r="A235" s="4"/>
      <c r="B235" s="4"/>
      <c r="C235" s="4"/>
      <c r="D235" s="4"/>
      <c r="E235" s="4"/>
      <c r="F235" s="4"/>
      <c r="G235" s="4"/>
    </row>
    <row r="236" spans="1:7" ht="37.5" customHeight="1" x14ac:dyDescent="0.25">
      <c r="A236" s="4"/>
      <c r="B236" s="4"/>
      <c r="C236" s="4"/>
      <c r="D236" s="4"/>
      <c r="E236" s="4"/>
      <c r="F236" s="4"/>
      <c r="G236" s="4"/>
    </row>
    <row r="237" spans="1:7" ht="37.5" customHeight="1" x14ac:dyDescent="0.25">
      <c r="A237" s="4"/>
      <c r="B237" s="4"/>
      <c r="C237" s="4"/>
      <c r="D237" s="4"/>
      <c r="E237" s="4"/>
      <c r="F237" s="4"/>
      <c r="G237" s="4"/>
    </row>
    <row r="238" spans="1:7" ht="37.5" customHeight="1" x14ac:dyDescent="0.25">
      <c r="A238" s="4"/>
      <c r="B238" s="4"/>
      <c r="C238" s="4"/>
      <c r="D238" s="4"/>
      <c r="E238" s="4"/>
      <c r="F238" s="4"/>
      <c r="G238" s="4"/>
    </row>
    <row r="239" spans="1:7" ht="37.5" customHeight="1" x14ac:dyDescent="0.25">
      <c r="A239" s="4"/>
      <c r="B239" s="4"/>
      <c r="C239" s="4"/>
      <c r="D239" s="4"/>
      <c r="E239" s="4"/>
      <c r="F239" s="4"/>
      <c r="G239" s="4"/>
    </row>
    <row r="240" spans="1:7" ht="37.5" customHeight="1" x14ac:dyDescent="0.25">
      <c r="A240" s="4"/>
      <c r="B240" s="4"/>
      <c r="C240" s="4"/>
      <c r="D240" s="4"/>
      <c r="E240" s="4"/>
      <c r="F240" s="4"/>
      <c r="G240" s="4"/>
    </row>
    <row r="241" spans="1:7" ht="37.5" customHeight="1" x14ac:dyDescent="0.25">
      <c r="A241" s="4"/>
      <c r="B241" s="4"/>
      <c r="C241" s="4"/>
      <c r="D241" s="4"/>
      <c r="E241" s="4"/>
      <c r="F241" s="4"/>
      <c r="G241" s="4"/>
    </row>
    <row r="242" spans="1:7" ht="37.5" customHeight="1" x14ac:dyDescent="0.25">
      <c r="A242" s="4"/>
      <c r="B242" s="4"/>
      <c r="C242" s="4"/>
      <c r="D242" s="4"/>
      <c r="E242" s="4"/>
      <c r="F242" s="4"/>
      <c r="G242" s="4"/>
    </row>
    <row r="243" spans="1:7" ht="37.5" customHeight="1" x14ac:dyDescent="0.25">
      <c r="A243" s="4"/>
      <c r="B243" s="4"/>
      <c r="C243" s="4"/>
      <c r="D243" s="4"/>
      <c r="E243" s="4"/>
      <c r="F243" s="4"/>
      <c r="G243" s="4"/>
    </row>
    <row r="244" spans="1:7" ht="37.5" customHeight="1" x14ac:dyDescent="0.25">
      <c r="A244" s="4"/>
      <c r="B244" s="4"/>
      <c r="C244" s="4"/>
      <c r="D244" s="4"/>
      <c r="E244" s="4"/>
      <c r="F244" s="4"/>
      <c r="G244" s="4"/>
    </row>
    <row r="245" spans="1:7" ht="37.5" customHeight="1" x14ac:dyDescent="0.25">
      <c r="A245" s="4"/>
      <c r="B245" s="4"/>
      <c r="C245" s="4"/>
      <c r="D245" s="4"/>
      <c r="E245" s="4"/>
      <c r="F245" s="4"/>
      <c r="G245" s="4"/>
    </row>
    <row r="246" spans="1:7" ht="37.5" customHeight="1" x14ac:dyDescent="0.25">
      <c r="A246" s="4"/>
      <c r="B246" s="4"/>
      <c r="C246" s="4"/>
      <c r="D246" s="4"/>
      <c r="E246" s="4"/>
      <c r="F246" s="4"/>
      <c r="G246" s="4"/>
    </row>
    <row r="247" spans="1:7" ht="37.5" customHeight="1" x14ac:dyDescent="0.25">
      <c r="A247" s="4"/>
      <c r="B247" s="4"/>
      <c r="C247" s="4"/>
      <c r="D247" s="4"/>
      <c r="E247" s="4"/>
      <c r="F247" s="4"/>
      <c r="G247" s="4"/>
    </row>
    <row r="248" spans="1:7" ht="37.5" customHeight="1" x14ac:dyDescent="0.25">
      <c r="A248" s="4"/>
      <c r="B248" s="4"/>
      <c r="C248" s="4"/>
      <c r="D248" s="4"/>
      <c r="E248" s="4"/>
      <c r="F248" s="4"/>
      <c r="G248" s="4"/>
    </row>
    <row r="249" spans="1:7" ht="37.5" customHeight="1" x14ac:dyDescent="0.25">
      <c r="A249" s="4"/>
      <c r="B249" s="4"/>
      <c r="C249" s="4"/>
      <c r="D249" s="4"/>
      <c r="E249" s="4"/>
      <c r="F249" s="4"/>
      <c r="G249" s="4"/>
    </row>
    <row r="250" spans="1:7" ht="37.5" customHeight="1" x14ac:dyDescent="0.25">
      <c r="A250" s="4"/>
      <c r="B250" s="4"/>
      <c r="C250" s="4"/>
      <c r="D250" s="4"/>
      <c r="E250" s="4"/>
      <c r="F250" s="4"/>
      <c r="G250" s="4"/>
    </row>
    <row r="251" spans="1:7" ht="37.5" customHeight="1" x14ac:dyDescent="0.25">
      <c r="A251" s="4"/>
      <c r="B251" s="4"/>
      <c r="C251" s="4"/>
      <c r="D251" s="4"/>
      <c r="E251" s="4"/>
      <c r="F251" s="4"/>
      <c r="G251" s="4"/>
    </row>
    <row r="252" spans="1:7" ht="37.5" customHeight="1" x14ac:dyDescent="0.25">
      <c r="A252" s="4"/>
      <c r="B252" s="4"/>
      <c r="C252" s="4"/>
      <c r="D252" s="4"/>
      <c r="E252" s="4"/>
      <c r="F252" s="4"/>
      <c r="G252" s="4"/>
    </row>
    <row r="253" spans="1:7" ht="37.5" customHeight="1" x14ac:dyDescent="0.25">
      <c r="A253" s="4"/>
      <c r="B253" s="4"/>
      <c r="C253" s="4"/>
      <c r="D253" s="4"/>
      <c r="E253" s="4"/>
      <c r="F253" s="4"/>
      <c r="G253" s="4"/>
    </row>
    <row r="254" spans="1:7" ht="37.5" customHeight="1" x14ac:dyDescent="0.25">
      <c r="A254" s="4"/>
      <c r="B254" s="4"/>
      <c r="C254" s="4"/>
      <c r="D254" s="4"/>
      <c r="E254" s="4"/>
      <c r="F254" s="4"/>
      <c r="G254" s="4"/>
    </row>
    <row r="255" spans="1:7" ht="37.5" customHeight="1" x14ac:dyDescent="0.25">
      <c r="A255" s="4"/>
      <c r="B255" s="4"/>
      <c r="C255" s="4"/>
      <c r="D255" s="4"/>
      <c r="E255" s="4"/>
      <c r="F255" s="4"/>
      <c r="G255" s="4"/>
    </row>
    <row r="256" spans="1:7" ht="37.5" customHeight="1" x14ac:dyDescent="0.25">
      <c r="A256" s="4"/>
      <c r="B256" s="4"/>
      <c r="C256" s="4"/>
      <c r="D256" s="4"/>
      <c r="E256" s="4"/>
      <c r="F256" s="4"/>
      <c r="G256" s="4"/>
    </row>
    <row r="257" spans="1:7" ht="37.5" customHeight="1" x14ac:dyDescent="0.25">
      <c r="A257" s="4"/>
      <c r="B257" s="4"/>
      <c r="C257" s="4"/>
      <c r="D257" s="4"/>
      <c r="E257" s="4"/>
      <c r="F257" s="4"/>
      <c r="G257" s="4"/>
    </row>
    <row r="258" spans="1:7" ht="37.5" customHeight="1" x14ac:dyDescent="0.25">
      <c r="A258" s="4"/>
      <c r="B258" s="4"/>
      <c r="C258" s="4"/>
      <c r="D258" s="4"/>
      <c r="E258" s="4"/>
      <c r="F258" s="4"/>
      <c r="G258" s="4"/>
    </row>
    <row r="259" spans="1:7" ht="37.5" customHeight="1" x14ac:dyDescent="0.25">
      <c r="A259" s="4"/>
      <c r="B259" s="4"/>
      <c r="C259" s="4"/>
      <c r="D259" s="4"/>
      <c r="E259" s="4"/>
      <c r="F259" s="4"/>
      <c r="G259" s="4"/>
    </row>
    <row r="260" spans="1:7" ht="37.5" customHeight="1" x14ac:dyDescent="0.25">
      <c r="A260" s="4"/>
      <c r="B260" s="4"/>
      <c r="C260" s="4"/>
      <c r="D260" s="4"/>
      <c r="E260" s="4"/>
      <c r="F260" s="4"/>
      <c r="G260" s="4"/>
    </row>
    <row r="261" spans="1:7" ht="37.5" customHeight="1" x14ac:dyDescent="0.25">
      <c r="A261" s="4"/>
      <c r="B261" s="4"/>
      <c r="C261" s="4"/>
      <c r="D261" s="4"/>
      <c r="E261" s="4"/>
      <c r="F261" s="4"/>
      <c r="G261" s="4"/>
    </row>
    <row r="262" spans="1:7" ht="37.5" customHeight="1" x14ac:dyDescent="0.25">
      <c r="A262" s="4"/>
      <c r="B262" s="4"/>
      <c r="C262" s="4"/>
      <c r="D262" s="4"/>
      <c r="E262" s="4"/>
      <c r="F262" s="4"/>
      <c r="G262" s="4"/>
    </row>
    <row r="263" spans="1:7" ht="37.5" customHeight="1" x14ac:dyDescent="0.25">
      <c r="A263" s="4"/>
      <c r="B263" s="4"/>
      <c r="C263" s="4"/>
      <c r="D263" s="4"/>
      <c r="E263" s="4"/>
      <c r="F263" s="4"/>
      <c r="G263" s="4"/>
    </row>
    <row r="264" spans="1:7" ht="37.5" customHeight="1" x14ac:dyDescent="0.25">
      <c r="A264" s="4"/>
      <c r="B264" s="4"/>
      <c r="C264" s="4"/>
      <c r="D264" s="4"/>
      <c r="E264" s="4"/>
      <c r="F264" s="4"/>
      <c r="G264" s="4"/>
    </row>
    <row r="265" spans="1:7" ht="37.5" customHeight="1" x14ac:dyDescent="0.25">
      <c r="A265" s="4"/>
      <c r="B265" s="4"/>
      <c r="C265" s="4"/>
      <c r="D265" s="4"/>
      <c r="E265" s="4"/>
      <c r="F265" s="4"/>
      <c r="G265" s="4"/>
    </row>
    <row r="266" spans="1:7" ht="37.5" customHeight="1" x14ac:dyDescent="0.25">
      <c r="A266" s="4"/>
      <c r="B266" s="4"/>
      <c r="C266" s="4"/>
      <c r="D266" s="4"/>
      <c r="E266" s="4"/>
      <c r="F266" s="4"/>
      <c r="G266" s="4"/>
    </row>
    <row r="267" spans="1:7" ht="37.5" customHeight="1" x14ac:dyDescent="0.25">
      <c r="A267" s="4"/>
      <c r="B267" s="4"/>
      <c r="C267" s="4"/>
      <c r="D267" s="4"/>
      <c r="E267" s="4"/>
      <c r="F267" s="4"/>
      <c r="G267" s="4"/>
    </row>
    <row r="268" spans="1:7" ht="37.5" customHeight="1" x14ac:dyDescent="0.25">
      <c r="A268" s="4"/>
      <c r="B268" s="4"/>
      <c r="C268" s="4"/>
      <c r="D268" s="4"/>
      <c r="E268" s="4"/>
      <c r="F268" s="4"/>
      <c r="G268" s="4"/>
    </row>
    <row r="269" spans="1:7" ht="37.5" customHeight="1" x14ac:dyDescent="0.25">
      <c r="A269" s="4"/>
      <c r="B269" s="4"/>
      <c r="C269" s="4"/>
      <c r="D269" s="4"/>
      <c r="E269" s="4"/>
      <c r="F269" s="4"/>
      <c r="G269" s="4"/>
    </row>
    <row r="270" spans="1:7" ht="37.5" customHeight="1" x14ac:dyDescent="0.25">
      <c r="A270" s="4"/>
      <c r="B270" s="4"/>
      <c r="C270" s="4"/>
      <c r="D270" s="4"/>
      <c r="E270" s="4"/>
      <c r="F270" s="4"/>
      <c r="G270" s="4"/>
    </row>
    <row r="271" spans="1:7" ht="37.5" customHeight="1" x14ac:dyDescent="0.25">
      <c r="A271" s="4"/>
      <c r="B271" s="4"/>
      <c r="C271" s="4"/>
      <c r="D271" s="4"/>
      <c r="E271" s="4"/>
      <c r="F271" s="4"/>
      <c r="G271" s="4"/>
    </row>
    <row r="272" spans="1:7" ht="37.5" customHeight="1" x14ac:dyDescent="0.25">
      <c r="A272" s="4"/>
      <c r="B272" s="4"/>
      <c r="C272" s="4"/>
      <c r="D272" s="4"/>
      <c r="E272" s="4"/>
      <c r="F272" s="4"/>
      <c r="G272" s="4"/>
    </row>
    <row r="273" spans="1:7" ht="37.5" customHeight="1" x14ac:dyDescent="0.25">
      <c r="A273" s="4"/>
      <c r="B273" s="4"/>
      <c r="C273" s="4"/>
      <c r="D273" s="4"/>
      <c r="E273" s="4"/>
      <c r="F273" s="4"/>
      <c r="G273" s="4"/>
    </row>
    <row r="274" spans="1:7" ht="37.5" customHeight="1" x14ac:dyDescent="0.25">
      <c r="A274" s="4"/>
      <c r="B274" s="4"/>
      <c r="C274" s="4"/>
      <c r="D274" s="4"/>
      <c r="E274" s="4"/>
      <c r="F274" s="4"/>
      <c r="G274" s="4"/>
    </row>
    <row r="275" spans="1:7" ht="37.5" customHeight="1" x14ac:dyDescent="0.25">
      <c r="A275" s="4"/>
      <c r="B275" s="4"/>
      <c r="C275" s="4"/>
      <c r="D275" s="4"/>
      <c r="E275" s="4"/>
      <c r="F275" s="4"/>
      <c r="G275" s="4"/>
    </row>
    <row r="276" spans="1:7" ht="37.5" customHeight="1" x14ac:dyDescent="0.25">
      <c r="A276" s="4"/>
      <c r="B276" s="4"/>
      <c r="C276" s="4"/>
      <c r="D276" s="4"/>
      <c r="E276" s="4"/>
      <c r="F276" s="4"/>
      <c r="G276" s="4"/>
    </row>
    <row r="277" spans="1:7" ht="37.5" customHeight="1" x14ac:dyDescent="0.25">
      <c r="A277" s="4"/>
      <c r="B277" s="4"/>
      <c r="C277" s="4"/>
      <c r="D277" s="4"/>
      <c r="E277" s="4"/>
      <c r="F277" s="4"/>
      <c r="G277" s="4"/>
    </row>
    <row r="278" spans="1:7" ht="37.5" customHeight="1" x14ac:dyDescent="0.25">
      <c r="A278" s="4"/>
      <c r="B278" s="4"/>
      <c r="C278" s="4"/>
      <c r="D278" s="4"/>
      <c r="E278" s="4"/>
      <c r="F278" s="4"/>
      <c r="G278" s="4"/>
    </row>
    <row r="279" spans="1:7" ht="37.5" customHeight="1" x14ac:dyDescent="0.25">
      <c r="A279" s="4"/>
      <c r="B279" s="4"/>
      <c r="C279" s="4"/>
      <c r="D279" s="4"/>
      <c r="E279" s="4"/>
      <c r="F279" s="4"/>
      <c r="G279" s="4"/>
    </row>
    <row r="280" spans="1:7" ht="37.5" customHeight="1" x14ac:dyDescent="0.25">
      <c r="A280" s="4"/>
      <c r="B280" s="4"/>
      <c r="C280" s="4"/>
      <c r="D280" s="4"/>
      <c r="E280" s="4"/>
      <c r="F280" s="4"/>
      <c r="G280" s="4"/>
    </row>
    <row r="281" spans="1:7" ht="37.5" customHeight="1" x14ac:dyDescent="0.25">
      <c r="A281" s="4"/>
      <c r="B281" s="4"/>
      <c r="C281" s="4"/>
      <c r="D281" s="4"/>
      <c r="E281" s="4"/>
      <c r="F281" s="4"/>
      <c r="G281" s="4"/>
    </row>
    <row r="282" spans="1:7" ht="37.5" customHeight="1" x14ac:dyDescent="0.25">
      <c r="A282" s="4"/>
      <c r="B282" s="4"/>
      <c r="C282" s="4"/>
      <c r="D282" s="4"/>
      <c r="E282" s="4"/>
      <c r="F282" s="4"/>
      <c r="G282" s="4"/>
    </row>
    <row r="283" spans="1:7" ht="37.5" customHeight="1" x14ac:dyDescent="0.25">
      <c r="A283" s="4"/>
      <c r="B283" s="4"/>
      <c r="C283" s="4"/>
      <c r="D283" s="4"/>
      <c r="E283" s="4"/>
      <c r="F283" s="4"/>
      <c r="G283" s="4"/>
    </row>
    <row r="284" spans="1:7" ht="37.5" customHeight="1" x14ac:dyDescent="0.25">
      <c r="A284" s="4"/>
      <c r="B284" s="4"/>
      <c r="C284" s="4"/>
      <c r="D284" s="4"/>
      <c r="E284" s="4"/>
      <c r="F284" s="4"/>
      <c r="G284" s="4"/>
    </row>
    <row r="285" spans="1:7" ht="37.5" customHeight="1" x14ac:dyDescent="0.25">
      <c r="A285" s="4"/>
      <c r="B285" s="4"/>
      <c r="C285" s="4"/>
      <c r="D285" s="4"/>
      <c r="E285" s="4"/>
      <c r="F285" s="4"/>
      <c r="G285" s="4"/>
    </row>
    <row r="286" spans="1:7" ht="37.5" customHeight="1" x14ac:dyDescent="0.25">
      <c r="A286" s="4"/>
      <c r="B286" s="4"/>
      <c r="C286" s="4"/>
      <c r="D286" s="4"/>
      <c r="E286" s="4"/>
      <c r="F286" s="4"/>
      <c r="G286" s="4"/>
    </row>
    <row r="287" spans="1:7" ht="37.5" customHeight="1" x14ac:dyDescent="0.25">
      <c r="A287" s="4"/>
      <c r="B287" s="4"/>
      <c r="C287" s="4"/>
      <c r="D287" s="4"/>
      <c r="E287" s="4"/>
      <c r="F287" s="4"/>
      <c r="G287" s="4"/>
    </row>
    <row r="288" spans="1:7" ht="37.5" customHeight="1" x14ac:dyDescent="0.25">
      <c r="A288" s="4"/>
      <c r="B288" s="4"/>
      <c r="C288" s="4"/>
      <c r="D288" s="4"/>
      <c r="E288" s="4"/>
      <c r="F288" s="4"/>
      <c r="G288" s="4"/>
    </row>
    <row r="289" spans="1:7" ht="37.5" customHeight="1" x14ac:dyDescent="0.25">
      <c r="A289" s="4"/>
      <c r="B289" s="4"/>
      <c r="C289" s="4"/>
      <c r="D289" s="4"/>
      <c r="E289" s="4"/>
      <c r="F289" s="4"/>
      <c r="G289" s="4"/>
    </row>
    <row r="290" spans="1:7" ht="37.5" customHeight="1" x14ac:dyDescent="0.25">
      <c r="A290" s="4"/>
      <c r="B290" s="4"/>
      <c r="C290" s="4"/>
      <c r="D290" s="4"/>
      <c r="E290" s="4"/>
      <c r="F290" s="4"/>
      <c r="G290" s="4"/>
    </row>
    <row r="291" spans="1:7" ht="37.5" customHeight="1" x14ac:dyDescent="0.25">
      <c r="A291" s="4"/>
      <c r="B291" s="4"/>
      <c r="C291" s="4"/>
      <c r="D291" s="4"/>
      <c r="E291" s="4"/>
      <c r="F291" s="4"/>
      <c r="G291" s="4"/>
    </row>
    <row r="292" spans="1:7" ht="37.5" customHeight="1" x14ac:dyDescent="0.25">
      <c r="A292" s="4"/>
      <c r="B292" s="4"/>
      <c r="C292" s="4"/>
      <c r="D292" s="4"/>
      <c r="E292" s="4"/>
      <c r="F292" s="4"/>
      <c r="G292" s="4"/>
    </row>
    <row r="293" spans="1:7" ht="37.5" customHeight="1" x14ac:dyDescent="0.25">
      <c r="A293" s="4"/>
      <c r="B293" s="4"/>
      <c r="C293" s="4"/>
      <c r="D293" s="4"/>
      <c r="E293" s="4"/>
      <c r="F293" s="4"/>
      <c r="G293" s="4"/>
    </row>
    <row r="294" spans="1:7" ht="37.5" customHeight="1" x14ac:dyDescent="0.25">
      <c r="A294" s="4"/>
      <c r="B294" s="4"/>
      <c r="C294" s="4"/>
      <c r="D294" s="4"/>
      <c r="E294" s="4"/>
      <c r="F294" s="4"/>
      <c r="G294" s="4"/>
    </row>
    <row r="295" spans="1:7" ht="37.5" customHeight="1" x14ac:dyDescent="0.25">
      <c r="A295" s="4"/>
      <c r="B295" s="4"/>
      <c r="C295" s="4"/>
      <c r="D295" s="4"/>
      <c r="E295" s="4"/>
      <c r="F295" s="4"/>
      <c r="G295" s="4"/>
    </row>
    <row r="296" spans="1:7" ht="37.5" customHeight="1" x14ac:dyDescent="0.25">
      <c r="A296" s="4"/>
      <c r="B296" s="4"/>
      <c r="C296" s="4"/>
      <c r="D296" s="4"/>
      <c r="E296" s="4"/>
      <c r="F296" s="4"/>
      <c r="G296" s="4"/>
    </row>
    <row r="297" spans="1:7" ht="37.5" customHeight="1" x14ac:dyDescent="0.25">
      <c r="A297" s="4"/>
      <c r="B297" s="4"/>
      <c r="C297" s="4"/>
      <c r="D297" s="4"/>
      <c r="E297" s="4"/>
      <c r="F297" s="4"/>
      <c r="G297" s="4"/>
    </row>
    <row r="298" spans="1:7" ht="37.5" customHeight="1" x14ac:dyDescent="0.25">
      <c r="A298" s="4"/>
      <c r="B298" s="4"/>
      <c r="C298" s="4"/>
      <c r="D298" s="4"/>
      <c r="E298" s="4"/>
      <c r="F298" s="4"/>
      <c r="G298" s="4"/>
    </row>
    <row r="299" spans="1:7" ht="37.5" customHeight="1" x14ac:dyDescent="0.25">
      <c r="A299" s="4"/>
      <c r="B299" s="4"/>
      <c r="C299" s="4"/>
      <c r="D299" s="4"/>
      <c r="E299" s="4"/>
      <c r="F299" s="4"/>
      <c r="G299" s="4"/>
    </row>
    <row r="300" spans="1:7" ht="37.5" customHeight="1" x14ac:dyDescent="0.25">
      <c r="A300" s="4"/>
      <c r="B300" s="4"/>
      <c r="C300" s="4"/>
      <c r="D300" s="4"/>
      <c r="E300" s="4"/>
      <c r="F300" s="4"/>
      <c r="G300" s="4"/>
    </row>
    <row r="301" spans="1:7" ht="37.5" customHeight="1" x14ac:dyDescent="0.25">
      <c r="A301" s="4"/>
      <c r="B301" s="4"/>
      <c r="C301" s="4"/>
      <c r="D301" s="4"/>
      <c r="E301" s="4"/>
      <c r="F301" s="4"/>
      <c r="G301" s="4"/>
    </row>
    <row r="302" spans="1:7" ht="37.5" customHeight="1" x14ac:dyDescent="0.25">
      <c r="A302" s="4"/>
      <c r="B302" s="4"/>
      <c r="C302" s="4"/>
      <c r="D302" s="4"/>
      <c r="E302" s="4"/>
      <c r="F302" s="4"/>
      <c r="G302" s="4"/>
    </row>
    <row r="303" spans="1:7" ht="37.5" customHeight="1" x14ac:dyDescent="0.25">
      <c r="A303" s="4"/>
      <c r="B303" s="4"/>
      <c r="C303" s="4"/>
      <c r="D303" s="4"/>
      <c r="E303" s="4"/>
      <c r="F303" s="4"/>
      <c r="G303" s="4"/>
    </row>
    <row r="304" spans="1:7" ht="37.5" customHeight="1" x14ac:dyDescent="0.25">
      <c r="A304" s="4"/>
      <c r="B304" s="4"/>
      <c r="C304" s="4"/>
      <c r="D304" s="4"/>
      <c r="E304" s="4"/>
      <c r="F304" s="4"/>
      <c r="G304" s="4"/>
    </row>
    <row r="305" spans="1:7" ht="37.5" customHeight="1" x14ac:dyDescent="0.25">
      <c r="A305" s="4"/>
      <c r="B305" s="4"/>
      <c r="C305" s="4"/>
      <c r="D305" s="4"/>
      <c r="E305" s="4"/>
      <c r="F305" s="4"/>
      <c r="G305" s="4"/>
    </row>
    <row r="306" spans="1:7" ht="37.5" customHeight="1" x14ac:dyDescent="0.25">
      <c r="A306" s="4"/>
      <c r="B306" s="4"/>
      <c r="C306" s="4"/>
      <c r="D306" s="4"/>
      <c r="E306" s="4"/>
      <c r="F306" s="4"/>
      <c r="G306" s="4"/>
    </row>
    <row r="307" spans="1:7" ht="37.5" customHeight="1" x14ac:dyDescent="0.25">
      <c r="A307" s="4"/>
      <c r="B307" s="4"/>
      <c r="C307" s="4"/>
      <c r="D307" s="4"/>
      <c r="E307" s="4"/>
      <c r="F307" s="4"/>
      <c r="G307" s="4"/>
    </row>
    <row r="308" spans="1:7" ht="37.5" customHeight="1" x14ac:dyDescent="0.25">
      <c r="A308" s="4"/>
      <c r="B308" s="4"/>
      <c r="C308" s="4"/>
      <c r="D308" s="4"/>
      <c r="E308" s="4"/>
      <c r="F308" s="4"/>
      <c r="G308" s="4"/>
    </row>
    <row r="309" spans="1:7" ht="37.5" customHeight="1" x14ac:dyDescent="0.25">
      <c r="A309" s="4"/>
      <c r="B309" s="4"/>
      <c r="C309" s="4"/>
      <c r="D309" s="4"/>
      <c r="E309" s="4"/>
      <c r="F309" s="4"/>
      <c r="G309" s="4"/>
    </row>
    <row r="310" spans="1:7" ht="37.5" customHeight="1" x14ac:dyDescent="0.25">
      <c r="A310" s="4"/>
      <c r="B310" s="4"/>
      <c r="C310" s="4"/>
      <c r="D310" s="4"/>
      <c r="E310" s="4"/>
      <c r="F310" s="4"/>
      <c r="G310" s="4"/>
    </row>
    <row r="311" spans="1:7" ht="37.5" customHeight="1" x14ac:dyDescent="0.25">
      <c r="A311" s="4"/>
      <c r="B311" s="4"/>
      <c r="C311" s="4"/>
      <c r="D311" s="4"/>
      <c r="E311" s="4"/>
      <c r="F311" s="4"/>
      <c r="G311" s="4"/>
    </row>
    <row r="312" spans="1:7" ht="37.5" customHeight="1" x14ac:dyDescent="0.25">
      <c r="A312" s="4"/>
      <c r="B312" s="4"/>
      <c r="C312" s="4"/>
      <c r="D312" s="4"/>
      <c r="E312" s="4"/>
      <c r="F312" s="4"/>
      <c r="G312" s="4"/>
    </row>
    <row r="313" spans="1:7" ht="37.5" customHeight="1" x14ac:dyDescent="0.25">
      <c r="A313" s="4"/>
      <c r="B313" s="4"/>
      <c r="C313" s="4"/>
      <c r="D313" s="4"/>
      <c r="E313" s="4"/>
      <c r="F313" s="4"/>
      <c r="G313" s="4"/>
    </row>
    <row r="314" spans="1:7" ht="37.5" customHeight="1" x14ac:dyDescent="0.25">
      <c r="A314" s="4"/>
      <c r="B314" s="4"/>
      <c r="C314" s="4"/>
      <c r="D314" s="4"/>
      <c r="E314" s="4"/>
      <c r="F314" s="4"/>
      <c r="G314" s="4"/>
    </row>
    <row r="315" spans="1:7" ht="37.5" customHeight="1" x14ac:dyDescent="0.25">
      <c r="A315" s="4"/>
      <c r="B315" s="4"/>
      <c r="C315" s="4"/>
      <c r="D315" s="4"/>
      <c r="E315" s="4"/>
      <c r="F315" s="4"/>
      <c r="G315" s="4"/>
    </row>
    <row r="316" spans="1:7" ht="37.5" customHeight="1" x14ac:dyDescent="0.25">
      <c r="A316" s="4"/>
      <c r="B316" s="4"/>
      <c r="C316" s="4"/>
      <c r="D316" s="4"/>
      <c r="E316" s="4"/>
      <c r="F316" s="4"/>
      <c r="G316" s="4"/>
    </row>
    <row r="317" spans="1:7" ht="37.5" customHeight="1" x14ac:dyDescent="0.25">
      <c r="A317" s="4"/>
      <c r="B317" s="4"/>
      <c r="C317" s="4"/>
      <c r="D317" s="4"/>
      <c r="E317" s="4"/>
      <c r="F317" s="4"/>
      <c r="G317" s="4"/>
    </row>
    <row r="318" spans="1:7" ht="37.5" customHeight="1" x14ac:dyDescent="0.25">
      <c r="A318" s="4"/>
      <c r="B318" s="4"/>
      <c r="C318" s="4"/>
      <c r="D318" s="4"/>
      <c r="E318" s="4"/>
      <c r="F318" s="4"/>
      <c r="G318" s="4"/>
    </row>
    <row r="319" spans="1:7" ht="37.5" customHeight="1" x14ac:dyDescent="0.25">
      <c r="A319" s="4"/>
      <c r="B319" s="4"/>
      <c r="C319" s="4"/>
      <c r="D319" s="4"/>
      <c r="E319" s="4"/>
      <c r="F319" s="4"/>
      <c r="G319" s="4"/>
    </row>
    <row r="320" spans="1:7" ht="37.5" customHeight="1" x14ac:dyDescent="0.25">
      <c r="A320" s="4"/>
      <c r="B320" s="4"/>
      <c r="C320" s="4"/>
      <c r="D320" s="4"/>
      <c r="E320" s="4"/>
      <c r="F320" s="4"/>
      <c r="G320" s="4"/>
    </row>
    <row r="321" spans="1:7" ht="37.5" customHeight="1" x14ac:dyDescent="0.25">
      <c r="A321" s="4"/>
      <c r="B321" s="4"/>
      <c r="C321" s="4"/>
      <c r="D321" s="4"/>
      <c r="E321" s="4"/>
      <c r="F321" s="4"/>
      <c r="G321" s="4"/>
    </row>
    <row r="322" spans="1:7" ht="37.5" customHeight="1" x14ac:dyDescent="0.25">
      <c r="A322" s="4"/>
      <c r="B322" s="4"/>
      <c r="C322" s="4"/>
      <c r="D322" s="4"/>
      <c r="E322" s="4"/>
      <c r="F322" s="4"/>
      <c r="G322" s="4"/>
    </row>
    <row r="323" spans="1:7" ht="37.5" customHeight="1" x14ac:dyDescent="0.25">
      <c r="A323" s="4"/>
      <c r="B323" s="4"/>
      <c r="C323" s="4"/>
      <c r="D323" s="4"/>
      <c r="E323" s="4"/>
      <c r="F323" s="4"/>
      <c r="G323" s="4"/>
    </row>
    <row r="324" spans="1:7" ht="37.5" customHeight="1" x14ac:dyDescent="0.25">
      <c r="A324" s="4"/>
      <c r="B324" s="4"/>
      <c r="C324" s="4"/>
      <c r="D324" s="4"/>
      <c r="E324" s="4"/>
      <c r="F324" s="4"/>
      <c r="G324" s="4"/>
    </row>
    <row r="325" spans="1:7" ht="37.5" customHeight="1" x14ac:dyDescent="0.25">
      <c r="A325" s="4"/>
      <c r="B325" s="4"/>
      <c r="C325" s="4"/>
      <c r="D325" s="4"/>
      <c r="E325" s="4"/>
      <c r="F325" s="4"/>
      <c r="G325" s="4"/>
    </row>
    <row r="326" spans="1:7" ht="37.5" customHeight="1" x14ac:dyDescent="0.25">
      <c r="A326" s="4"/>
      <c r="B326" s="4"/>
      <c r="C326" s="4"/>
      <c r="D326" s="4"/>
      <c r="E326" s="4"/>
      <c r="F326" s="4"/>
      <c r="G326" s="4"/>
    </row>
    <row r="327" spans="1:7" ht="37.5" customHeight="1" x14ac:dyDescent="0.25">
      <c r="A327" s="4"/>
      <c r="B327" s="4"/>
      <c r="C327" s="4"/>
      <c r="D327" s="4"/>
      <c r="E327" s="4"/>
      <c r="F327" s="4"/>
      <c r="G327" s="4"/>
    </row>
    <row r="328" spans="1:7" ht="37.5" customHeight="1" x14ac:dyDescent="0.25">
      <c r="A328" s="4"/>
      <c r="B328" s="4"/>
      <c r="C328" s="4"/>
      <c r="D328" s="4"/>
      <c r="E328" s="4"/>
      <c r="F328" s="4"/>
      <c r="G328" s="4"/>
    </row>
    <row r="329" spans="1:7" ht="37.5" customHeight="1" x14ac:dyDescent="0.25">
      <c r="A329" s="4"/>
      <c r="B329" s="4"/>
      <c r="C329" s="4"/>
      <c r="D329" s="4"/>
      <c r="E329" s="4"/>
      <c r="F329" s="4"/>
      <c r="G329" s="4"/>
    </row>
    <row r="330" spans="1:7" ht="37.5" customHeight="1" x14ac:dyDescent="0.25">
      <c r="A330" s="4"/>
      <c r="B330" s="4"/>
      <c r="C330" s="4"/>
      <c r="D330" s="4"/>
      <c r="E330" s="4"/>
      <c r="F330" s="4"/>
      <c r="G330" s="4"/>
    </row>
    <row r="331" spans="1:7" ht="37.5" customHeight="1" x14ac:dyDescent="0.25">
      <c r="A331" s="4"/>
      <c r="B331" s="4"/>
      <c r="C331" s="4"/>
      <c r="D331" s="4"/>
      <c r="E331" s="4"/>
      <c r="F331" s="4"/>
      <c r="G331" s="4"/>
    </row>
    <row r="332" spans="1:7" ht="37.5" customHeight="1" x14ac:dyDescent="0.25">
      <c r="A332" s="4"/>
      <c r="B332" s="4"/>
      <c r="C332" s="4"/>
      <c r="D332" s="4"/>
      <c r="E332" s="4"/>
      <c r="F332" s="4"/>
      <c r="G332" s="4"/>
    </row>
    <row r="333" spans="1:7" ht="37.5" customHeight="1" x14ac:dyDescent="0.25">
      <c r="A333" s="4"/>
      <c r="B333" s="4"/>
      <c r="C333" s="4"/>
      <c r="D333" s="4"/>
      <c r="E333" s="4"/>
      <c r="F333" s="4"/>
      <c r="G333" s="4"/>
    </row>
    <row r="334" spans="1:7" ht="37.5" customHeight="1" x14ac:dyDescent="0.25">
      <c r="A334" s="4"/>
      <c r="B334" s="4"/>
      <c r="C334" s="4"/>
      <c r="D334" s="4"/>
      <c r="E334" s="4"/>
      <c r="F334" s="4"/>
      <c r="G334" s="4"/>
    </row>
    <row r="335" spans="1:7" ht="37.5" customHeight="1" x14ac:dyDescent="0.25">
      <c r="A335" s="4"/>
      <c r="B335" s="4"/>
      <c r="C335" s="4"/>
      <c r="D335" s="4"/>
      <c r="E335" s="4"/>
      <c r="F335" s="4"/>
      <c r="G335" s="4"/>
    </row>
    <row r="336" spans="1:7" ht="37.5" customHeight="1" x14ac:dyDescent="0.25">
      <c r="A336" s="4"/>
      <c r="B336" s="4"/>
      <c r="C336" s="4"/>
      <c r="D336" s="4"/>
      <c r="E336" s="4"/>
      <c r="F336" s="4"/>
      <c r="G336" s="4"/>
    </row>
    <row r="337" spans="1:7" ht="37.5" customHeight="1" x14ac:dyDescent="0.25">
      <c r="A337" s="4"/>
      <c r="B337" s="4"/>
      <c r="C337" s="4"/>
      <c r="D337" s="4"/>
      <c r="E337" s="4"/>
      <c r="F337" s="4"/>
      <c r="G337" s="4"/>
    </row>
    <row r="338" spans="1:7" ht="37.5" customHeight="1" x14ac:dyDescent="0.25">
      <c r="A338" s="4"/>
      <c r="B338" s="4"/>
      <c r="C338" s="4"/>
      <c r="D338" s="4"/>
      <c r="E338" s="4"/>
      <c r="F338" s="4"/>
      <c r="G338" s="4"/>
    </row>
    <row r="339" spans="1:7" ht="37.5" customHeight="1" x14ac:dyDescent="0.25">
      <c r="A339" s="4"/>
      <c r="B339" s="4"/>
      <c r="C339" s="4"/>
      <c r="D339" s="4"/>
      <c r="E339" s="4"/>
      <c r="F339" s="4"/>
      <c r="G339" s="4"/>
    </row>
    <row r="340" spans="1:7" ht="37.5" customHeight="1" x14ac:dyDescent="0.25">
      <c r="A340" s="4"/>
      <c r="B340" s="4"/>
      <c r="C340" s="4"/>
      <c r="D340" s="4"/>
      <c r="E340" s="4"/>
      <c r="F340" s="4"/>
      <c r="G340" s="4"/>
    </row>
    <row r="341" spans="1:7" ht="37.5" customHeight="1" x14ac:dyDescent="0.25">
      <c r="A341" s="4"/>
      <c r="B341" s="4"/>
      <c r="C341" s="4"/>
      <c r="D341" s="4"/>
      <c r="E341" s="4"/>
      <c r="F341" s="4"/>
      <c r="G341" s="4"/>
    </row>
    <row r="342" spans="1:7" ht="37.5" customHeight="1" x14ac:dyDescent="0.25">
      <c r="A342" s="4"/>
      <c r="B342" s="4"/>
      <c r="C342" s="4"/>
      <c r="D342" s="4"/>
      <c r="E342" s="4"/>
      <c r="F342" s="4"/>
      <c r="G342" s="4"/>
    </row>
    <row r="343" spans="1:7" ht="37.5" customHeight="1" x14ac:dyDescent="0.25">
      <c r="A343" s="4"/>
      <c r="B343" s="4"/>
      <c r="C343" s="4"/>
      <c r="D343" s="4"/>
      <c r="E343" s="4"/>
      <c r="F343" s="4"/>
      <c r="G343" s="4"/>
    </row>
    <row r="344" spans="1:7" ht="37.5" customHeight="1" x14ac:dyDescent="0.25">
      <c r="A344" s="4"/>
      <c r="B344" s="4"/>
      <c r="C344" s="4"/>
      <c r="D344" s="4"/>
      <c r="E344" s="4"/>
      <c r="F344" s="4"/>
      <c r="G344" s="4"/>
    </row>
    <row r="345" spans="1:7" ht="37.5" customHeight="1" x14ac:dyDescent="0.25">
      <c r="A345" s="4"/>
      <c r="B345" s="4"/>
      <c r="C345" s="4"/>
      <c r="D345" s="4"/>
      <c r="E345" s="4"/>
      <c r="F345" s="4"/>
      <c r="G345" s="4"/>
    </row>
    <row r="346" spans="1:7" ht="37.5" customHeight="1" x14ac:dyDescent="0.25">
      <c r="A346" s="4"/>
      <c r="B346" s="4"/>
      <c r="C346" s="4"/>
      <c r="D346" s="4"/>
      <c r="E346" s="4"/>
      <c r="F346" s="4"/>
      <c r="G346" s="4"/>
    </row>
    <row r="347" spans="1:7" ht="37.5" customHeight="1" x14ac:dyDescent="0.25">
      <c r="A347" s="4"/>
      <c r="B347" s="4"/>
      <c r="C347" s="4"/>
      <c r="D347" s="4"/>
      <c r="E347" s="4"/>
      <c r="F347" s="4"/>
      <c r="G347" s="4"/>
    </row>
    <row r="348" spans="1:7" ht="37.5" customHeight="1" x14ac:dyDescent="0.25">
      <c r="A348" s="4"/>
      <c r="B348" s="4"/>
      <c r="C348" s="4"/>
      <c r="D348" s="4"/>
      <c r="E348" s="4"/>
      <c r="F348" s="4"/>
      <c r="G348" s="4"/>
    </row>
    <row r="349" spans="1:7" ht="37.5" customHeight="1" x14ac:dyDescent="0.25">
      <c r="A349" s="4"/>
      <c r="B349" s="4"/>
      <c r="C349" s="4"/>
      <c r="D349" s="4"/>
      <c r="E349" s="4"/>
      <c r="F349" s="4"/>
      <c r="G349" s="4"/>
    </row>
    <row r="350" spans="1:7" ht="37.5" customHeight="1" x14ac:dyDescent="0.25">
      <c r="A350" s="4"/>
      <c r="B350" s="4"/>
      <c r="C350" s="4"/>
      <c r="D350" s="4"/>
      <c r="E350" s="4"/>
      <c r="F350" s="4"/>
      <c r="G350" s="4"/>
    </row>
    <row r="351" spans="1:7" ht="37.5" customHeight="1" x14ac:dyDescent="0.25">
      <c r="A351" s="4"/>
      <c r="B351" s="4"/>
      <c r="C351" s="4"/>
      <c r="D351" s="4"/>
      <c r="E351" s="4"/>
      <c r="F351" s="4"/>
      <c r="G351" s="4"/>
    </row>
    <row r="352" spans="1:7" ht="37.5" customHeight="1" x14ac:dyDescent="0.25">
      <c r="A352" s="4"/>
      <c r="B352" s="4"/>
      <c r="C352" s="4"/>
      <c r="D352" s="4"/>
      <c r="E352" s="4"/>
      <c r="F352" s="4"/>
      <c r="G352" s="4"/>
    </row>
    <row r="353" spans="1:7" ht="37.5" customHeight="1" x14ac:dyDescent="0.25">
      <c r="A353" s="4"/>
      <c r="B353" s="4"/>
      <c r="C353" s="4"/>
      <c r="D353" s="4"/>
      <c r="E353" s="4"/>
      <c r="F353" s="4"/>
      <c r="G353" s="4"/>
    </row>
    <row r="354" spans="1:7" ht="37.5" customHeight="1" x14ac:dyDescent="0.25">
      <c r="A354" s="4"/>
      <c r="B354" s="4"/>
      <c r="C354" s="4"/>
      <c r="D354" s="4"/>
      <c r="E354" s="4"/>
      <c r="F354" s="4"/>
      <c r="G354" s="4"/>
    </row>
    <row r="355" spans="1:7" ht="37.5" customHeight="1" x14ac:dyDescent="0.25">
      <c r="A355" s="4"/>
      <c r="B355" s="4"/>
      <c r="C355" s="4"/>
      <c r="D355" s="4"/>
      <c r="E355" s="4"/>
      <c r="F355" s="4"/>
      <c r="G355" s="4"/>
    </row>
    <row r="356" spans="1:7" ht="37.5" customHeight="1" x14ac:dyDescent="0.25">
      <c r="A356" s="4"/>
      <c r="B356" s="4"/>
      <c r="C356" s="4"/>
      <c r="D356" s="4"/>
      <c r="E356" s="4"/>
      <c r="F356" s="4"/>
      <c r="G356" s="4"/>
    </row>
    <row r="357" spans="1:7" ht="37.5" customHeight="1" x14ac:dyDescent="0.25">
      <c r="A357" s="4"/>
      <c r="B357" s="4"/>
      <c r="C357" s="4"/>
      <c r="D357" s="4"/>
      <c r="E357" s="4"/>
      <c r="F357" s="4"/>
      <c r="G357" s="4"/>
    </row>
    <row r="358" spans="1:7" ht="37.5" customHeight="1" x14ac:dyDescent="0.25">
      <c r="A358" s="4"/>
      <c r="B358" s="4"/>
      <c r="C358" s="4"/>
      <c r="D358" s="4"/>
      <c r="E358" s="4"/>
      <c r="F358" s="4"/>
      <c r="G358" s="4"/>
    </row>
    <row r="359" spans="1:7" ht="37.5" customHeight="1" x14ac:dyDescent="0.25">
      <c r="A359" s="4"/>
      <c r="B359" s="4"/>
      <c r="C359" s="4"/>
      <c r="D359" s="4"/>
      <c r="E359" s="4"/>
      <c r="F359" s="4"/>
      <c r="G359" s="4"/>
    </row>
    <row r="360" spans="1:7" ht="37.5" customHeight="1" x14ac:dyDescent="0.25">
      <c r="A360" s="4"/>
      <c r="B360" s="4"/>
      <c r="C360" s="4"/>
      <c r="D360" s="4"/>
      <c r="E360" s="4"/>
      <c r="F360" s="4"/>
      <c r="G360" s="4"/>
    </row>
    <row r="361" spans="1:7" ht="37.5" customHeight="1" x14ac:dyDescent="0.25">
      <c r="A361" s="4"/>
      <c r="B361" s="4"/>
      <c r="C361" s="4"/>
      <c r="D361" s="4"/>
      <c r="E361" s="4"/>
      <c r="F361" s="4"/>
      <c r="G361" s="4"/>
    </row>
    <row r="362" spans="1:7" ht="37.5" customHeight="1" x14ac:dyDescent="0.25">
      <c r="A362" s="4"/>
      <c r="B362" s="4"/>
      <c r="C362" s="4"/>
      <c r="D362" s="4"/>
      <c r="E362" s="4"/>
      <c r="F362" s="4"/>
      <c r="G362" s="4"/>
    </row>
    <row r="363" spans="1:7" ht="37.5" customHeight="1" x14ac:dyDescent="0.25">
      <c r="A363" s="4"/>
      <c r="B363" s="4"/>
      <c r="C363" s="4"/>
      <c r="D363" s="4"/>
      <c r="E363" s="4"/>
      <c r="F363" s="4"/>
      <c r="G363" s="4"/>
    </row>
    <row r="364" spans="1:7" ht="37.5" customHeight="1" x14ac:dyDescent="0.25">
      <c r="A364" s="4"/>
      <c r="B364" s="4"/>
      <c r="C364" s="4"/>
      <c r="D364" s="4"/>
      <c r="E364" s="4"/>
      <c r="F364" s="4"/>
      <c r="G364" s="4"/>
    </row>
    <row r="365" spans="1:7" ht="37.5" customHeight="1" x14ac:dyDescent="0.25">
      <c r="A365" s="4"/>
      <c r="B365" s="4"/>
      <c r="C365" s="4"/>
      <c r="D365" s="4"/>
      <c r="E365" s="4"/>
      <c r="F365" s="4"/>
      <c r="G365" s="4"/>
    </row>
    <row r="366" spans="1:7" ht="37.5" customHeight="1" x14ac:dyDescent="0.25">
      <c r="A366" s="4"/>
      <c r="B366" s="4"/>
      <c r="C366" s="4"/>
      <c r="D366" s="4"/>
      <c r="E366" s="4"/>
      <c r="F366" s="4"/>
      <c r="G366" s="4"/>
    </row>
    <row r="367" spans="1:7" ht="37.5" customHeight="1" x14ac:dyDescent="0.25">
      <c r="A367" s="4"/>
      <c r="B367" s="4"/>
      <c r="C367" s="4"/>
      <c r="D367" s="4"/>
      <c r="E367" s="4"/>
      <c r="F367" s="4"/>
      <c r="G367" s="4"/>
    </row>
    <row r="368" spans="1:7" ht="37.5" customHeight="1" x14ac:dyDescent="0.25">
      <c r="A368" s="4"/>
      <c r="B368" s="4"/>
      <c r="C368" s="4"/>
      <c r="D368" s="4"/>
      <c r="E368" s="4"/>
      <c r="F368" s="4"/>
      <c r="G368" s="4"/>
    </row>
    <row r="369" spans="1:7" ht="37.5" customHeight="1" x14ac:dyDescent="0.25">
      <c r="A369" s="4"/>
      <c r="B369" s="4"/>
      <c r="C369" s="4"/>
      <c r="D369" s="4"/>
      <c r="E369" s="4"/>
      <c r="F369" s="4"/>
      <c r="G369" s="4"/>
    </row>
    <row r="370" spans="1:7" ht="37.5" customHeight="1" x14ac:dyDescent="0.25">
      <c r="A370" s="4"/>
      <c r="B370" s="4"/>
      <c r="C370" s="4"/>
      <c r="D370" s="4"/>
      <c r="E370" s="4"/>
      <c r="F370" s="4"/>
      <c r="G370" s="4"/>
    </row>
    <row r="371" spans="1:7" ht="37.5" customHeight="1" x14ac:dyDescent="0.25">
      <c r="A371" s="4"/>
      <c r="B371" s="4"/>
      <c r="C371" s="4"/>
      <c r="D371" s="4"/>
      <c r="E371" s="4"/>
      <c r="F371" s="4"/>
      <c r="G371" s="4"/>
    </row>
    <row r="372" spans="1:7" ht="37.5" customHeight="1" x14ac:dyDescent="0.25">
      <c r="A372" s="4"/>
      <c r="B372" s="4"/>
      <c r="C372" s="4"/>
      <c r="D372" s="4"/>
      <c r="E372" s="4"/>
      <c r="F372" s="4"/>
      <c r="G372" s="4"/>
    </row>
    <row r="373" spans="1:7" ht="37.5" customHeight="1" x14ac:dyDescent="0.25">
      <c r="A373" s="4"/>
      <c r="B373" s="4"/>
      <c r="C373" s="4"/>
      <c r="D373" s="4"/>
      <c r="E373" s="4"/>
      <c r="F373" s="4"/>
      <c r="G373" s="4"/>
    </row>
    <row r="374" spans="1:7" ht="37.5" customHeight="1" x14ac:dyDescent="0.25">
      <c r="A374" s="4"/>
      <c r="B374" s="4"/>
      <c r="C374" s="4"/>
      <c r="D374" s="4"/>
      <c r="E374" s="4"/>
      <c r="F374" s="4"/>
      <c r="G374" s="4"/>
    </row>
    <row r="375" spans="1:7" ht="37.5" customHeight="1" x14ac:dyDescent="0.25">
      <c r="A375" s="4"/>
      <c r="B375" s="4"/>
      <c r="C375" s="4"/>
      <c r="D375" s="4"/>
      <c r="E375" s="4"/>
      <c r="F375" s="4"/>
      <c r="G375" s="4"/>
    </row>
    <row r="376" spans="1:7" ht="37.5" customHeight="1" x14ac:dyDescent="0.25">
      <c r="A376" s="4"/>
      <c r="B376" s="4"/>
      <c r="C376" s="4"/>
      <c r="D376" s="4"/>
      <c r="E376" s="4"/>
      <c r="F376" s="4"/>
      <c r="G376" s="4"/>
    </row>
    <row r="377" spans="1:7" ht="37.5" customHeight="1" x14ac:dyDescent="0.25">
      <c r="A377" s="4"/>
      <c r="B377" s="4"/>
      <c r="C377" s="4"/>
      <c r="D377" s="4"/>
      <c r="E377" s="4"/>
      <c r="F377" s="4"/>
      <c r="G377" s="4"/>
    </row>
    <row r="378" spans="1:7" ht="37.5" customHeight="1" x14ac:dyDescent="0.25">
      <c r="A378" s="4"/>
      <c r="B378" s="4"/>
      <c r="C378" s="4"/>
      <c r="D378" s="4"/>
      <c r="E378" s="4"/>
      <c r="F378" s="4"/>
      <c r="G378" s="4"/>
    </row>
    <row r="379" spans="1:7" ht="37.5" customHeight="1" x14ac:dyDescent="0.25">
      <c r="A379" s="4"/>
      <c r="B379" s="4"/>
      <c r="C379" s="4"/>
      <c r="D379" s="4"/>
      <c r="E379" s="4"/>
      <c r="F379" s="4"/>
      <c r="G379" s="4"/>
    </row>
    <row r="380" spans="1:7" ht="37.5" customHeight="1" x14ac:dyDescent="0.25">
      <c r="A380" s="4"/>
      <c r="B380" s="4"/>
      <c r="C380" s="4"/>
      <c r="D380" s="4"/>
      <c r="E380" s="4"/>
      <c r="F380" s="4"/>
      <c r="G380" s="4"/>
    </row>
    <row r="381" spans="1:7" ht="37.5" customHeight="1" x14ac:dyDescent="0.25">
      <c r="A381" s="4"/>
      <c r="B381" s="4"/>
      <c r="C381" s="4"/>
      <c r="D381" s="4"/>
      <c r="E381" s="4"/>
      <c r="F381" s="4"/>
      <c r="G381" s="4"/>
    </row>
    <row r="382" spans="1:7" ht="37.5" customHeight="1" x14ac:dyDescent="0.25">
      <c r="A382" s="4"/>
      <c r="B382" s="4"/>
      <c r="C382" s="4"/>
      <c r="D382" s="4"/>
      <c r="E382" s="4"/>
      <c r="F382" s="4"/>
      <c r="G382" s="4"/>
    </row>
    <row r="383" spans="1:7" ht="37.5" customHeight="1" x14ac:dyDescent="0.25">
      <c r="A383" s="4"/>
      <c r="B383" s="4"/>
      <c r="C383" s="4"/>
      <c r="D383" s="4"/>
      <c r="E383" s="4"/>
      <c r="F383" s="4"/>
      <c r="G383" s="4"/>
    </row>
    <row r="384" spans="1:7" ht="37.5" customHeight="1" x14ac:dyDescent="0.25">
      <c r="A384" s="4"/>
      <c r="B384" s="4"/>
      <c r="C384" s="4"/>
      <c r="D384" s="4"/>
      <c r="E384" s="4"/>
      <c r="F384" s="4"/>
      <c r="G384" s="4"/>
    </row>
    <row r="385" spans="1:7" ht="37.5" customHeight="1" x14ac:dyDescent="0.25">
      <c r="A385" s="4"/>
      <c r="B385" s="4"/>
      <c r="C385" s="4"/>
      <c r="D385" s="4"/>
      <c r="E385" s="4"/>
      <c r="F385" s="4"/>
      <c r="G385" s="4"/>
    </row>
    <row r="386" spans="1:7" ht="37.5" customHeight="1" x14ac:dyDescent="0.25">
      <c r="A386" s="4"/>
      <c r="B386" s="4"/>
      <c r="C386" s="4"/>
      <c r="D386" s="4"/>
      <c r="E386" s="4"/>
      <c r="F386" s="4"/>
      <c r="G386" s="4"/>
    </row>
    <row r="387" spans="1:7" ht="37.5" customHeight="1" x14ac:dyDescent="0.25">
      <c r="A387" s="4"/>
      <c r="B387" s="4"/>
      <c r="C387" s="4"/>
      <c r="D387" s="4"/>
      <c r="E387" s="4"/>
      <c r="F387" s="4"/>
      <c r="G387" s="4"/>
    </row>
    <row r="388" spans="1:7" ht="37.5" customHeight="1" x14ac:dyDescent="0.25">
      <c r="A388" s="4"/>
      <c r="B388" s="4"/>
      <c r="C388" s="4"/>
      <c r="D388" s="4"/>
      <c r="E388" s="4"/>
      <c r="F388" s="4"/>
      <c r="G388" s="4"/>
    </row>
    <row r="389" spans="1:7" ht="37.5" customHeight="1" x14ac:dyDescent="0.25">
      <c r="A389" s="4"/>
      <c r="B389" s="4"/>
      <c r="C389" s="4"/>
      <c r="D389" s="4"/>
      <c r="E389" s="4"/>
      <c r="F389" s="4"/>
      <c r="G389" s="4"/>
    </row>
    <row r="390" spans="1:7" ht="37.5" customHeight="1" x14ac:dyDescent="0.25">
      <c r="A390" s="4"/>
      <c r="B390" s="4"/>
      <c r="C390" s="4"/>
      <c r="D390" s="4"/>
      <c r="E390" s="4"/>
      <c r="F390" s="4"/>
      <c r="G390" s="4"/>
    </row>
    <row r="391" spans="1:7" ht="37.5" customHeight="1" x14ac:dyDescent="0.25">
      <c r="A391" s="4"/>
      <c r="B391" s="4"/>
      <c r="C391" s="4"/>
      <c r="D391" s="4"/>
      <c r="E391" s="4"/>
      <c r="F391" s="4"/>
      <c r="G391" s="4"/>
    </row>
    <row r="392" spans="1:7" ht="37.5" customHeight="1" x14ac:dyDescent="0.25">
      <c r="A392" s="4"/>
      <c r="B392" s="4"/>
      <c r="C392" s="4"/>
      <c r="D392" s="4"/>
      <c r="E392" s="4"/>
      <c r="F392" s="4"/>
      <c r="G392" s="4"/>
    </row>
    <row r="393" spans="1:7" ht="37.5" customHeight="1" x14ac:dyDescent="0.25">
      <c r="A393" s="4"/>
      <c r="B393" s="4"/>
      <c r="C393" s="4"/>
      <c r="D393" s="4"/>
      <c r="E393" s="4"/>
      <c r="F393" s="4"/>
      <c r="G393" s="4"/>
    </row>
    <row r="394" spans="1:7" ht="37.5" customHeight="1" x14ac:dyDescent="0.25">
      <c r="A394" s="4"/>
      <c r="B394" s="4"/>
      <c r="C394" s="4"/>
      <c r="D394" s="4"/>
      <c r="E394" s="4"/>
      <c r="F394" s="4"/>
      <c r="G394" s="4"/>
    </row>
    <row r="395" spans="1:7" ht="37.5" customHeight="1" x14ac:dyDescent="0.25">
      <c r="A395" s="4"/>
      <c r="B395" s="4"/>
      <c r="C395" s="4"/>
      <c r="D395" s="4"/>
      <c r="E395" s="4"/>
      <c r="F395" s="4"/>
      <c r="G395" s="4"/>
    </row>
    <row r="396" spans="1:7" ht="37.5" customHeight="1" x14ac:dyDescent="0.25">
      <c r="A396" s="4"/>
      <c r="B396" s="4"/>
      <c r="C396" s="4"/>
      <c r="D396" s="4"/>
      <c r="E396" s="4"/>
      <c r="F396" s="4"/>
      <c r="G396" s="4"/>
    </row>
    <row r="397" spans="1:7" ht="37.5" customHeight="1" x14ac:dyDescent="0.25">
      <c r="A397" s="4"/>
      <c r="B397" s="4"/>
      <c r="C397" s="4"/>
      <c r="D397" s="4"/>
      <c r="E397" s="4"/>
      <c r="F397" s="4"/>
      <c r="G397" s="4"/>
    </row>
    <row r="398" spans="1:7" ht="37.5" customHeight="1" x14ac:dyDescent="0.25">
      <c r="A398" s="4"/>
      <c r="B398" s="4"/>
      <c r="C398" s="4"/>
      <c r="D398" s="4"/>
      <c r="E398" s="4"/>
      <c r="F398" s="4"/>
      <c r="G398" s="4"/>
    </row>
    <row r="399" spans="1:7" ht="37.5" customHeight="1" x14ac:dyDescent="0.25">
      <c r="A399" s="4"/>
      <c r="B399" s="4"/>
      <c r="C399" s="4"/>
      <c r="D399" s="4"/>
      <c r="E399" s="4"/>
      <c r="F399" s="4"/>
      <c r="G399" s="4"/>
    </row>
    <row r="400" spans="1:7" ht="37.5" customHeight="1" x14ac:dyDescent="0.25">
      <c r="A400" s="4"/>
      <c r="B400" s="4"/>
      <c r="C400" s="4"/>
      <c r="D400" s="4"/>
      <c r="E400" s="4"/>
      <c r="F400" s="4"/>
      <c r="G400" s="4"/>
    </row>
  </sheetData>
  <autoFilter ref="A1:G1" xr:uid="{1EC19A49-C90F-4D8B-9935-4EA4FD67EAB4}"/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Order</vt:lpstr>
      <vt:lpstr>Internationalization</vt:lpstr>
      <vt:lpstr>Catalogue</vt:lpstr>
    </vt:vector>
  </TitlesOfParts>
  <Manager/>
  <Company>Alumifont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Mateus Ribeiro</dc:creator>
  <cp:keywords/>
  <dc:description/>
  <cp:lastModifiedBy>Eduardo Santiago</cp:lastModifiedBy>
  <cp:revision/>
  <dcterms:created xsi:type="dcterms:W3CDTF">2024-06-11T19:07:12Z</dcterms:created>
  <dcterms:modified xsi:type="dcterms:W3CDTF">2024-09-09T19:22:23Z</dcterms:modified>
  <cp:category/>
  <cp:contentStatus/>
</cp:coreProperties>
</file>